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Checklist" sheetId="4" state="visible" r:id="rId4"/>
    <sheet xmlns:r="http://schemas.openxmlformats.org/officeDocument/2006/relationships" name="Daily Log" sheetId="5" state="visible" r:id="rId5"/>
    <sheet xmlns:r="http://schemas.openxmlformats.org/officeDocument/2006/relationships" name="Presets" sheetId="6" state="visible" r:id="rId6"/>
    <sheet xmlns:r="http://schemas.openxmlformats.org/officeDocument/2006/relationships" name="Contra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Color9]-#,##0.00"/>
    <numFmt numFmtId="165" formatCode="yyyy-mm-dd"/>
  </numFmts>
  <fonts count="19">
    <font>
      <name val="Calibri"/>
      <family val="2"/>
      <color theme="1"/>
      <sz val="11"/>
      <scheme val="minor"/>
    </font>
    <font>
      <name val="Consolas"/>
      <color rgb="00ECEAE4"/>
      <sz val="10"/>
    </font>
    <font>
      <name val="Consolas"/>
      <b val="1"/>
      <color rgb="00ECEAE4"/>
      <sz val="15"/>
    </font>
    <font>
      <name val="Consolas"/>
      <color rgb="008D939B"/>
      <sz val="10"/>
    </font>
    <font>
      <name val="Consolas"/>
      <b val="1"/>
      <color rgb="00FF5B1F"/>
      <sz val="10"/>
    </font>
    <font>
      <name val="Consolas"/>
      <b val="1"/>
      <color rgb="008D939B"/>
      <sz val="9"/>
    </font>
    <font>
      <name val="Consolas"/>
      <b val="1"/>
      <color rgb="00ECEAE4"/>
      <sz val="9"/>
    </font>
    <font>
      <name val="Consolas"/>
      <b val="1"/>
      <color rgb="00FF5B1F"/>
      <sz val="9"/>
    </font>
    <font>
      <name val="Consolas"/>
      <b val="1"/>
      <color rgb="00ECEAE4"/>
      <sz val="12"/>
    </font>
    <font>
      <name val="Consolas"/>
      <color rgb="005D636B"/>
      <sz val="9"/>
    </font>
    <font>
      <name val="Consolas"/>
      <b val="1"/>
      <color rgb="00FF4A4A"/>
      <sz val="10"/>
    </font>
    <font>
      <name val="Consolas"/>
      <b val="1"/>
      <color rgb="00ECEAE4"/>
      <sz val="10"/>
    </font>
    <font>
      <name val="Consolas"/>
      <b val="1"/>
      <color rgb="0035D07F"/>
      <sz val="10"/>
    </font>
    <font>
      <name val="Consolas"/>
      <b val="1"/>
      <color rgb="00FFB224"/>
      <sz val="10"/>
    </font>
    <font>
      <name val="Consolas"/>
      <b val="1"/>
      <color rgb="008D939B"/>
      <sz val="10"/>
    </font>
    <font>
      <name val="Consolas"/>
      <color rgb="00FFB224"/>
      <sz val="9"/>
    </font>
    <font>
      <name val="Consolas"/>
      <b val="1"/>
      <color rgb="00ECEAE4"/>
      <sz val="14"/>
    </font>
    <font>
      <name val="Consolas"/>
      <color rgb="008D939B"/>
      <sz val="9"/>
    </font>
    <font>
      <name val="Consolas"/>
      <b val="1"/>
      <color rgb="0035D07F"/>
      <sz val="12"/>
    </font>
  </fonts>
  <fills count="5">
    <fill>
      <patternFill/>
    </fill>
    <fill>
      <patternFill patternType="gray125"/>
    </fill>
    <fill>
      <patternFill patternType="solid">
        <fgColor rgb="000B0C0D"/>
        <bgColor rgb="000B0C0D"/>
      </patternFill>
    </fill>
    <fill>
      <patternFill patternType="solid">
        <fgColor rgb="00121416"/>
        <bgColor rgb="00121416"/>
      </patternFill>
    </fill>
    <fill>
      <patternFill patternType="solid">
        <fgColor rgb="001B1F23"/>
        <bgColor rgb="001B1F23"/>
      </patternFill>
    </fill>
  </fills>
  <borders count="4">
    <border>
      <left/>
      <right/>
      <top/>
      <bottom/>
      <diagonal/>
    </border>
    <border>
      <bottom style="medium">
        <color rgb="00FF5B1F"/>
      </bottom>
    </border>
    <border>
      <left style="thin">
        <color rgb="003A4048"/>
      </left>
      <right style="thin">
        <color rgb="003A4048"/>
      </right>
      <top style="thin">
        <color rgb="003A4048"/>
      </top>
      <bottom style="thin">
        <color rgb="003A4048"/>
      </bottom>
    </border>
    <border>
      <right style="thin">
        <color rgb="00262A2F"/>
      </right>
      <bottom style="thin">
        <color rgb="00262A2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bottom" wrapText="1"/>
    </xf>
    <xf numFmtId="0" fontId="6" fillId="3" borderId="1" applyAlignment="1" pivotButton="0" quotePrefix="0" xfId="0">
      <alignment horizontal="left" vertical="bottom" wrapText="1"/>
    </xf>
    <xf numFmtId="0" fontId="7" fillId="3" borderId="1" applyAlignment="1" pivotButton="0" quotePrefix="0" xfId="0">
      <alignment horizontal="left" vertical="bottom" wrapText="1"/>
    </xf>
    <xf numFmtId="0" fontId="1" fillId="4" borderId="2" applyAlignment="1" applyProtection="1" pivotButton="0" quotePrefix="0" xfId="0">
      <alignment horizontal="left" vertical="center"/>
      <protection locked="0" hidden="0"/>
    </xf>
    <xf numFmtId="0" fontId="1" fillId="2" borderId="3" applyAlignment="1" pivotButton="0" quotePrefix="0" xfId="0">
      <alignment horizontal="right" vertical="center"/>
    </xf>
    <xf numFmtId="0" fontId="1" fillId="4" borderId="2" applyAlignment="1" applyProtection="1" pivotButton="0" quotePrefix="0" xfId="0">
      <alignment horizontal="right" vertical="center"/>
      <protection locked="0" hidden="0"/>
    </xf>
    <xf numFmtId="164" fontId="1" fillId="4" borderId="2" applyAlignment="1" applyProtection="1" pivotButton="0" quotePrefix="0" xfId="0">
      <alignment horizontal="right" vertical="center"/>
      <protection locked="0" hidden="0"/>
    </xf>
    <xf numFmtId="0" fontId="3" fillId="2" borderId="3" applyAlignment="1" pivotButton="0" quotePrefix="0" xfId="0">
      <alignment horizontal="left" vertical="center"/>
    </xf>
    <xf numFmtId="164" fontId="3" fillId="2" borderId="3" applyAlignment="1" pivotButton="0" quotePrefix="0" xfId="0">
      <alignment horizontal="right" vertical="center"/>
    </xf>
    <xf numFmtId="0" fontId="3" fillId="2" borderId="3" applyAlignment="1" pivotButton="0" quotePrefix="0" xfId="0">
      <alignment horizontal="right" vertical="center"/>
    </xf>
    <xf numFmtId="0" fontId="1" fillId="2" borderId="3" applyAlignment="1" pivotButton="0" quotePrefix="0" xfId="0">
      <alignment horizontal="left" vertical="center"/>
    </xf>
    <xf numFmtId="164" fontId="1" fillId="2" borderId="3" applyAlignment="1" pivotButton="0" quotePrefix="0" xfId="0">
      <alignment horizontal="right" vertical="center"/>
    </xf>
    <xf numFmtId="164" fontId="8" fillId="2" borderId="3" applyAlignment="1" pivotButton="0" quotePrefix="0" xfId="0">
      <alignment horizontal="right" vertical="center"/>
    </xf>
    <xf numFmtId="0" fontId="8" fillId="2" borderId="3" applyAlignment="1" pivotButton="0" quotePrefix="0" xfId="0">
      <alignment horizontal="right" vertical="center"/>
    </xf>
    <xf numFmtId="0" fontId="5" fillId="2" borderId="0" pivotButton="0" quotePrefix="0" xfId="0"/>
    <xf numFmtId="165" fontId="1" fillId="4" borderId="2" applyAlignment="1" applyProtection="1" pivotButton="0" quotePrefix="0" xfId="0">
      <alignment horizontal="left"/>
      <protection locked="0" hidden="0"/>
    </xf>
    <xf numFmtId="0" fontId="9" fillId="2" borderId="0" pivotButton="0" quotePrefix="0" xfId="0"/>
    <xf numFmtId="0" fontId="10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0" fontId="5" fillId="2" borderId="1" pivotButton="0" quotePrefix="0" xfId="0"/>
    <xf numFmtId="0" fontId="4" fillId="2" borderId="0" applyAlignment="1" pivotButton="0" quotePrefix="0" xfId="0">
      <alignment horizontal="center" vertical="center"/>
    </xf>
    <xf numFmtId="0" fontId="18" fillId="4" borderId="2" applyAlignment="1" applyProtection="1" pivotButton="0" quotePrefix="0" xfId="0">
      <alignment horizontal="center" vertical="center"/>
      <protection locked="0" hidden="0"/>
    </xf>
    <xf numFmtId="0" fontId="1" fillId="4" borderId="2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right"/>
    </xf>
    <xf numFmtId="165" fontId="1" fillId="4" borderId="2" applyAlignment="1" applyProtection="1" pivotButton="0" quotePrefix="0" xfId="0">
      <alignment horizontal="right" vertical="center"/>
      <protection locked="0" hidden="0"/>
    </xf>
    <xf numFmtId="164" fontId="11" fillId="2" borderId="3" applyAlignment="1" pivotButton="0" quotePrefix="0" xfId="0">
      <alignment horizontal="right" vertical="center"/>
    </xf>
    <xf numFmtId="49" fontId="1" fillId="2" borderId="0" pivotButton="0" quotePrefix="0" xfId="0"/>
    <xf numFmtId="49" fontId="12" fillId="2" borderId="0" pivotButton="0" quotePrefix="0" xfId="0"/>
    <xf numFmtId="49" fontId="13" fillId="2" borderId="0" pivotButton="0" quotePrefix="0" xfId="0"/>
    <xf numFmtId="49" fontId="14" fillId="2" borderId="0" pivotButton="0" quotePrefix="0" xfId="0"/>
    <xf numFmtId="49" fontId="11" fillId="2" borderId="0" pivotButton="0" quotePrefix="0" xfId="0"/>
    <xf numFmtId="0" fontId="15" fillId="2" borderId="0" pivotButton="0" quotePrefix="0" xfId="0"/>
  </cellXfs>
  <cellStyles count="1">
    <cellStyle name="Normal" xfId="0" builtinId="0" hidden="0"/>
  </cellStyles>
  <dxfs count="13">
    <dxf>
      <font>
        <b val="1"/>
        <color rgb="00000000"/>
      </font>
      <fill>
        <patternFill patternType="solid">
          <fgColor rgb="00FF4A4A"/>
          <bgColor rgb="00FF4A4A"/>
        </patternFill>
      </fill>
    </dxf>
    <dxf>
      <font>
        <b val="1"/>
        <color rgb="00FFFFFF"/>
      </font>
      <fill>
        <patternFill patternType="solid">
          <fgColor rgb="007A0E0E"/>
          <bgColor rgb="007A0E0E"/>
        </patternFill>
      </fill>
    </dxf>
    <dxf>
      <font>
        <b val="1"/>
        <color rgb="00000000"/>
      </font>
      <fill>
        <patternFill patternType="solid">
          <fgColor rgb="00FFB224"/>
          <bgColor rgb="00FFB224"/>
        </patternFill>
      </fill>
    </dxf>
    <dxf>
      <font>
        <b val="1"/>
        <color rgb="0035D07F"/>
      </font>
    </dxf>
    <dxf>
      <font>
        <b val="1"/>
        <color rgb="00FF8A3D"/>
      </font>
    </dxf>
    <dxf>
      <font>
        <b val="1"/>
        <color rgb="00FF4A4A"/>
      </font>
    </dxf>
    <dxf>
      <font>
        <b val="1"/>
        <color rgb="00FFB224"/>
      </font>
    </dxf>
    <dxf>
      <font>
        <b val="1"/>
        <color rgb="00ECEAE4"/>
      </font>
    </dxf>
    <dxf>
      <font>
        <b val="1"/>
        <color rgb="007CC4FF"/>
      </font>
      <fill>
        <patternFill patternType="solid">
          <fgColor rgb="000E2A40"/>
          <bgColor rgb="000E2A40"/>
        </patternFill>
      </fill>
    </dxf>
    <dxf>
      <font>
        <b val="1"/>
        <color rgb="007CC4FF"/>
      </font>
    </dxf>
    <dxf>
      <font>
        <color rgb="00FFB224"/>
      </font>
    </dxf>
    <dxf>
      <font>
        <b val="1"/>
        <color rgb="00FFB224"/>
      </font>
      <fill>
        <patternFill patternType="solid">
          <fgColor rgb="003A2A08"/>
          <bgColor rgb="003A2A08"/>
        </patternFill>
      </fill>
    </dxf>
    <dxf>
      <font>
        <color rgb="005D636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4A4A"/>
    <outlinePr summaryBelow="1" summaryRight="1"/>
    <pageSetUpPr/>
  </sheetPr>
  <dimension ref="A1:C1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3" customWidth="1" min="3" max="3"/>
  </cols>
  <sheetData>
    <row r="1">
      <c r="A1" s="1" t="n"/>
      <c r="B1" s="1" t="n"/>
      <c r="C1" s="1" t="n"/>
    </row>
    <row r="2" ht="28" customHeight="1">
      <c r="A2" s="1" t="n"/>
      <c r="B2" s="2" t="inlineStr">
        <is>
          <t>FLOORLINE  ·  Multi-Account Tracker</t>
        </is>
      </c>
      <c r="C2" s="1" t="n"/>
    </row>
    <row r="3">
      <c r="A3" s="1" t="n"/>
      <c r="B3" s="3" t="inlineStr">
        <is>
          <t>Read this first.</t>
        </is>
      </c>
      <c r="C3" s="1" t="n"/>
    </row>
    <row r="4">
      <c r="A4" s="1" t="n"/>
      <c r="B4" s="4" t="inlineStr"/>
      <c r="C4" s="1" t="n"/>
    </row>
    <row r="5">
      <c r="A5" s="1" t="n"/>
      <c r="B5" s="5" t="inlineStr">
        <is>
          <t>DISCLAIMER</t>
        </is>
      </c>
      <c r="C5" s="1" t="n"/>
    </row>
    <row r="6">
      <c r="A6" s="1" t="n"/>
      <c r="B6" s="4" t="inlineStr">
        <is>
          <t>Not financial, trading, or investment advice; educational calculation tool only.</t>
        </is>
      </c>
      <c r="C6" s="1" t="n"/>
    </row>
    <row r="7" ht="28" customHeight="1">
      <c r="A7" s="1" t="n"/>
      <c r="B7" s="4" t="inlineStr">
        <is>
          <t>Not affiliated with, endorsed by, or sponsored by any prop firm, exchange (CME Group), or platform named.</t>
        </is>
      </c>
      <c r="C7" s="1" t="n"/>
    </row>
    <row r="8" ht="42" customHeight="1">
      <c r="A8" s="1" t="n"/>
      <c r="B8" s="4" t="inlineStr">
        <is>
          <t>Prop firm rules change without notice. Every preset shows source_url, checked_date (2026-10-14 for v0.1) and page date; verify against the firm's current rules and your dashboard before trading. Presets are not guaranteed permanent or complete; "partial" presets require user input.</t>
        </is>
      </c>
      <c r="C8" s="1" t="n"/>
    </row>
    <row r="9" ht="28" customHeight="1">
      <c r="A9" s="1" t="n"/>
      <c r="B9" s="4" t="inlineStr">
        <is>
          <t>The tracker relies on user-entered balances; it cannot see intraday order of events and can differ from the firm's real-time system. The firm's own calculation is authoritative.</t>
        </is>
      </c>
      <c r="C9" s="1" t="n"/>
    </row>
    <row r="10">
      <c r="A10" s="1" t="n"/>
      <c r="B10" s="4" t="inlineStr">
        <is>
          <t>Spreadsheet floating-point arithmetic; values are rounded to cents conservatively.</t>
        </is>
      </c>
      <c r="C10" s="1" t="n"/>
    </row>
    <row r="11">
      <c r="A11" s="1" t="n"/>
      <c r="B11" s="4" t="inlineStr"/>
      <c r="C11" s="1" t="n"/>
    </row>
    <row r="12">
      <c r="A12" s="1" t="n"/>
      <c r="B12" s="3" t="inlineStr">
        <is>
          <t>Spec: tracker v0.1.0 / oracle v0.2.0. No macros, no scripts, no external links or data connections.</t>
        </is>
      </c>
      <c r="C12" s="1" t="n"/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1" t="n"/>
      <c r="B15" s="1" t="n"/>
      <c r="C15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C4FF"/>
    <outlinePr summaryBelow="1" summaryRight="1"/>
    <pageSetUpPr/>
  </sheetPr>
  <dimension ref="A1:C2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10" customWidth="1" min="2" max="2"/>
    <col width="3" customWidth="1" min="3" max="3"/>
  </cols>
  <sheetData>
    <row r="1">
      <c r="A1" s="1" t="n"/>
      <c r="B1" s="1" t="n"/>
      <c r="C1" s="1" t="n"/>
    </row>
    <row r="2" ht="28" customHeight="1">
      <c r="A2" s="1" t="n"/>
      <c r="B2" s="2" t="inlineStr">
        <is>
          <t>How to use</t>
        </is>
      </c>
      <c r="C2" s="1" t="n"/>
    </row>
    <row r="3">
      <c r="A3" s="1" t="n"/>
      <c r="B3" s="5" t="inlineStr">
        <is>
          <t>REQUIREMENTS</t>
        </is>
      </c>
      <c r="C3" s="1" t="n"/>
    </row>
    <row r="4" ht="28" customHeight="1">
      <c r="A4" s="1" t="n"/>
      <c r="B4" s="4" t="inlineStr">
        <is>
          <t>Microsoft Excel 2019, Excel 2021 or Microsoft 365 (uses MAXIFS and TEXTJOIN; Excel 2016 and earlier show #NAME? and are NOT supported).</t>
        </is>
      </c>
      <c r="C4" s="1" t="n"/>
    </row>
    <row r="5" ht="28" customHeight="1">
      <c r="A5" s="1" t="n"/>
      <c r="B5" s="4" t="inlineStr">
        <is>
          <t>Tested: formulas were recalculated and checked in LibreOffice only. Excel and Google Sheets have NOT been tested; treat both as unverified until you confirm the results yourself.</t>
        </is>
      </c>
      <c r="C5" s="1" t="n"/>
    </row>
    <row r="6">
      <c r="A6" s="1" t="n"/>
      <c r="B6" s="5" t="inlineStr">
        <is>
          <t>GOOGLE SHEETS IMPORT (UNTESTED)</t>
        </is>
      </c>
      <c r="C6" s="1" t="n"/>
    </row>
    <row r="7">
      <c r="A7" s="1" t="n"/>
      <c r="B7" s="4" t="inlineStr">
        <is>
          <t>1. Open drive.google.com, click New &gt; File upload and choose Floorline-Tracker.xlsx.</t>
        </is>
      </c>
      <c r="C7" s="1" t="n"/>
    </row>
    <row r="8" ht="28" customHeight="1">
      <c r="A8" s="1" t="n"/>
      <c r="B8" s="4" t="inlineStr">
        <is>
          <t>2. Right-click the uploaded file &gt; Open with &gt; Google Sheets (or set Drive Settings &gt; 'Convert uploads' before uploading).</t>
        </is>
      </c>
      <c r="C8" s="1" t="n"/>
    </row>
    <row r="9" ht="28" customHeight="1">
      <c r="A9" s="1" t="n"/>
      <c r="B9" s="4" t="inlineStr">
        <is>
          <t>3. In Sheets: File &gt; Save as Google Sheets if it opened in Office-compatibility mode, then work in the converted copy.</t>
        </is>
      </c>
      <c r="C9" s="1" t="n"/>
    </row>
    <row r="10" ht="28" customHeight="1">
      <c r="A10" s="1" t="n"/>
      <c r="B10" s="4" t="inlineStr">
        <is>
          <t>4. Check the Accounts tab: Check column shows OK for filled rows and no cell shows #NAME? or #ERROR!. Compare a few results with your firm dashboard before relying on it.</t>
        </is>
      </c>
      <c r="C10" s="1" t="n"/>
    </row>
    <row r="11" ht="42" customHeight="1">
      <c r="A11" s="1" t="n"/>
      <c r="B11" s="4" t="inlineStr">
        <is>
          <t>5. Not verified in Sheets: whether sheet protection, dropdowns, data validation and colour rules survive the import. Pasted values can bypass dropdowns and validation; the formulas check many inputs, but not every possible mistake.</t>
        </is>
      </c>
      <c r="C11" s="1" t="n"/>
    </row>
    <row r="12">
      <c r="A12" s="1" t="n"/>
      <c r="B12" s="5" t="inlineStr">
        <is>
          <t>DAILY ROUTINE</t>
        </is>
      </c>
      <c r="C12" s="1" t="n"/>
    </row>
    <row r="13" ht="28" customHeight="1">
      <c r="A13" s="1" t="n"/>
      <c r="B13" s="4" t="inlineStr">
        <is>
          <t>1. Accounts: one row per account (max 10). Enter Account ID and pick a Preset (or Manual). Read the Flags column.</t>
        </is>
      </c>
      <c r="C13" s="1" t="n"/>
    </row>
    <row r="14" ht="28" customHeight="1">
      <c r="A14" s="1" t="n"/>
      <c r="B14" s="4" t="inlineStr">
        <is>
          <t>2. Fill any field named in 'PARTIAL PRESET: verify ...' using the override columns D-J (amber flag until resolved).</t>
        </is>
      </c>
      <c r="C14" s="1" t="n"/>
    </row>
    <row r="15" ht="28" customHeight="1">
      <c r="A15" s="1" t="n"/>
      <c r="B15" s="4" t="inlineStr">
        <is>
          <t>3. Enter Equity now (incl. open P&amp;L), Day reference balance (the firm's reset reference) and, for sizing, Risk $, Stop ticks, Tick value $ (see Contracts tab).</t>
        </is>
      </c>
      <c r="C15" s="1" t="n"/>
    </row>
    <row r="16" ht="28" customHeight="1">
      <c r="A16" s="1" t="n"/>
      <c r="B16" s="4" t="inlineStr">
        <is>
          <t>4. Daily Log: after each session add one row per account: Trading date (firm session date), EOD balance, intraday high and intraday low.</t>
        </is>
      </c>
      <c r="C16" s="1" t="n"/>
    </row>
    <row r="17" ht="28" customHeight="1">
      <c r="A17" s="1" t="n"/>
      <c r="B17" s="4" t="inlineStr">
        <is>
          <t>5. Read FLOOR, BINDING ROOM and CONTRACTS on Accounts. Then tick the Checklist. If your firm dashboard disagrees, the firm's number wins.</t>
        </is>
      </c>
      <c r="C17" s="1" t="n"/>
    </row>
    <row r="18" ht="28" customHeight="1">
      <c r="A18" s="1" t="n"/>
      <c r="B18" s="4" t="inlineStr">
        <is>
          <t>6. Enter today's date in Accounts!B13 (As of). Flags shows AS-OF DATE MISSING while it is blank and STALE PRESET when a preset was checked more than 30 days before it. The workbook never uses TODAY().</t>
        </is>
      </c>
      <c r="C18" s="1" t="n"/>
    </row>
    <row r="19" ht="28" customHeight="1">
      <c r="A19" s="1" t="n"/>
      <c r="B19" s="4" t="inlineStr">
        <is>
          <t>7. If Accounts!B14 shows a red Log check message, a Daily Log row has an unknown or blank account ID; every account shows INCOMPLETE until it is fixed.</t>
        </is>
      </c>
      <c r="C19" s="1" t="n"/>
    </row>
    <row r="20">
      <c r="A20" s="1" t="n"/>
      <c r="B20" s="5" t="inlineStr">
        <is>
          <t>STATUS WORDS</t>
        </is>
      </c>
      <c r="C20" s="1" t="n"/>
    </row>
    <row r="21" ht="70" customHeight="1">
      <c r="A21" s="1" t="n"/>
      <c r="B21" s="4" t="inlineStr">
        <is>
          <t>OK / a number = calculated.  INVALID = a value or rule is wrong (money must be 0 &lt; x &lt;= 100,000,000 with at most 2 decimals; tick value at most 6 decimals).  INCOMPLETE = a required input is missing, incl. a blank max contracts (type NONE for no cap), an incomplete log row, or any unknown-account log row.  UNKNOWN_ACCOUNT = log row whose account ID matches no account.  BREACHED = the floor was hit; rooms and size are blocked.  NONE = no daily loss limit / no cap.</t>
        </is>
      </c>
      <c r="C21" s="1" t="n"/>
    </row>
    <row r="22">
      <c r="A22" s="1" t="n"/>
      <c r="B22" s="5" t="inlineStr">
        <is>
          <t>COLOURS</t>
        </is>
      </c>
      <c r="C22" s="1" t="n"/>
    </row>
    <row r="23" ht="42" customHeight="1">
      <c r="A23" s="1" t="n"/>
      <c r="B23" s="4" t="inlineStr">
        <is>
          <t>Green = buffer above 50% of max drawdown or lock reached.  Amber = 25-50% buffer, partial preset, overrides, stale preset.  Red = under 25%, INVALID or BREACHED.  Blue = sizing was capped or clamped to the room.</t>
        </is>
      </c>
      <c r="C23" s="1" t="n"/>
    </row>
    <row r="24">
      <c r="A24" s="1" t="n"/>
      <c r="B24" s="5" t="inlineStr">
        <is>
          <t>LIMITS</t>
        </is>
      </c>
      <c r="C24" s="1" t="n"/>
    </row>
    <row r="25" ht="42" customHeight="1">
      <c r="A25" s="1" t="n"/>
      <c r="B25" s="4" t="inlineStr">
        <is>
          <t>Intraday trailing: a daily row cannot encode whether the low came before the high; the tracker assumes the high came first (higher, more conservative floor). Percent daily limits and payout/withdrawal floor locks must be entered manually. Futures only. 10 accounts, 1,000 log rows.</t>
        </is>
      </c>
      <c r="C25" s="1" t="n"/>
    </row>
    <row r="26" ht="42" customHeight="1">
      <c r="A26" s="1" t="n"/>
      <c r="B26" s="4" t="inlineStr">
        <is>
          <t>Matching ignores letter case: account IDs must be unique ignoring case (p16 and P16 are duplicates), log row p16 belongs to account P16, and none / None count as NONE. Spaces are NOT ignored: 'Static ' with a trailing space is INVALID.</t>
        </is>
      </c>
      <c r="C26" s="1" t="n"/>
    </row>
    <row r="27">
      <c r="A27" s="1" t="n"/>
      <c r="B27" s="1" t="n"/>
      <c r="C27" s="1" t="n"/>
    </row>
    <row r="28">
      <c r="A28" s="1" t="n"/>
      <c r="B28" s="1" t="n"/>
      <c r="C28" s="1" t="n"/>
    </row>
    <row r="29">
      <c r="A29" s="1" t="n"/>
      <c r="B29" s="1" t="n"/>
      <c r="C2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5B1F"/>
    <outlinePr summaryBelow="1" summaryRight="1"/>
    <pageSetUpPr/>
  </sheetPr>
  <dimension ref="A1:AN16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1" customWidth="1" min="3" max="3"/>
    <col width="17" customWidth="1" min="4" max="4"/>
    <col width="1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0" customWidth="1" min="13" max="13"/>
    <col width="7" customWidth="1" min="14" max="14"/>
    <col width="8" customWidth="1" min="15" max="15"/>
    <col width="18" customWidth="1" min="16" max="16"/>
    <col width="12" customWidth="1" min="17" max="17"/>
    <col width="10" customWidth="1" min="18" max="18"/>
    <col width="9" customWidth="1" min="19" max="19"/>
    <col width="8" customWidth="1" min="20" max="20"/>
    <col width="9" customWidth="1" min="21" max="21"/>
    <col width="10" customWidth="1" min="22" max="22"/>
    <col width="12" customWidth="1" min="23" max="23"/>
    <col width="12" customWidth="1" min="24" max="24"/>
    <col width="14" customWidth="1" min="25" max="25"/>
    <col width="9" customWidth="1" min="26" max="26"/>
    <col width="10" customWidth="1" min="27" max="27"/>
    <col width="12" customWidth="1" min="28" max="28"/>
    <col width="12" customWidth="1" min="29" max="29"/>
    <col width="14" customWidth="1" min="30" max="30"/>
    <col width="11" customWidth="1" min="31" max="31"/>
    <col width="11" customWidth="1" min="32" max="32"/>
    <col width="11" customWidth="1" min="33" max="33"/>
    <col width="8" customWidth="1" min="34" max="34"/>
    <col width="9" customWidth="1" min="35" max="35"/>
    <col hidden="1" width="4" customWidth="1" min="36" max="36"/>
    <col hidden="1" width="4" customWidth="1" min="37" max="37"/>
    <col hidden="1" width="4" customWidth="1" min="38" max="38"/>
    <col width="11" customWidth="1" min="39" max="39"/>
    <col width="70" customWidth="1" min="40" max="40"/>
  </cols>
  <sheetData>
    <row r="1" ht="34" customHeight="1">
      <c r="A1" s="6" t="inlineStr">
        <is>
          <t>Account ID</t>
        </is>
      </c>
      <c r="B1" s="6" t="inlineStr">
        <is>
          <t>Preset</t>
        </is>
      </c>
      <c r="C1" s="7" t="inlineStr">
        <is>
          <t>Preset status</t>
        </is>
      </c>
      <c r="D1" s="6" t="inlineStr">
        <is>
          <t>Type override</t>
        </is>
      </c>
      <c r="E1" s="6" t="inlineStr">
        <is>
          <t>Start override</t>
        </is>
      </c>
      <c r="F1" s="6" t="inlineStr">
        <is>
          <t>DD $ override</t>
        </is>
      </c>
      <c r="G1" s="6" t="inlineStr">
        <is>
          <t>Lock offset override</t>
        </is>
      </c>
      <c r="H1" s="6" t="inlineStr">
        <is>
          <t>Touch = breach override</t>
        </is>
      </c>
      <c r="I1" s="6" t="inlineStr">
        <is>
          <t>DLL $ override</t>
        </is>
      </c>
      <c r="J1" s="6" t="inlineStr">
        <is>
          <t>Max contracts override</t>
        </is>
      </c>
      <c r="K1" s="6" t="inlineStr">
        <is>
          <t>Equity now (incl. open P&amp;L)</t>
        </is>
      </c>
      <c r="L1" s="6" t="inlineStr">
        <is>
          <t>Day reference balance</t>
        </is>
      </c>
      <c r="M1" s="6" t="inlineStr">
        <is>
          <t>Risk $ / trade</t>
        </is>
      </c>
      <c r="N1" s="6" t="inlineStr">
        <is>
          <t>Stop ticks</t>
        </is>
      </c>
      <c r="O1" s="6" t="inlineStr">
        <is>
          <t>Tick value $</t>
        </is>
      </c>
      <c r="P1" s="7" t="inlineStr">
        <is>
          <t>Type</t>
        </is>
      </c>
      <c r="Q1" s="7" t="inlineStr">
        <is>
          <t>Start</t>
        </is>
      </c>
      <c r="R1" s="7" t="inlineStr">
        <is>
          <t>Max DD $</t>
        </is>
      </c>
      <c r="S1" s="7" t="inlineStr">
        <is>
          <t>Lock offset</t>
        </is>
      </c>
      <c r="T1" s="7" t="inlineStr">
        <is>
          <t>Touch = breach</t>
        </is>
      </c>
      <c r="U1" s="8" t="inlineStr">
        <is>
          <t>DLL $</t>
        </is>
      </c>
      <c r="V1" s="7" t="inlineStr">
        <is>
          <t>Max contracts</t>
        </is>
      </c>
      <c r="W1" s="7" t="inlineStr">
        <is>
          <t>Check</t>
        </is>
      </c>
      <c r="X1" s="7" t="inlineStr">
        <is>
          <t>Peak</t>
        </is>
      </c>
      <c r="Y1" s="8" t="inlineStr">
        <is>
          <t>FLOOR</t>
        </is>
      </c>
      <c r="Z1" s="7" t="inlineStr">
        <is>
          <t>Locked</t>
        </is>
      </c>
      <c r="AA1" s="7" t="inlineStr">
        <is>
          <t>Breached</t>
        </is>
      </c>
      <c r="AB1" s="7" t="inlineStr">
        <is>
          <t>DD room</t>
        </is>
      </c>
      <c r="AC1" s="7" t="inlineStr">
        <is>
          <t>Daily room</t>
        </is>
      </c>
      <c r="AD1" s="8" t="inlineStr">
        <is>
          <t>BINDING ROOM</t>
        </is>
      </c>
      <c r="AE1" s="7" t="inlineStr">
        <is>
          <t>Binding</t>
        </is>
      </c>
      <c r="AF1" s="7" t="inlineStr">
        <is>
          <t>Effective risk</t>
        </is>
      </c>
      <c r="AG1" s="8" t="inlineStr">
        <is>
          <t>CONTRACTS</t>
        </is>
      </c>
      <c r="AH1" s="7" t="inlineStr">
        <is>
          <t>Capped</t>
        </is>
      </c>
      <c r="AI1" s="7" t="inlineStr">
        <is>
          <t>Room-limited</t>
        </is>
      </c>
      <c r="AJ1" s="7" t="inlineStr">
        <is>
          <t>floor raw</t>
        </is>
      </c>
      <c r="AK1" s="7" t="inlineStr">
        <is>
          <t>sizing check</t>
        </is>
      </c>
      <c r="AL1" s="7" t="inlineStr">
        <is>
          <t>contracts raw</t>
        </is>
      </c>
      <c r="AM1" s="7" t="inlineStr">
        <is>
          <t>Actual risk</t>
        </is>
      </c>
      <c r="AN1" s="7" t="inlineStr">
        <is>
          <t>Flags</t>
        </is>
      </c>
    </row>
    <row r="2" ht="20" customHeight="1">
      <c r="A2" s="9" t="n"/>
      <c r="B2" s="9" t="n"/>
      <c r="C2" s="10">
        <f>IFERROR(INDEX(Presets!$B$2:$B$200,MATCH($B2,Presets!$A$2:$A$200,0))&amp;"","")</f>
        <v/>
      </c>
      <c r="D2" s="11" t="n"/>
      <c r="E2" s="12" t="n"/>
      <c r="F2" s="12" t="n"/>
      <c r="G2" s="11" t="n"/>
      <c r="H2" s="11" t="n"/>
      <c r="I2" s="12" t="n"/>
      <c r="J2" s="11" t="n"/>
      <c r="K2" s="12" t="n"/>
      <c r="L2" s="12" t="n"/>
      <c r="M2" s="12" t="n"/>
      <c r="N2" s="11" t="n"/>
      <c r="O2" s="11" t="n"/>
      <c r="P2" s="13">
        <f>IFERROR(IF(D2&lt;&gt;"",D2,IFERROR(INDEX(Presets!$C$2:$C$200,MATCH($B2,Presets!$A$2:$A$200,0))&amp;"","")),"INVALID")</f>
        <v/>
      </c>
      <c r="Q2" s="14">
        <f>IFERROR(IF(E2&lt;&gt;"",E2,IF(IFERROR(INDEX(Presets!$D$2:$D$200,MATCH($B2,Presets!$A$2:$A$200,0))&amp;"","")&lt;&gt;"",VALUE(IFERROR(INDEX(Presets!$D$2:$D$200,MATCH($B2,Presets!$A$2:$A$200,0))&amp;"","")),"")),"INVALID")</f>
        <v/>
      </c>
      <c r="R2" s="14">
        <f>IFERROR(IF(F2&lt;&gt;"",F2,IF(IFERROR(INDEX(Presets!$E$2:$E$200,MATCH($B2,Presets!$A$2:$A$200,0))&amp;"","")&lt;&gt;"",VALUE(IFERROR(INDEX(Presets!$E$2:$E$200,MATCH($B2,Presets!$A$2:$A$200,0))&amp;"","")),IF(AND(IFERROR(INDEX(Presets!$F$2:$F$200,MATCH($B2,Presets!$A$2:$A$200,0))&amp;"","")&lt;&gt;"",ISNUMBER(Q2)),VALUE(IFERROR(INDEX(Presets!$F$2:$F$200,MATCH($B2,Presets!$A$2:$A$200,0))&amp;"",""))/100*Q2,""))),"INVALID")</f>
        <v/>
      </c>
      <c r="S2" s="15">
        <f>IFERROR(IF(G2&lt;&gt;"",G2,IF(IFERROR(INDEX(Presets!$G$2:$G$200,MATCH($B2,Presets!$A$2:$A$200,0))&amp;"","")="NONE","NONE",IF(IFERROR(INDEX(Presets!$G$2:$G$200,MATCH($B2,Presets!$A$2:$A$200,0))&amp;"","")&lt;&gt;"",VALUE(IFERROR(INDEX(Presets!$G$2:$G$200,MATCH($B2,Presets!$A$2:$A$200,0))&amp;"","")),""))),"INVALID")</f>
        <v/>
      </c>
      <c r="T2" s="15">
        <f>IFERROR(IF(H2&lt;&gt;"",H2,IF(IFERROR(INDEX(Presets!$H$2:$H$200,MATCH($B2,Presets!$A$2:$A$200,0))&amp;"","")="TRUE",TRUE,IF(IFERROR(INDEX(Presets!$H$2:$H$200,MATCH($B2,Presets!$A$2:$A$200,0))&amp;"","")="FALSE",FALSE,""))),"INVALID")</f>
        <v/>
      </c>
      <c r="U2" s="14">
        <f>IFERROR(IF(I2&lt;&gt;"",I2,IF(IFERROR(INDEX(Presets!$I$2:$I$200,MATCH($B2,Presets!$A$2:$A$200,0))&amp;"","")="NONE","NONE",IF(IFERROR(INDEX(Presets!$I$2:$I$200,MATCH($B2,Presets!$A$2:$A$200,0))&amp;"","")&lt;&gt;"",VALUE(IFERROR(INDEX(Presets!$I$2:$I$200,MATCH($B2,Presets!$A$2:$A$200,0))&amp;"","")),""))),"INVALID")</f>
        <v/>
      </c>
      <c r="V2" s="15">
        <f>IFERROR(IF(J2&lt;&gt;"",J2,IF(IFERROR(INDEX(Presets!$J$2:$J$200,MATCH($B2,Presets!$A$2:$A$200,0))&amp;"","")&lt;&gt;"",VALUE(IFERROR(INDEX(Presets!$J$2:$J$200,MATCH($B2,Presets!$A$2:$A$200,0))&amp;"","")),"")),"INVALID")</f>
        <v/>
      </c>
      <c r="W2" s="16">
        <f>IFERROR(IF(AND(A2="",B2=""),"",IF(OR(A2="",B2="",P2="",Q2="",R2="",S2="",T2="",U2="",V2="",K2="",AND(U2&lt;&gt;"NONE",L2="")),"INCOMPLETE",IF(OR(COUNTIFS($A$2:$A$11,A2)&gt;1,AND(P2&lt;&gt;"static",P2&lt;&gt;"eod_trailing",P2&lt;&gt;"intraday_trailing"),NOT(ISNUMBER(Q2)),Q2&lt;=0,ROUND(Q2*100,6)&lt;&gt;INT(ROUND(Q2*100,6)),NOT(ISNUMBER(R2)),R2&lt;=0,ROUND(R2*100,6)&lt;&gt;INT(ROUND(R2*100,6)),AND(S2&lt;&gt;"NONE",NOT(ISNUMBER(S2))),AND(P2="static",S2&lt;&gt;"NONE"),IF(ISNUMBER(S2),ROUND(Q2+S2-(Q2-R2),6)&lt;=0,FALSE),IF(ISNUMBER(S2),OR(S2&lt;-100000000,S2&gt;100000000),FALSE),AND(T2&lt;&gt;TRUE,T2&lt;&gt;FALSE),AND(U2&lt;&gt;"NONE",OR(NOT(ISNUMBER(U2)),U2&lt;=0)),IF(V2="NONE",FALSE,IF(ISNUMBER(V2),OR(V2&lt;0,V2&lt;&gt;INT(V2)),TRUE)),NOT(ISNUMBER(K2)),AND(U2&lt;&gt;"NONE",NOT(ISNUMBER(L2))),Q2&gt;100000000,R2&gt;100000000,K2&lt;=0,K2&gt;100000000,IF(ISNUMBER(U2),U2&gt;100000000,FALSE),IF(ISNUMBER(L2),OR(L2&lt;=0,L2&gt;100000000),FALSE)),"INVALID",IF(COUNTIFS('Daily Log'!$A$2:$A$1001,A2,'Daily Log'!$I$2:$I$1001,"INVALID")&gt;0,"INVALID",IF(OR(COUNTIFS('Daily Log'!$A$2:$A$1001,A2,'Daily Log'!$I$2:$I$1001,"INCOMPLETE")&gt;0,COUNTIFS('Daily Log'!$I$2:$I$1001,"UNKNOWN_ACCOUNT")&gt;0),"INCOMPLETE","OK"))))),"INVALID")</f>
        <v/>
      </c>
      <c r="X2" s="17">
        <f>IFERROR(IF($W2&lt;&gt;"OK",$W2,IF(P2="static",Q2,IF(P2="eod_trailing",MAX(Q2,_xlfn.MAXIFS('Daily Log'!$C$2:$C$1001,'Daily Log'!$A$2:$A$1001,A2)),MAX(Q2,K2,_xlfn.MAXIFS('Daily Log'!$C$2:$C$1001,'Daily Log'!$A$2:$A$1001,A2),_xlfn.MAXIFS('Daily Log'!$D$2:$D$1001,'Daily Log'!$A$2:$A$1001,A2))))),"INVALID")</f>
        <v/>
      </c>
      <c r="Y2" s="18">
        <f>IFERROR(IF($W2&lt;&gt;"OK",$W2,-INT(ROUND(-(AJ2)*100,6))/100),"INVALID")</f>
        <v/>
      </c>
      <c r="Z2" s="10">
        <f>IFERROR(IF($W2&lt;&gt;"OK",$W2,AND(ISNUMBER(S2),P2&lt;&gt;"static",ROUND(X2-R2-(Q2+IF(ISNUMBER(S2),S2,0)),6)&gt;=0)),"INVALID")</f>
        <v/>
      </c>
      <c r="AA2" s="10">
        <f>IFERROR(IF($W2&lt;&gt;"OK",$W2,OR(COUNTIFS('Daily Log'!$A$2:$A$1001,A2,'Daily Log'!$I$2:$I$1001,"BREACHED")&gt;0,IF(T2,ROUND(K2-(AJ2),6)&lt;=0,ROUND(K2-(AJ2),6)&lt;0))),"INVALID")</f>
        <v/>
      </c>
      <c r="AB2" s="17">
        <f>IFERROR(IF($W2&lt;&gt;"OK",$W2,IF(AA2,"BREACHED",INT(ROUND((MAX(0,K2-AJ2))*100,6))/100)),"INVALID")</f>
        <v/>
      </c>
      <c r="AC2" s="17">
        <f>IFERROR(IF($W2&lt;&gt;"OK",$W2,IF(AA2,"BREACHED",IF(U2="NONE","NONE",INT(ROUND((MAX(0,U2-MAX(0,-(K2-L2))))*100,6))/100))),"INVALID")</f>
        <v/>
      </c>
      <c r="AD2" s="18">
        <f>IFERROR(IF($W2&lt;&gt;"OK",$W2,IF(AA2,"BREACHED",IF(AC2="NONE",AB2,MIN(AB2,AC2)))),"INVALID")</f>
        <v/>
      </c>
      <c r="AE2" s="16">
        <f>IFERROR(IF($W2&lt;&gt;"OK",$W2,IF(AA2,"BREACHED",IF(AND(AC2&lt;&gt;"NONE",AC2&lt;AB2),"daily_loss","drawdown"))),"INVALID")</f>
        <v/>
      </c>
      <c r="AF2" s="17">
        <f>IFERROR(IF(AK2&lt;&gt;"OK",AK2,IF(AA2,"BREACHED",INT(ROUND((MIN(M2,AD2))*100,6))/100)),"INVALID")</f>
        <v/>
      </c>
      <c r="AG2" s="19">
        <f>IFERROR(IF(AK2&lt;&gt;"OK",AK2,IF(AA2,"BREACHED",IF(V2="NONE",AL2,MIN(AL2,V2)))),"INVALID")</f>
        <v/>
      </c>
      <c r="AH2" s="10">
        <f>IFERROR(IF(AK2&lt;&gt;"OK",AK2,AND(V2&lt;&gt;"NONE",AL2&gt;V2)),"INVALID")</f>
        <v/>
      </c>
      <c r="AI2" s="10">
        <f>IFERROR(IF(AK2&lt;&gt;"OK",AK2,M2&gt;AD2),"INVALID")</f>
        <v/>
      </c>
      <c r="AJ2" s="10">
        <f>IFERROR(IF($W2&lt;&gt;"OK","",IF(P2="static",Q2-R2,IF(S2="NONE",X2-R2,MIN(X2-R2,Q2+S2)))),"INVALID")</f>
        <v/>
      </c>
      <c r="AK2" s="10">
        <f>IFERROR(IF($W2&lt;&gt;"OK",$W2,IF(OR(M2="",N2="",O2=""),"INCOMPLETE",IF(OR(NOT(ISNUMBER(M2)),M2&lt;0,NOT(ISNUMBER(N2)),N2&lt;1,N2&lt;&gt;INT(N2),NOT(ISNUMBER(O2)),O2&lt;=0,O2&gt;100000,ROUND(O2*1000000,3)&lt;&gt;INT(ROUND(O2*1000000,3)),M2&gt;100000000),"INVALID","OK"))),"INVALID")</f>
        <v/>
      </c>
      <c r="AL2" s="10">
        <f>IFERROR(IF(AK2&lt;&gt;"OK","",IF(AA2,0,INT(ROUND(MIN(M2,AD2)/(N2*O2),9)))),"INVALID")</f>
        <v/>
      </c>
      <c r="AM2" s="17">
        <f>IFERROR(IF(AK2&lt;&gt;"OK",AK2,IF(AA2,"BREACHED",INT(ROUND((AG2*N2*O2)*100,6))/100)),"INVALID")</f>
        <v/>
      </c>
      <c r="AN2" s="16">
        <f>IFERROR(IF(AND(A2="",B2=""),"",_xlfn.TEXTJOIN("; ",TRUE,IF(C2="partial","PARTIAL PRESET: verify "&amp;IFERROR(INDEX(Presets!$L$2:$L$200,MATCH($B2,Presets!$A$2:$A$200,0))&amp;"",""),""),IF(C2="manual","MANUAL: all params user-entered",""),IF(OR(AND(D2&lt;&gt;"",IFERROR(INDEX(Presets!$C$2:$C$200,MATCH($B2,Presets!$A$2:$A$200,0))&amp;"","")&lt;&gt;""),AND(E2&lt;&gt;"",IFERROR(INDEX(Presets!$D$2:$D$200,MATCH($B2,Presets!$A$2:$A$200,0))&amp;"","")&lt;&gt;""),AND(F2&lt;&gt;"",IFERROR(INDEX(Presets!$E$2:$E$200,MATCH($B2,Presets!$A$2:$A$200,0))&amp;"","")&lt;&gt;""),AND(G2&lt;&gt;"",IFERROR(INDEX(Presets!$G$2:$G$200,MATCH($B2,Presets!$A$2:$A$200,0))&amp;"","")&lt;&gt;""),AND(H2&lt;&gt;"",IFERROR(INDEX(Presets!$H$2:$H$200,MATCH($B2,Presets!$A$2:$A$200,0))&amp;"","")&lt;&gt;""),AND(I2&lt;&gt;"",IFERROR(INDEX(Presets!$I$2:$I$200,MATCH($B2,Presets!$A$2:$A$200,0))&amp;"","")&lt;&gt;""),AND(J2&lt;&gt;"",IFERROR(INDEX(Presets!$J$2:$J$200,MATCH($B2,Presets!$A$2:$A$200,0))&amp;"","")&lt;&gt;"")),"OVERRIDES PRESET",""),IF(AND(A2&lt;&gt;"",V2=""),"MAX CONTRACTS MISSING: enter a number or NONE",""),IF(AND(IFERROR(INDEX(Presets!$N$2:$N$200,MATCH($B2,Presets!$A$2:$A$200,0))&amp;"","")&lt;&gt;"",NOT(ISNUMBER($B$13))),"AS-OF DATE MISSING: enter today in B13 (stale check off)",""),IF(AND(IFERROR(INDEX(Presets!$N$2:$N$200,MATCH($B2,Presets!$A$2:$A$200,0))&amp;"","")&lt;&gt;"",ISNUMBER($B$13)),IF($B$13-DATE(VALUE(LEFT(IFERROR(INDEX(Presets!$N$2:$N$200,MATCH($B2,Presets!$A$2:$A$200,0))&amp;"",""),4)),VALUE(MID(IFERROR(INDEX(Presets!$N$2:$N$200,MATCH($B2,Presets!$A$2:$A$200,0))&amp;"",""),6,2)),VALUE(MID(IFERROR(INDEX(Presets!$N$2:$N$200,MATCH($B2,Presets!$A$2:$A$200,0))&amp;"",""),9,2)))&gt;30,"STALE PRESET: checked "&amp;IFERROR(INDEX(Presets!$N$2:$N$200,MATCH($B2,Presets!$A$2:$A$200,0))&amp;"","")&amp;", over 30 days before As of",""),""),IF(IFERROR(INDEX(Presets!$M$2:$M$200,MATCH($B2,Presets!$A$2:$A$200,0))&amp;"","")&lt;&gt;"","source: "&amp;IFERROR(INDEX(Presets!$M$2:$M$200,MATCH($B2,Presets!$A$2:$A$200,0))&amp;"","")&amp;" checked "&amp;IFERROR(INDEX(Presets!$N$2:$N$200,MATCH($B2,Presets!$A$2:$A$200,0))&amp;"",""),""))),"INVALID")</f>
        <v/>
      </c>
    </row>
    <row r="3" ht="20" customHeight="1">
      <c r="A3" s="9" t="n"/>
      <c r="B3" s="9" t="n"/>
      <c r="C3" s="10">
        <f>IFERROR(INDEX(Presets!$B$2:$B$200,MATCH($B3,Presets!$A$2:$A$200,0))&amp;"","")</f>
        <v/>
      </c>
      <c r="D3" s="11" t="n"/>
      <c r="E3" s="12" t="n"/>
      <c r="F3" s="12" t="n"/>
      <c r="G3" s="11" t="n"/>
      <c r="H3" s="11" t="n"/>
      <c r="I3" s="12" t="n"/>
      <c r="J3" s="11" t="n"/>
      <c r="K3" s="12" t="n"/>
      <c r="L3" s="12" t="n"/>
      <c r="M3" s="12" t="n"/>
      <c r="N3" s="11" t="n"/>
      <c r="O3" s="11" t="n"/>
      <c r="P3" s="13">
        <f>IFERROR(IF(D3&lt;&gt;"",D3,IFERROR(INDEX(Presets!$C$2:$C$200,MATCH($B3,Presets!$A$2:$A$200,0))&amp;"","")),"INVALID")</f>
        <v/>
      </c>
      <c r="Q3" s="14">
        <f>IFERROR(IF(E3&lt;&gt;"",E3,IF(IFERROR(INDEX(Presets!$D$2:$D$200,MATCH($B3,Presets!$A$2:$A$200,0))&amp;"","")&lt;&gt;"",VALUE(IFERROR(INDEX(Presets!$D$2:$D$200,MATCH($B3,Presets!$A$2:$A$200,0))&amp;"","")),"")),"INVALID")</f>
        <v/>
      </c>
      <c r="R3" s="14">
        <f>IFERROR(IF(F3&lt;&gt;"",F3,IF(IFERROR(INDEX(Presets!$E$2:$E$200,MATCH($B3,Presets!$A$2:$A$200,0))&amp;"","")&lt;&gt;"",VALUE(IFERROR(INDEX(Presets!$E$2:$E$200,MATCH($B3,Presets!$A$2:$A$200,0))&amp;"","")),IF(AND(IFERROR(INDEX(Presets!$F$2:$F$200,MATCH($B3,Presets!$A$2:$A$200,0))&amp;"","")&lt;&gt;"",ISNUMBER(Q3)),VALUE(IFERROR(INDEX(Presets!$F$2:$F$200,MATCH($B3,Presets!$A$2:$A$200,0))&amp;"",""))/100*Q3,""))),"INVALID")</f>
        <v/>
      </c>
      <c r="S3" s="15">
        <f>IFERROR(IF(G3&lt;&gt;"",G3,IF(IFERROR(INDEX(Presets!$G$2:$G$200,MATCH($B3,Presets!$A$2:$A$200,0))&amp;"","")="NONE","NONE",IF(IFERROR(INDEX(Presets!$G$2:$G$200,MATCH($B3,Presets!$A$2:$A$200,0))&amp;"","")&lt;&gt;"",VALUE(IFERROR(INDEX(Presets!$G$2:$G$200,MATCH($B3,Presets!$A$2:$A$200,0))&amp;"","")),""))),"INVALID")</f>
        <v/>
      </c>
      <c r="T3" s="15">
        <f>IFERROR(IF(H3&lt;&gt;"",H3,IF(IFERROR(INDEX(Presets!$H$2:$H$200,MATCH($B3,Presets!$A$2:$A$200,0))&amp;"","")="TRUE",TRUE,IF(IFERROR(INDEX(Presets!$H$2:$H$200,MATCH($B3,Presets!$A$2:$A$200,0))&amp;"","")="FALSE",FALSE,""))),"INVALID")</f>
        <v/>
      </c>
      <c r="U3" s="14">
        <f>IFERROR(IF(I3&lt;&gt;"",I3,IF(IFERROR(INDEX(Presets!$I$2:$I$200,MATCH($B3,Presets!$A$2:$A$200,0))&amp;"","")="NONE","NONE",IF(IFERROR(INDEX(Presets!$I$2:$I$200,MATCH($B3,Presets!$A$2:$A$200,0))&amp;"","")&lt;&gt;"",VALUE(IFERROR(INDEX(Presets!$I$2:$I$200,MATCH($B3,Presets!$A$2:$A$200,0))&amp;"","")),""))),"INVALID")</f>
        <v/>
      </c>
      <c r="V3" s="15">
        <f>IFERROR(IF(J3&lt;&gt;"",J3,IF(IFERROR(INDEX(Presets!$J$2:$J$200,MATCH($B3,Presets!$A$2:$A$200,0))&amp;"","")&lt;&gt;"",VALUE(IFERROR(INDEX(Presets!$J$2:$J$200,MATCH($B3,Presets!$A$2:$A$200,0))&amp;"","")),"")),"INVALID")</f>
        <v/>
      </c>
      <c r="W3" s="16">
        <f>IFERROR(IF(AND(A3="",B3=""),"",IF(OR(A3="",B3="",P3="",Q3="",R3="",S3="",T3="",U3="",V3="",K3="",AND(U3&lt;&gt;"NONE",L3="")),"INCOMPLETE",IF(OR(COUNTIFS($A$2:$A$11,A3)&gt;1,AND(P3&lt;&gt;"static",P3&lt;&gt;"eod_trailing",P3&lt;&gt;"intraday_trailing"),NOT(ISNUMBER(Q3)),Q3&lt;=0,ROUND(Q3*100,6)&lt;&gt;INT(ROUND(Q3*100,6)),NOT(ISNUMBER(R3)),R3&lt;=0,ROUND(R3*100,6)&lt;&gt;INT(ROUND(R3*100,6)),AND(S3&lt;&gt;"NONE",NOT(ISNUMBER(S3))),AND(P3="static",S3&lt;&gt;"NONE"),IF(ISNUMBER(S3),ROUND(Q3+S3-(Q3-R3),6)&lt;=0,FALSE),IF(ISNUMBER(S3),OR(S3&lt;-100000000,S3&gt;100000000),FALSE),AND(T3&lt;&gt;TRUE,T3&lt;&gt;FALSE),AND(U3&lt;&gt;"NONE",OR(NOT(ISNUMBER(U3)),U3&lt;=0)),IF(V3="NONE",FALSE,IF(ISNUMBER(V3),OR(V3&lt;0,V3&lt;&gt;INT(V3)),TRUE)),NOT(ISNUMBER(K3)),AND(U3&lt;&gt;"NONE",NOT(ISNUMBER(L3))),Q3&gt;100000000,R3&gt;100000000,K3&lt;=0,K3&gt;100000000,IF(ISNUMBER(U3),U3&gt;100000000,FALSE),IF(ISNUMBER(L3),OR(L3&lt;=0,L3&gt;100000000),FALSE)),"INVALID",IF(COUNTIFS('Daily Log'!$A$2:$A$1001,A3,'Daily Log'!$I$2:$I$1001,"INVALID")&gt;0,"INVALID",IF(OR(COUNTIFS('Daily Log'!$A$2:$A$1001,A3,'Daily Log'!$I$2:$I$1001,"INCOMPLETE")&gt;0,COUNTIFS('Daily Log'!$I$2:$I$1001,"UNKNOWN_ACCOUNT")&gt;0),"INCOMPLETE","OK"))))),"INVALID")</f>
        <v/>
      </c>
      <c r="X3" s="17">
        <f>IFERROR(IF($W3&lt;&gt;"OK",$W3,IF(P3="static",Q3,IF(P3="eod_trailing",MAX(Q3,_xlfn.MAXIFS('Daily Log'!$C$2:$C$1001,'Daily Log'!$A$2:$A$1001,A3)),MAX(Q3,K3,_xlfn.MAXIFS('Daily Log'!$C$2:$C$1001,'Daily Log'!$A$2:$A$1001,A3),_xlfn.MAXIFS('Daily Log'!$D$2:$D$1001,'Daily Log'!$A$2:$A$1001,A3))))),"INVALID")</f>
        <v/>
      </c>
      <c r="Y3" s="18">
        <f>IFERROR(IF($W3&lt;&gt;"OK",$W3,-INT(ROUND(-(AJ3)*100,6))/100),"INVALID")</f>
        <v/>
      </c>
      <c r="Z3" s="10">
        <f>IFERROR(IF($W3&lt;&gt;"OK",$W3,AND(ISNUMBER(S3),P3&lt;&gt;"static",ROUND(X3-R3-(Q3+IF(ISNUMBER(S3),S3,0)),6)&gt;=0)),"INVALID")</f>
        <v/>
      </c>
      <c r="AA3" s="10">
        <f>IFERROR(IF($W3&lt;&gt;"OK",$W3,OR(COUNTIFS('Daily Log'!$A$2:$A$1001,A3,'Daily Log'!$I$2:$I$1001,"BREACHED")&gt;0,IF(T3,ROUND(K3-(AJ3),6)&lt;=0,ROUND(K3-(AJ3),6)&lt;0))),"INVALID")</f>
        <v/>
      </c>
      <c r="AB3" s="17">
        <f>IFERROR(IF($W3&lt;&gt;"OK",$W3,IF(AA3,"BREACHED",INT(ROUND((MAX(0,K3-AJ3))*100,6))/100)),"INVALID")</f>
        <v/>
      </c>
      <c r="AC3" s="17">
        <f>IFERROR(IF($W3&lt;&gt;"OK",$W3,IF(AA3,"BREACHED",IF(U3="NONE","NONE",INT(ROUND((MAX(0,U3-MAX(0,-(K3-L3))))*100,6))/100))),"INVALID")</f>
        <v/>
      </c>
      <c r="AD3" s="18">
        <f>IFERROR(IF($W3&lt;&gt;"OK",$W3,IF(AA3,"BREACHED",IF(AC3="NONE",AB3,MIN(AB3,AC3)))),"INVALID")</f>
        <v/>
      </c>
      <c r="AE3" s="16">
        <f>IFERROR(IF($W3&lt;&gt;"OK",$W3,IF(AA3,"BREACHED",IF(AND(AC3&lt;&gt;"NONE",AC3&lt;AB3),"daily_loss","drawdown"))),"INVALID")</f>
        <v/>
      </c>
      <c r="AF3" s="17">
        <f>IFERROR(IF(AK3&lt;&gt;"OK",AK3,IF(AA3,"BREACHED",INT(ROUND((MIN(M3,AD3))*100,6))/100)),"INVALID")</f>
        <v/>
      </c>
      <c r="AG3" s="19">
        <f>IFERROR(IF(AK3&lt;&gt;"OK",AK3,IF(AA3,"BREACHED",IF(V3="NONE",AL3,MIN(AL3,V3)))),"INVALID")</f>
        <v/>
      </c>
      <c r="AH3" s="10">
        <f>IFERROR(IF(AK3&lt;&gt;"OK",AK3,AND(V3&lt;&gt;"NONE",AL3&gt;V3)),"INVALID")</f>
        <v/>
      </c>
      <c r="AI3" s="10">
        <f>IFERROR(IF(AK3&lt;&gt;"OK",AK3,M3&gt;AD3),"INVALID")</f>
        <v/>
      </c>
      <c r="AJ3" s="10">
        <f>IFERROR(IF($W3&lt;&gt;"OK","",IF(P3="static",Q3-R3,IF(S3="NONE",X3-R3,MIN(X3-R3,Q3+S3)))),"INVALID")</f>
        <v/>
      </c>
      <c r="AK3" s="10">
        <f>IFERROR(IF($W3&lt;&gt;"OK",$W3,IF(OR(M3="",N3="",O3=""),"INCOMPLETE",IF(OR(NOT(ISNUMBER(M3)),M3&lt;0,NOT(ISNUMBER(N3)),N3&lt;1,N3&lt;&gt;INT(N3),NOT(ISNUMBER(O3)),O3&lt;=0,O3&gt;100000,ROUND(O3*1000000,3)&lt;&gt;INT(ROUND(O3*1000000,3)),M3&gt;100000000),"INVALID","OK"))),"INVALID")</f>
        <v/>
      </c>
      <c r="AL3" s="10">
        <f>IFERROR(IF(AK3&lt;&gt;"OK","",IF(AA3,0,INT(ROUND(MIN(M3,AD3)/(N3*O3),9)))),"INVALID")</f>
        <v/>
      </c>
      <c r="AM3" s="17">
        <f>IFERROR(IF(AK3&lt;&gt;"OK",AK3,IF(AA3,"BREACHED",INT(ROUND((AG3*N3*O3)*100,6))/100)),"INVALID")</f>
        <v/>
      </c>
      <c r="AN3" s="16">
        <f>IFERROR(IF(AND(A3="",B3=""),"",_xlfn.TEXTJOIN("; ",TRUE,IF(C3="partial","PARTIAL PRESET: verify "&amp;IFERROR(INDEX(Presets!$L$2:$L$200,MATCH($B3,Presets!$A$2:$A$200,0))&amp;"",""),""),IF(C3="manual","MANUAL: all params user-entered",""),IF(OR(AND(D3&lt;&gt;"",IFERROR(INDEX(Presets!$C$2:$C$200,MATCH($B3,Presets!$A$2:$A$200,0))&amp;"","")&lt;&gt;""),AND(E3&lt;&gt;"",IFERROR(INDEX(Presets!$D$2:$D$200,MATCH($B3,Presets!$A$2:$A$200,0))&amp;"","")&lt;&gt;""),AND(F3&lt;&gt;"",IFERROR(INDEX(Presets!$E$2:$E$200,MATCH($B3,Presets!$A$2:$A$200,0))&amp;"","")&lt;&gt;""),AND(G3&lt;&gt;"",IFERROR(INDEX(Presets!$G$2:$G$200,MATCH($B3,Presets!$A$2:$A$200,0))&amp;"","")&lt;&gt;""),AND(H3&lt;&gt;"",IFERROR(INDEX(Presets!$H$2:$H$200,MATCH($B3,Presets!$A$2:$A$200,0))&amp;"","")&lt;&gt;""),AND(I3&lt;&gt;"",IFERROR(INDEX(Presets!$I$2:$I$200,MATCH($B3,Presets!$A$2:$A$200,0))&amp;"","")&lt;&gt;""),AND(J3&lt;&gt;"",IFERROR(INDEX(Presets!$J$2:$J$200,MATCH($B3,Presets!$A$2:$A$200,0))&amp;"","")&lt;&gt;"")),"OVERRIDES PRESET",""),IF(AND(A3&lt;&gt;"",V3=""),"MAX CONTRACTS MISSING: enter a number or NONE",""),IF(AND(IFERROR(INDEX(Presets!$N$2:$N$200,MATCH($B3,Presets!$A$2:$A$200,0))&amp;"","")&lt;&gt;"",NOT(ISNUMBER($B$13))),"AS-OF DATE MISSING: enter today in B13 (stale check off)",""),IF(AND(IFERROR(INDEX(Presets!$N$2:$N$200,MATCH($B3,Presets!$A$2:$A$200,0))&amp;"","")&lt;&gt;"",ISNUMBER($B$13)),IF($B$13-DATE(VALUE(LEFT(IFERROR(INDEX(Presets!$N$2:$N$200,MATCH($B3,Presets!$A$2:$A$200,0))&amp;"",""),4)),VALUE(MID(IFERROR(INDEX(Presets!$N$2:$N$200,MATCH($B3,Presets!$A$2:$A$200,0))&amp;"",""),6,2)),VALUE(MID(IFERROR(INDEX(Presets!$N$2:$N$200,MATCH($B3,Presets!$A$2:$A$200,0))&amp;"",""),9,2)))&gt;30,"STALE PRESET: checked "&amp;IFERROR(INDEX(Presets!$N$2:$N$200,MATCH($B3,Presets!$A$2:$A$200,0))&amp;"","")&amp;", over 30 days before As of",""),""),IF(IFERROR(INDEX(Presets!$M$2:$M$200,MATCH($B3,Presets!$A$2:$A$200,0))&amp;"","")&lt;&gt;"","source: "&amp;IFERROR(INDEX(Presets!$M$2:$M$200,MATCH($B3,Presets!$A$2:$A$200,0))&amp;"","")&amp;" checked "&amp;IFERROR(INDEX(Presets!$N$2:$N$200,MATCH($B3,Presets!$A$2:$A$200,0))&amp;"",""),""))),"INVALID")</f>
        <v/>
      </c>
    </row>
    <row r="4" ht="20" customHeight="1">
      <c r="A4" s="9" t="n"/>
      <c r="B4" s="9" t="n"/>
      <c r="C4" s="10">
        <f>IFERROR(INDEX(Presets!$B$2:$B$200,MATCH($B4,Presets!$A$2:$A$200,0))&amp;"","")</f>
        <v/>
      </c>
      <c r="D4" s="11" t="n"/>
      <c r="E4" s="12" t="n"/>
      <c r="F4" s="12" t="n"/>
      <c r="G4" s="11" t="n"/>
      <c r="H4" s="11" t="n"/>
      <c r="I4" s="12" t="n"/>
      <c r="J4" s="11" t="n"/>
      <c r="K4" s="12" t="n"/>
      <c r="L4" s="12" t="n"/>
      <c r="M4" s="12" t="n"/>
      <c r="N4" s="11" t="n"/>
      <c r="O4" s="11" t="n"/>
      <c r="P4" s="13">
        <f>IFERROR(IF(D4&lt;&gt;"",D4,IFERROR(INDEX(Presets!$C$2:$C$200,MATCH($B4,Presets!$A$2:$A$200,0))&amp;"","")),"INVALID")</f>
        <v/>
      </c>
      <c r="Q4" s="14">
        <f>IFERROR(IF(E4&lt;&gt;"",E4,IF(IFERROR(INDEX(Presets!$D$2:$D$200,MATCH($B4,Presets!$A$2:$A$200,0))&amp;"","")&lt;&gt;"",VALUE(IFERROR(INDEX(Presets!$D$2:$D$200,MATCH($B4,Presets!$A$2:$A$200,0))&amp;"","")),"")),"INVALID")</f>
        <v/>
      </c>
      <c r="R4" s="14">
        <f>IFERROR(IF(F4&lt;&gt;"",F4,IF(IFERROR(INDEX(Presets!$E$2:$E$200,MATCH($B4,Presets!$A$2:$A$200,0))&amp;"","")&lt;&gt;"",VALUE(IFERROR(INDEX(Presets!$E$2:$E$200,MATCH($B4,Presets!$A$2:$A$200,0))&amp;"","")),IF(AND(IFERROR(INDEX(Presets!$F$2:$F$200,MATCH($B4,Presets!$A$2:$A$200,0))&amp;"","")&lt;&gt;"",ISNUMBER(Q4)),VALUE(IFERROR(INDEX(Presets!$F$2:$F$200,MATCH($B4,Presets!$A$2:$A$200,0))&amp;"",""))/100*Q4,""))),"INVALID")</f>
        <v/>
      </c>
      <c r="S4" s="15">
        <f>IFERROR(IF(G4&lt;&gt;"",G4,IF(IFERROR(INDEX(Presets!$G$2:$G$200,MATCH($B4,Presets!$A$2:$A$200,0))&amp;"","")="NONE","NONE",IF(IFERROR(INDEX(Presets!$G$2:$G$200,MATCH($B4,Presets!$A$2:$A$200,0))&amp;"","")&lt;&gt;"",VALUE(IFERROR(INDEX(Presets!$G$2:$G$200,MATCH($B4,Presets!$A$2:$A$200,0))&amp;"","")),""))),"INVALID")</f>
        <v/>
      </c>
      <c r="T4" s="15">
        <f>IFERROR(IF(H4&lt;&gt;"",H4,IF(IFERROR(INDEX(Presets!$H$2:$H$200,MATCH($B4,Presets!$A$2:$A$200,0))&amp;"","")="TRUE",TRUE,IF(IFERROR(INDEX(Presets!$H$2:$H$200,MATCH($B4,Presets!$A$2:$A$200,0))&amp;"","")="FALSE",FALSE,""))),"INVALID")</f>
        <v/>
      </c>
      <c r="U4" s="14">
        <f>IFERROR(IF(I4&lt;&gt;"",I4,IF(IFERROR(INDEX(Presets!$I$2:$I$200,MATCH($B4,Presets!$A$2:$A$200,0))&amp;"","")="NONE","NONE",IF(IFERROR(INDEX(Presets!$I$2:$I$200,MATCH($B4,Presets!$A$2:$A$200,0))&amp;"","")&lt;&gt;"",VALUE(IFERROR(INDEX(Presets!$I$2:$I$200,MATCH($B4,Presets!$A$2:$A$200,0))&amp;"","")),""))),"INVALID")</f>
        <v/>
      </c>
      <c r="V4" s="15">
        <f>IFERROR(IF(J4&lt;&gt;"",J4,IF(IFERROR(INDEX(Presets!$J$2:$J$200,MATCH($B4,Presets!$A$2:$A$200,0))&amp;"","")&lt;&gt;"",VALUE(IFERROR(INDEX(Presets!$J$2:$J$200,MATCH($B4,Presets!$A$2:$A$200,0))&amp;"","")),"")),"INVALID")</f>
        <v/>
      </c>
      <c r="W4" s="16">
        <f>IFERROR(IF(AND(A4="",B4=""),"",IF(OR(A4="",B4="",P4="",Q4="",R4="",S4="",T4="",U4="",V4="",K4="",AND(U4&lt;&gt;"NONE",L4="")),"INCOMPLETE",IF(OR(COUNTIFS($A$2:$A$11,A4)&gt;1,AND(P4&lt;&gt;"static",P4&lt;&gt;"eod_trailing",P4&lt;&gt;"intraday_trailing"),NOT(ISNUMBER(Q4)),Q4&lt;=0,ROUND(Q4*100,6)&lt;&gt;INT(ROUND(Q4*100,6)),NOT(ISNUMBER(R4)),R4&lt;=0,ROUND(R4*100,6)&lt;&gt;INT(ROUND(R4*100,6)),AND(S4&lt;&gt;"NONE",NOT(ISNUMBER(S4))),AND(P4="static",S4&lt;&gt;"NONE"),IF(ISNUMBER(S4),ROUND(Q4+S4-(Q4-R4),6)&lt;=0,FALSE),IF(ISNUMBER(S4),OR(S4&lt;-100000000,S4&gt;100000000),FALSE),AND(T4&lt;&gt;TRUE,T4&lt;&gt;FALSE),AND(U4&lt;&gt;"NONE",OR(NOT(ISNUMBER(U4)),U4&lt;=0)),IF(V4="NONE",FALSE,IF(ISNUMBER(V4),OR(V4&lt;0,V4&lt;&gt;INT(V4)),TRUE)),NOT(ISNUMBER(K4)),AND(U4&lt;&gt;"NONE",NOT(ISNUMBER(L4))),Q4&gt;100000000,R4&gt;100000000,K4&lt;=0,K4&gt;100000000,IF(ISNUMBER(U4),U4&gt;100000000,FALSE),IF(ISNUMBER(L4),OR(L4&lt;=0,L4&gt;100000000),FALSE)),"INVALID",IF(COUNTIFS('Daily Log'!$A$2:$A$1001,A4,'Daily Log'!$I$2:$I$1001,"INVALID")&gt;0,"INVALID",IF(OR(COUNTIFS('Daily Log'!$A$2:$A$1001,A4,'Daily Log'!$I$2:$I$1001,"INCOMPLETE")&gt;0,COUNTIFS('Daily Log'!$I$2:$I$1001,"UNKNOWN_ACCOUNT")&gt;0),"INCOMPLETE","OK"))))),"INVALID")</f>
        <v/>
      </c>
      <c r="X4" s="17">
        <f>IFERROR(IF($W4&lt;&gt;"OK",$W4,IF(P4="static",Q4,IF(P4="eod_trailing",MAX(Q4,_xlfn.MAXIFS('Daily Log'!$C$2:$C$1001,'Daily Log'!$A$2:$A$1001,A4)),MAX(Q4,K4,_xlfn.MAXIFS('Daily Log'!$C$2:$C$1001,'Daily Log'!$A$2:$A$1001,A4),_xlfn.MAXIFS('Daily Log'!$D$2:$D$1001,'Daily Log'!$A$2:$A$1001,A4))))),"INVALID")</f>
        <v/>
      </c>
      <c r="Y4" s="18">
        <f>IFERROR(IF($W4&lt;&gt;"OK",$W4,-INT(ROUND(-(AJ4)*100,6))/100),"INVALID")</f>
        <v/>
      </c>
      <c r="Z4" s="10">
        <f>IFERROR(IF($W4&lt;&gt;"OK",$W4,AND(ISNUMBER(S4),P4&lt;&gt;"static",ROUND(X4-R4-(Q4+IF(ISNUMBER(S4),S4,0)),6)&gt;=0)),"INVALID")</f>
        <v/>
      </c>
      <c r="AA4" s="10">
        <f>IFERROR(IF($W4&lt;&gt;"OK",$W4,OR(COUNTIFS('Daily Log'!$A$2:$A$1001,A4,'Daily Log'!$I$2:$I$1001,"BREACHED")&gt;0,IF(T4,ROUND(K4-(AJ4),6)&lt;=0,ROUND(K4-(AJ4),6)&lt;0))),"INVALID")</f>
        <v/>
      </c>
      <c r="AB4" s="17">
        <f>IFERROR(IF($W4&lt;&gt;"OK",$W4,IF(AA4,"BREACHED",INT(ROUND((MAX(0,K4-AJ4))*100,6))/100)),"INVALID")</f>
        <v/>
      </c>
      <c r="AC4" s="17">
        <f>IFERROR(IF($W4&lt;&gt;"OK",$W4,IF(AA4,"BREACHED",IF(U4="NONE","NONE",INT(ROUND((MAX(0,U4-MAX(0,-(K4-L4))))*100,6))/100))),"INVALID")</f>
        <v/>
      </c>
      <c r="AD4" s="18">
        <f>IFERROR(IF($W4&lt;&gt;"OK",$W4,IF(AA4,"BREACHED",IF(AC4="NONE",AB4,MIN(AB4,AC4)))),"INVALID")</f>
        <v/>
      </c>
      <c r="AE4" s="16">
        <f>IFERROR(IF($W4&lt;&gt;"OK",$W4,IF(AA4,"BREACHED",IF(AND(AC4&lt;&gt;"NONE",AC4&lt;AB4),"daily_loss","drawdown"))),"INVALID")</f>
        <v/>
      </c>
      <c r="AF4" s="17">
        <f>IFERROR(IF(AK4&lt;&gt;"OK",AK4,IF(AA4,"BREACHED",INT(ROUND((MIN(M4,AD4))*100,6))/100)),"INVALID")</f>
        <v/>
      </c>
      <c r="AG4" s="19">
        <f>IFERROR(IF(AK4&lt;&gt;"OK",AK4,IF(AA4,"BREACHED",IF(V4="NONE",AL4,MIN(AL4,V4)))),"INVALID")</f>
        <v/>
      </c>
      <c r="AH4" s="10">
        <f>IFERROR(IF(AK4&lt;&gt;"OK",AK4,AND(V4&lt;&gt;"NONE",AL4&gt;V4)),"INVALID")</f>
        <v/>
      </c>
      <c r="AI4" s="10">
        <f>IFERROR(IF(AK4&lt;&gt;"OK",AK4,M4&gt;AD4),"INVALID")</f>
        <v/>
      </c>
      <c r="AJ4" s="10">
        <f>IFERROR(IF($W4&lt;&gt;"OK","",IF(P4="static",Q4-R4,IF(S4="NONE",X4-R4,MIN(X4-R4,Q4+S4)))),"INVALID")</f>
        <v/>
      </c>
      <c r="AK4" s="10">
        <f>IFERROR(IF($W4&lt;&gt;"OK",$W4,IF(OR(M4="",N4="",O4=""),"INCOMPLETE",IF(OR(NOT(ISNUMBER(M4)),M4&lt;0,NOT(ISNUMBER(N4)),N4&lt;1,N4&lt;&gt;INT(N4),NOT(ISNUMBER(O4)),O4&lt;=0,O4&gt;100000,ROUND(O4*1000000,3)&lt;&gt;INT(ROUND(O4*1000000,3)),M4&gt;100000000),"INVALID","OK"))),"INVALID")</f>
        <v/>
      </c>
      <c r="AL4" s="10">
        <f>IFERROR(IF(AK4&lt;&gt;"OK","",IF(AA4,0,INT(ROUND(MIN(M4,AD4)/(N4*O4),9)))),"INVALID")</f>
        <v/>
      </c>
      <c r="AM4" s="17">
        <f>IFERROR(IF(AK4&lt;&gt;"OK",AK4,IF(AA4,"BREACHED",INT(ROUND((AG4*N4*O4)*100,6))/100)),"INVALID")</f>
        <v/>
      </c>
      <c r="AN4" s="16">
        <f>IFERROR(IF(AND(A4="",B4=""),"",_xlfn.TEXTJOIN("; ",TRUE,IF(C4="partial","PARTIAL PRESET: verify "&amp;IFERROR(INDEX(Presets!$L$2:$L$200,MATCH($B4,Presets!$A$2:$A$200,0))&amp;"",""),""),IF(C4="manual","MANUAL: all params user-entered",""),IF(OR(AND(D4&lt;&gt;"",IFERROR(INDEX(Presets!$C$2:$C$200,MATCH($B4,Presets!$A$2:$A$200,0))&amp;"","")&lt;&gt;""),AND(E4&lt;&gt;"",IFERROR(INDEX(Presets!$D$2:$D$200,MATCH($B4,Presets!$A$2:$A$200,0))&amp;"","")&lt;&gt;""),AND(F4&lt;&gt;"",IFERROR(INDEX(Presets!$E$2:$E$200,MATCH($B4,Presets!$A$2:$A$200,0))&amp;"","")&lt;&gt;""),AND(G4&lt;&gt;"",IFERROR(INDEX(Presets!$G$2:$G$200,MATCH($B4,Presets!$A$2:$A$200,0))&amp;"","")&lt;&gt;""),AND(H4&lt;&gt;"",IFERROR(INDEX(Presets!$H$2:$H$200,MATCH($B4,Presets!$A$2:$A$200,0))&amp;"","")&lt;&gt;""),AND(I4&lt;&gt;"",IFERROR(INDEX(Presets!$I$2:$I$200,MATCH($B4,Presets!$A$2:$A$200,0))&amp;"","")&lt;&gt;""),AND(J4&lt;&gt;"",IFERROR(INDEX(Presets!$J$2:$J$200,MATCH($B4,Presets!$A$2:$A$200,0))&amp;"","")&lt;&gt;"")),"OVERRIDES PRESET",""),IF(AND(A4&lt;&gt;"",V4=""),"MAX CONTRACTS MISSING: enter a number or NONE",""),IF(AND(IFERROR(INDEX(Presets!$N$2:$N$200,MATCH($B4,Presets!$A$2:$A$200,0))&amp;"","")&lt;&gt;"",NOT(ISNUMBER($B$13))),"AS-OF DATE MISSING: enter today in B13 (stale check off)",""),IF(AND(IFERROR(INDEX(Presets!$N$2:$N$200,MATCH($B4,Presets!$A$2:$A$200,0))&amp;"","")&lt;&gt;"",ISNUMBER($B$13)),IF($B$13-DATE(VALUE(LEFT(IFERROR(INDEX(Presets!$N$2:$N$200,MATCH($B4,Presets!$A$2:$A$200,0))&amp;"",""),4)),VALUE(MID(IFERROR(INDEX(Presets!$N$2:$N$200,MATCH($B4,Presets!$A$2:$A$200,0))&amp;"",""),6,2)),VALUE(MID(IFERROR(INDEX(Presets!$N$2:$N$200,MATCH($B4,Presets!$A$2:$A$200,0))&amp;"",""),9,2)))&gt;30,"STALE PRESET: checked "&amp;IFERROR(INDEX(Presets!$N$2:$N$200,MATCH($B4,Presets!$A$2:$A$200,0))&amp;"","")&amp;", over 30 days before As of",""),""),IF(IFERROR(INDEX(Presets!$M$2:$M$200,MATCH($B4,Presets!$A$2:$A$200,0))&amp;"","")&lt;&gt;"","source: "&amp;IFERROR(INDEX(Presets!$M$2:$M$200,MATCH($B4,Presets!$A$2:$A$200,0))&amp;"","")&amp;" checked "&amp;IFERROR(INDEX(Presets!$N$2:$N$200,MATCH($B4,Presets!$A$2:$A$200,0))&amp;"",""),""))),"INVALID")</f>
        <v/>
      </c>
    </row>
    <row r="5" ht="20" customHeight="1">
      <c r="A5" s="9" t="n"/>
      <c r="B5" s="9" t="n"/>
      <c r="C5" s="10">
        <f>IFERROR(INDEX(Presets!$B$2:$B$200,MATCH($B5,Presets!$A$2:$A$200,0))&amp;"","")</f>
        <v/>
      </c>
      <c r="D5" s="11" t="n"/>
      <c r="E5" s="12" t="n"/>
      <c r="F5" s="12" t="n"/>
      <c r="G5" s="11" t="n"/>
      <c r="H5" s="11" t="n"/>
      <c r="I5" s="12" t="n"/>
      <c r="J5" s="11" t="n"/>
      <c r="K5" s="12" t="n"/>
      <c r="L5" s="12" t="n"/>
      <c r="M5" s="12" t="n"/>
      <c r="N5" s="11" t="n"/>
      <c r="O5" s="11" t="n"/>
      <c r="P5" s="13">
        <f>IFERROR(IF(D5&lt;&gt;"",D5,IFERROR(INDEX(Presets!$C$2:$C$200,MATCH($B5,Presets!$A$2:$A$200,0))&amp;"","")),"INVALID")</f>
        <v/>
      </c>
      <c r="Q5" s="14">
        <f>IFERROR(IF(E5&lt;&gt;"",E5,IF(IFERROR(INDEX(Presets!$D$2:$D$200,MATCH($B5,Presets!$A$2:$A$200,0))&amp;"","")&lt;&gt;"",VALUE(IFERROR(INDEX(Presets!$D$2:$D$200,MATCH($B5,Presets!$A$2:$A$200,0))&amp;"","")),"")),"INVALID")</f>
        <v/>
      </c>
      <c r="R5" s="14">
        <f>IFERROR(IF(F5&lt;&gt;"",F5,IF(IFERROR(INDEX(Presets!$E$2:$E$200,MATCH($B5,Presets!$A$2:$A$200,0))&amp;"","")&lt;&gt;"",VALUE(IFERROR(INDEX(Presets!$E$2:$E$200,MATCH($B5,Presets!$A$2:$A$200,0))&amp;"","")),IF(AND(IFERROR(INDEX(Presets!$F$2:$F$200,MATCH($B5,Presets!$A$2:$A$200,0))&amp;"","")&lt;&gt;"",ISNUMBER(Q5)),VALUE(IFERROR(INDEX(Presets!$F$2:$F$200,MATCH($B5,Presets!$A$2:$A$200,0))&amp;"",""))/100*Q5,""))),"INVALID")</f>
        <v/>
      </c>
      <c r="S5" s="15">
        <f>IFERROR(IF(G5&lt;&gt;"",G5,IF(IFERROR(INDEX(Presets!$G$2:$G$200,MATCH($B5,Presets!$A$2:$A$200,0))&amp;"","")="NONE","NONE",IF(IFERROR(INDEX(Presets!$G$2:$G$200,MATCH($B5,Presets!$A$2:$A$200,0))&amp;"","")&lt;&gt;"",VALUE(IFERROR(INDEX(Presets!$G$2:$G$200,MATCH($B5,Presets!$A$2:$A$200,0))&amp;"","")),""))),"INVALID")</f>
        <v/>
      </c>
      <c r="T5" s="15">
        <f>IFERROR(IF(H5&lt;&gt;"",H5,IF(IFERROR(INDEX(Presets!$H$2:$H$200,MATCH($B5,Presets!$A$2:$A$200,0))&amp;"","")="TRUE",TRUE,IF(IFERROR(INDEX(Presets!$H$2:$H$200,MATCH($B5,Presets!$A$2:$A$200,0))&amp;"","")="FALSE",FALSE,""))),"INVALID")</f>
        <v/>
      </c>
      <c r="U5" s="14">
        <f>IFERROR(IF(I5&lt;&gt;"",I5,IF(IFERROR(INDEX(Presets!$I$2:$I$200,MATCH($B5,Presets!$A$2:$A$200,0))&amp;"","")="NONE","NONE",IF(IFERROR(INDEX(Presets!$I$2:$I$200,MATCH($B5,Presets!$A$2:$A$200,0))&amp;"","")&lt;&gt;"",VALUE(IFERROR(INDEX(Presets!$I$2:$I$200,MATCH($B5,Presets!$A$2:$A$200,0))&amp;"","")),""))),"INVALID")</f>
        <v/>
      </c>
      <c r="V5" s="15">
        <f>IFERROR(IF(J5&lt;&gt;"",J5,IF(IFERROR(INDEX(Presets!$J$2:$J$200,MATCH($B5,Presets!$A$2:$A$200,0))&amp;"","")&lt;&gt;"",VALUE(IFERROR(INDEX(Presets!$J$2:$J$200,MATCH($B5,Presets!$A$2:$A$200,0))&amp;"","")),"")),"INVALID")</f>
        <v/>
      </c>
      <c r="W5" s="16">
        <f>IFERROR(IF(AND(A5="",B5=""),"",IF(OR(A5="",B5="",P5="",Q5="",R5="",S5="",T5="",U5="",V5="",K5="",AND(U5&lt;&gt;"NONE",L5="")),"INCOMPLETE",IF(OR(COUNTIFS($A$2:$A$11,A5)&gt;1,AND(P5&lt;&gt;"static",P5&lt;&gt;"eod_trailing",P5&lt;&gt;"intraday_trailing"),NOT(ISNUMBER(Q5)),Q5&lt;=0,ROUND(Q5*100,6)&lt;&gt;INT(ROUND(Q5*100,6)),NOT(ISNUMBER(R5)),R5&lt;=0,ROUND(R5*100,6)&lt;&gt;INT(ROUND(R5*100,6)),AND(S5&lt;&gt;"NONE",NOT(ISNUMBER(S5))),AND(P5="static",S5&lt;&gt;"NONE"),IF(ISNUMBER(S5),ROUND(Q5+S5-(Q5-R5),6)&lt;=0,FALSE),IF(ISNUMBER(S5),OR(S5&lt;-100000000,S5&gt;100000000),FALSE),AND(T5&lt;&gt;TRUE,T5&lt;&gt;FALSE),AND(U5&lt;&gt;"NONE",OR(NOT(ISNUMBER(U5)),U5&lt;=0)),IF(V5="NONE",FALSE,IF(ISNUMBER(V5),OR(V5&lt;0,V5&lt;&gt;INT(V5)),TRUE)),NOT(ISNUMBER(K5)),AND(U5&lt;&gt;"NONE",NOT(ISNUMBER(L5))),Q5&gt;100000000,R5&gt;100000000,K5&lt;=0,K5&gt;100000000,IF(ISNUMBER(U5),U5&gt;100000000,FALSE),IF(ISNUMBER(L5),OR(L5&lt;=0,L5&gt;100000000),FALSE)),"INVALID",IF(COUNTIFS('Daily Log'!$A$2:$A$1001,A5,'Daily Log'!$I$2:$I$1001,"INVALID")&gt;0,"INVALID",IF(OR(COUNTIFS('Daily Log'!$A$2:$A$1001,A5,'Daily Log'!$I$2:$I$1001,"INCOMPLETE")&gt;0,COUNTIFS('Daily Log'!$I$2:$I$1001,"UNKNOWN_ACCOUNT")&gt;0),"INCOMPLETE","OK"))))),"INVALID")</f>
        <v/>
      </c>
      <c r="X5" s="17">
        <f>IFERROR(IF($W5&lt;&gt;"OK",$W5,IF(P5="static",Q5,IF(P5="eod_trailing",MAX(Q5,_xlfn.MAXIFS('Daily Log'!$C$2:$C$1001,'Daily Log'!$A$2:$A$1001,A5)),MAX(Q5,K5,_xlfn.MAXIFS('Daily Log'!$C$2:$C$1001,'Daily Log'!$A$2:$A$1001,A5),_xlfn.MAXIFS('Daily Log'!$D$2:$D$1001,'Daily Log'!$A$2:$A$1001,A5))))),"INVALID")</f>
        <v/>
      </c>
      <c r="Y5" s="18">
        <f>IFERROR(IF($W5&lt;&gt;"OK",$W5,-INT(ROUND(-(AJ5)*100,6))/100),"INVALID")</f>
        <v/>
      </c>
      <c r="Z5" s="10">
        <f>IFERROR(IF($W5&lt;&gt;"OK",$W5,AND(ISNUMBER(S5),P5&lt;&gt;"static",ROUND(X5-R5-(Q5+IF(ISNUMBER(S5),S5,0)),6)&gt;=0)),"INVALID")</f>
        <v/>
      </c>
      <c r="AA5" s="10">
        <f>IFERROR(IF($W5&lt;&gt;"OK",$W5,OR(COUNTIFS('Daily Log'!$A$2:$A$1001,A5,'Daily Log'!$I$2:$I$1001,"BREACHED")&gt;0,IF(T5,ROUND(K5-(AJ5),6)&lt;=0,ROUND(K5-(AJ5),6)&lt;0))),"INVALID")</f>
        <v/>
      </c>
      <c r="AB5" s="17">
        <f>IFERROR(IF($W5&lt;&gt;"OK",$W5,IF(AA5,"BREACHED",INT(ROUND((MAX(0,K5-AJ5))*100,6))/100)),"INVALID")</f>
        <v/>
      </c>
      <c r="AC5" s="17">
        <f>IFERROR(IF($W5&lt;&gt;"OK",$W5,IF(AA5,"BREACHED",IF(U5="NONE","NONE",INT(ROUND((MAX(0,U5-MAX(0,-(K5-L5))))*100,6))/100))),"INVALID")</f>
        <v/>
      </c>
      <c r="AD5" s="18">
        <f>IFERROR(IF($W5&lt;&gt;"OK",$W5,IF(AA5,"BREACHED",IF(AC5="NONE",AB5,MIN(AB5,AC5)))),"INVALID")</f>
        <v/>
      </c>
      <c r="AE5" s="16">
        <f>IFERROR(IF($W5&lt;&gt;"OK",$W5,IF(AA5,"BREACHED",IF(AND(AC5&lt;&gt;"NONE",AC5&lt;AB5),"daily_loss","drawdown"))),"INVALID")</f>
        <v/>
      </c>
      <c r="AF5" s="17">
        <f>IFERROR(IF(AK5&lt;&gt;"OK",AK5,IF(AA5,"BREACHED",INT(ROUND((MIN(M5,AD5))*100,6))/100)),"INVALID")</f>
        <v/>
      </c>
      <c r="AG5" s="19">
        <f>IFERROR(IF(AK5&lt;&gt;"OK",AK5,IF(AA5,"BREACHED",IF(V5="NONE",AL5,MIN(AL5,V5)))),"INVALID")</f>
        <v/>
      </c>
      <c r="AH5" s="10">
        <f>IFERROR(IF(AK5&lt;&gt;"OK",AK5,AND(V5&lt;&gt;"NONE",AL5&gt;V5)),"INVALID")</f>
        <v/>
      </c>
      <c r="AI5" s="10">
        <f>IFERROR(IF(AK5&lt;&gt;"OK",AK5,M5&gt;AD5),"INVALID")</f>
        <v/>
      </c>
      <c r="AJ5" s="10">
        <f>IFERROR(IF($W5&lt;&gt;"OK","",IF(P5="static",Q5-R5,IF(S5="NONE",X5-R5,MIN(X5-R5,Q5+S5)))),"INVALID")</f>
        <v/>
      </c>
      <c r="AK5" s="10">
        <f>IFERROR(IF($W5&lt;&gt;"OK",$W5,IF(OR(M5="",N5="",O5=""),"INCOMPLETE",IF(OR(NOT(ISNUMBER(M5)),M5&lt;0,NOT(ISNUMBER(N5)),N5&lt;1,N5&lt;&gt;INT(N5),NOT(ISNUMBER(O5)),O5&lt;=0,O5&gt;100000,ROUND(O5*1000000,3)&lt;&gt;INT(ROUND(O5*1000000,3)),M5&gt;100000000),"INVALID","OK"))),"INVALID")</f>
        <v/>
      </c>
      <c r="AL5" s="10">
        <f>IFERROR(IF(AK5&lt;&gt;"OK","",IF(AA5,0,INT(ROUND(MIN(M5,AD5)/(N5*O5),9)))),"INVALID")</f>
        <v/>
      </c>
      <c r="AM5" s="17">
        <f>IFERROR(IF(AK5&lt;&gt;"OK",AK5,IF(AA5,"BREACHED",INT(ROUND((AG5*N5*O5)*100,6))/100)),"INVALID")</f>
        <v/>
      </c>
      <c r="AN5" s="16">
        <f>IFERROR(IF(AND(A5="",B5=""),"",_xlfn.TEXTJOIN("; ",TRUE,IF(C5="partial","PARTIAL PRESET: verify "&amp;IFERROR(INDEX(Presets!$L$2:$L$200,MATCH($B5,Presets!$A$2:$A$200,0))&amp;"",""),""),IF(C5="manual","MANUAL: all params user-entered",""),IF(OR(AND(D5&lt;&gt;"",IFERROR(INDEX(Presets!$C$2:$C$200,MATCH($B5,Presets!$A$2:$A$200,0))&amp;"","")&lt;&gt;""),AND(E5&lt;&gt;"",IFERROR(INDEX(Presets!$D$2:$D$200,MATCH($B5,Presets!$A$2:$A$200,0))&amp;"","")&lt;&gt;""),AND(F5&lt;&gt;"",IFERROR(INDEX(Presets!$E$2:$E$200,MATCH($B5,Presets!$A$2:$A$200,0))&amp;"","")&lt;&gt;""),AND(G5&lt;&gt;"",IFERROR(INDEX(Presets!$G$2:$G$200,MATCH($B5,Presets!$A$2:$A$200,0))&amp;"","")&lt;&gt;""),AND(H5&lt;&gt;"",IFERROR(INDEX(Presets!$H$2:$H$200,MATCH($B5,Presets!$A$2:$A$200,0))&amp;"","")&lt;&gt;""),AND(I5&lt;&gt;"",IFERROR(INDEX(Presets!$I$2:$I$200,MATCH($B5,Presets!$A$2:$A$200,0))&amp;"","")&lt;&gt;""),AND(J5&lt;&gt;"",IFERROR(INDEX(Presets!$J$2:$J$200,MATCH($B5,Presets!$A$2:$A$200,0))&amp;"","")&lt;&gt;"")),"OVERRIDES PRESET",""),IF(AND(A5&lt;&gt;"",V5=""),"MAX CONTRACTS MISSING: enter a number or NONE",""),IF(AND(IFERROR(INDEX(Presets!$N$2:$N$200,MATCH($B5,Presets!$A$2:$A$200,0))&amp;"","")&lt;&gt;"",NOT(ISNUMBER($B$13))),"AS-OF DATE MISSING: enter today in B13 (stale check off)",""),IF(AND(IFERROR(INDEX(Presets!$N$2:$N$200,MATCH($B5,Presets!$A$2:$A$200,0))&amp;"","")&lt;&gt;"",ISNUMBER($B$13)),IF($B$13-DATE(VALUE(LEFT(IFERROR(INDEX(Presets!$N$2:$N$200,MATCH($B5,Presets!$A$2:$A$200,0))&amp;"",""),4)),VALUE(MID(IFERROR(INDEX(Presets!$N$2:$N$200,MATCH($B5,Presets!$A$2:$A$200,0))&amp;"",""),6,2)),VALUE(MID(IFERROR(INDEX(Presets!$N$2:$N$200,MATCH($B5,Presets!$A$2:$A$200,0))&amp;"",""),9,2)))&gt;30,"STALE PRESET: checked "&amp;IFERROR(INDEX(Presets!$N$2:$N$200,MATCH($B5,Presets!$A$2:$A$200,0))&amp;"","")&amp;", over 30 days before As of",""),""),IF(IFERROR(INDEX(Presets!$M$2:$M$200,MATCH($B5,Presets!$A$2:$A$200,0))&amp;"","")&lt;&gt;"","source: "&amp;IFERROR(INDEX(Presets!$M$2:$M$200,MATCH($B5,Presets!$A$2:$A$200,0))&amp;"","")&amp;" checked "&amp;IFERROR(INDEX(Presets!$N$2:$N$200,MATCH($B5,Presets!$A$2:$A$200,0))&amp;"",""),""))),"INVALID")</f>
        <v/>
      </c>
    </row>
    <row r="6" ht="20" customHeight="1">
      <c r="A6" s="9" t="n"/>
      <c r="B6" s="9" t="n"/>
      <c r="C6" s="10">
        <f>IFERROR(INDEX(Presets!$B$2:$B$200,MATCH($B6,Presets!$A$2:$A$200,0))&amp;"","")</f>
        <v/>
      </c>
      <c r="D6" s="11" t="n"/>
      <c r="E6" s="12" t="n"/>
      <c r="F6" s="12" t="n"/>
      <c r="G6" s="11" t="n"/>
      <c r="H6" s="11" t="n"/>
      <c r="I6" s="12" t="n"/>
      <c r="J6" s="11" t="n"/>
      <c r="K6" s="12" t="n"/>
      <c r="L6" s="12" t="n"/>
      <c r="M6" s="12" t="n"/>
      <c r="N6" s="11" t="n"/>
      <c r="O6" s="11" t="n"/>
      <c r="P6" s="13">
        <f>IFERROR(IF(D6&lt;&gt;"",D6,IFERROR(INDEX(Presets!$C$2:$C$200,MATCH($B6,Presets!$A$2:$A$200,0))&amp;"","")),"INVALID")</f>
        <v/>
      </c>
      <c r="Q6" s="14">
        <f>IFERROR(IF(E6&lt;&gt;"",E6,IF(IFERROR(INDEX(Presets!$D$2:$D$200,MATCH($B6,Presets!$A$2:$A$200,0))&amp;"","")&lt;&gt;"",VALUE(IFERROR(INDEX(Presets!$D$2:$D$200,MATCH($B6,Presets!$A$2:$A$200,0))&amp;"","")),"")),"INVALID")</f>
        <v/>
      </c>
      <c r="R6" s="14">
        <f>IFERROR(IF(F6&lt;&gt;"",F6,IF(IFERROR(INDEX(Presets!$E$2:$E$200,MATCH($B6,Presets!$A$2:$A$200,0))&amp;"","")&lt;&gt;"",VALUE(IFERROR(INDEX(Presets!$E$2:$E$200,MATCH($B6,Presets!$A$2:$A$200,0))&amp;"","")),IF(AND(IFERROR(INDEX(Presets!$F$2:$F$200,MATCH($B6,Presets!$A$2:$A$200,0))&amp;"","")&lt;&gt;"",ISNUMBER(Q6)),VALUE(IFERROR(INDEX(Presets!$F$2:$F$200,MATCH($B6,Presets!$A$2:$A$200,0))&amp;"",""))/100*Q6,""))),"INVALID")</f>
        <v/>
      </c>
      <c r="S6" s="15">
        <f>IFERROR(IF(G6&lt;&gt;"",G6,IF(IFERROR(INDEX(Presets!$G$2:$G$200,MATCH($B6,Presets!$A$2:$A$200,0))&amp;"","")="NONE","NONE",IF(IFERROR(INDEX(Presets!$G$2:$G$200,MATCH($B6,Presets!$A$2:$A$200,0))&amp;"","")&lt;&gt;"",VALUE(IFERROR(INDEX(Presets!$G$2:$G$200,MATCH($B6,Presets!$A$2:$A$200,0))&amp;"","")),""))),"INVALID")</f>
        <v/>
      </c>
      <c r="T6" s="15">
        <f>IFERROR(IF(H6&lt;&gt;"",H6,IF(IFERROR(INDEX(Presets!$H$2:$H$200,MATCH($B6,Presets!$A$2:$A$200,0))&amp;"","")="TRUE",TRUE,IF(IFERROR(INDEX(Presets!$H$2:$H$200,MATCH($B6,Presets!$A$2:$A$200,0))&amp;"","")="FALSE",FALSE,""))),"INVALID")</f>
        <v/>
      </c>
      <c r="U6" s="14">
        <f>IFERROR(IF(I6&lt;&gt;"",I6,IF(IFERROR(INDEX(Presets!$I$2:$I$200,MATCH($B6,Presets!$A$2:$A$200,0))&amp;"","")="NONE","NONE",IF(IFERROR(INDEX(Presets!$I$2:$I$200,MATCH($B6,Presets!$A$2:$A$200,0))&amp;"","")&lt;&gt;"",VALUE(IFERROR(INDEX(Presets!$I$2:$I$200,MATCH($B6,Presets!$A$2:$A$200,0))&amp;"","")),""))),"INVALID")</f>
        <v/>
      </c>
      <c r="V6" s="15">
        <f>IFERROR(IF(J6&lt;&gt;"",J6,IF(IFERROR(INDEX(Presets!$J$2:$J$200,MATCH($B6,Presets!$A$2:$A$200,0))&amp;"","")&lt;&gt;"",VALUE(IFERROR(INDEX(Presets!$J$2:$J$200,MATCH($B6,Presets!$A$2:$A$200,0))&amp;"","")),"")),"INVALID")</f>
        <v/>
      </c>
      <c r="W6" s="16">
        <f>IFERROR(IF(AND(A6="",B6=""),"",IF(OR(A6="",B6="",P6="",Q6="",R6="",S6="",T6="",U6="",V6="",K6="",AND(U6&lt;&gt;"NONE",L6="")),"INCOMPLETE",IF(OR(COUNTIFS($A$2:$A$11,A6)&gt;1,AND(P6&lt;&gt;"static",P6&lt;&gt;"eod_trailing",P6&lt;&gt;"intraday_trailing"),NOT(ISNUMBER(Q6)),Q6&lt;=0,ROUND(Q6*100,6)&lt;&gt;INT(ROUND(Q6*100,6)),NOT(ISNUMBER(R6)),R6&lt;=0,ROUND(R6*100,6)&lt;&gt;INT(ROUND(R6*100,6)),AND(S6&lt;&gt;"NONE",NOT(ISNUMBER(S6))),AND(P6="static",S6&lt;&gt;"NONE"),IF(ISNUMBER(S6),ROUND(Q6+S6-(Q6-R6),6)&lt;=0,FALSE),IF(ISNUMBER(S6),OR(S6&lt;-100000000,S6&gt;100000000),FALSE),AND(T6&lt;&gt;TRUE,T6&lt;&gt;FALSE),AND(U6&lt;&gt;"NONE",OR(NOT(ISNUMBER(U6)),U6&lt;=0)),IF(V6="NONE",FALSE,IF(ISNUMBER(V6),OR(V6&lt;0,V6&lt;&gt;INT(V6)),TRUE)),NOT(ISNUMBER(K6)),AND(U6&lt;&gt;"NONE",NOT(ISNUMBER(L6))),Q6&gt;100000000,R6&gt;100000000,K6&lt;=0,K6&gt;100000000,IF(ISNUMBER(U6),U6&gt;100000000,FALSE),IF(ISNUMBER(L6),OR(L6&lt;=0,L6&gt;100000000),FALSE)),"INVALID",IF(COUNTIFS('Daily Log'!$A$2:$A$1001,A6,'Daily Log'!$I$2:$I$1001,"INVALID")&gt;0,"INVALID",IF(OR(COUNTIFS('Daily Log'!$A$2:$A$1001,A6,'Daily Log'!$I$2:$I$1001,"INCOMPLETE")&gt;0,COUNTIFS('Daily Log'!$I$2:$I$1001,"UNKNOWN_ACCOUNT")&gt;0),"INCOMPLETE","OK"))))),"INVALID")</f>
        <v/>
      </c>
      <c r="X6" s="17">
        <f>IFERROR(IF($W6&lt;&gt;"OK",$W6,IF(P6="static",Q6,IF(P6="eod_trailing",MAX(Q6,_xlfn.MAXIFS('Daily Log'!$C$2:$C$1001,'Daily Log'!$A$2:$A$1001,A6)),MAX(Q6,K6,_xlfn.MAXIFS('Daily Log'!$C$2:$C$1001,'Daily Log'!$A$2:$A$1001,A6),_xlfn.MAXIFS('Daily Log'!$D$2:$D$1001,'Daily Log'!$A$2:$A$1001,A6))))),"INVALID")</f>
        <v/>
      </c>
      <c r="Y6" s="18">
        <f>IFERROR(IF($W6&lt;&gt;"OK",$W6,-INT(ROUND(-(AJ6)*100,6))/100),"INVALID")</f>
        <v/>
      </c>
      <c r="Z6" s="10">
        <f>IFERROR(IF($W6&lt;&gt;"OK",$W6,AND(ISNUMBER(S6),P6&lt;&gt;"static",ROUND(X6-R6-(Q6+IF(ISNUMBER(S6),S6,0)),6)&gt;=0)),"INVALID")</f>
        <v/>
      </c>
      <c r="AA6" s="10">
        <f>IFERROR(IF($W6&lt;&gt;"OK",$W6,OR(COUNTIFS('Daily Log'!$A$2:$A$1001,A6,'Daily Log'!$I$2:$I$1001,"BREACHED")&gt;0,IF(T6,ROUND(K6-(AJ6),6)&lt;=0,ROUND(K6-(AJ6),6)&lt;0))),"INVALID")</f>
        <v/>
      </c>
      <c r="AB6" s="17">
        <f>IFERROR(IF($W6&lt;&gt;"OK",$W6,IF(AA6,"BREACHED",INT(ROUND((MAX(0,K6-AJ6))*100,6))/100)),"INVALID")</f>
        <v/>
      </c>
      <c r="AC6" s="17">
        <f>IFERROR(IF($W6&lt;&gt;"OK",$W6,IF(AA6,"BREACHED",IF(U6="NONE","NONE",INT(ROUND((MAX(0,U6-MAX(0,-(K6-L6))))*100,6))/100))),"INVALID")</f>
        <v/>
      </c>
      <c r="AD6" s="18">
        <f>IFERROR(IF($W6&lt;&gt;"OK",$W6,IF(AA6,"BREACHED",IF(AC6="NONE",AB6,MIN(AB6,AC6)))),"INVALID")</f>
        <v/>
      </c>
      <c r="AE6" s="16">
        <f>IFERROR(IF($W6&lt;&gt;"OK",$W6,IF(AA6,"BREACHED",IF(AND(AC6&lt;&gt;"NONE",AC6&lt;AB6),"daily_loss","drawdown"))),"INVALID")</f>
        <v/>
      </c>
      <c r="AF6" s="17">
        <f>IFERROR(IF(AK6&lt;&gt;"OK",AK6,IF(AA6,"BREACHED",INT(ROUND((MIN(M6,AD6))*100,6))/100)),"INVALID")</f>
        <v/>
      </c>
      <c r="AG6" s="19">
        <f>IFERROR(IF(AK6&lt;&gt;"OK",AK6,IF(AA6,"BREACHED",IF(V6="NONE",AL6,MIN(AL6,V6)))),"INVALID")</f>
        <v/>
      </c>
      <c r="AH6" s="10">
        <f>IFERROR(IF(AK6&lt;&gt;"OK",AK6,AND(V6&lt;&gt;"NONE",AL6&gt;V6)),"INVALID")</f>
        <v/>
      </c>
      <c r="AI6" s="10">
        <f>IFERROR(IF(AK6&lt;&gt;"OK",AK6,M6&gt;AD6),"INVALID")</f>
        <v/>
      </c>
      <c r="AJ6" s="10">
        <f>IFERROR(IF($W6&lt;&gt;"OK","",IF(P6="static",Q6-R6,IF(S6="NONE",X6-R6,MIN(X6-R6,Q6+S6)))),"INVALID")</f>
        <v/>
      </c>
      <c r="AK6" s="10">
        <f>IFERROR(IF($W6&lt;&gt;"OK",$W6,IF(OR(M6="",N6="",O6=""),"INCOMPLETE",IF(OR(NOT(ISNUMBER(M6)),M6&lt;0,NOT(ISNUMBER(N6)),N6&lt;1,N6&lt;&gt;INT(N6),NOT(ISNUMBER(O6)),O6&lt;=0,O6&gt;100000,ROUND(O6*1000000,3)&lt;&gt;INT(ROUND(O6*1000000,3)),M6&gt;100000000),"INVALID","OK"))),"INVALID")</f>
        <v/>
      </c>
      <c r="AL6" s="10">
        <f>IFERROR(IF(AK6&lt;&gt;"OK","",IF(AA6,0,INT(ROUND(MIN(M6,AD6)/(N6*O6),9)))),"INVALID")</f>
        <v/>
      </c>
      <c r="AM6" s="17">
        <f>IFERROR(IF(AK6&lt;&gt;"OK",AK6,IF(AA6,"BREACHED",INT(ROUND((AG6*N6*O6)*100,6))/100)),"INVALID")</f>
        <v/>
      </c>
      <c r="AN6" s="16">
        <f>IFERROR(IF(AND(A6="",B6=""),"",_xlfn.TEXTJOIN("; ",TRUE,IF(C6="partial","PARTIAL PRESET: verify "&amp;IFERROR(INDEX(Presets!$L$2:$L$200,MATCH($B6,Presets!$A$2:$A$200,0))&amp;"",""),""),IF(C6="manual","MANUAL: all params user-entered",""),IF(OR(AND(D6&lt;&gt;"",IFERROR(INDEX(Presets!$C$2:$C$200,MATCH($B6,Presets!$A$2:$A$200,0))&amp;"","")&lt;&gt;""),AND(E6&lt;&gt;"",IFERROR(INDEX(Presets!$D$2:$D$200,MATCH($B6,Presets!$A$2:$A$200,0))&amp;"","")&lt;&gt;""),AND(F6&lt;&gt;"",IFERROR(INDEX(Presets!$E$2:$E$200,MATCH($B6,Presets!$A$2:$A$200,0))&amp;"","")&lt;&gt;""),AND(G6&lt;&gt;"",IFERROR(INDEX(Presets!$G$2:$G$200,MATCH($B6,Presets!$A$2:$A$200,0))&amp;"","")&lt;&gt;""),AND(H6&lt;&gt;"",IFERROR(INDEX(Presets!$H$2:$H$200,MATCH($B6,Presets!$A$2:$A$200,0))&amp;"","")&lt;&gt;""),AND(I6&lt;&gt;"",IFERROR(INDEX(Presets!$I$2:$I$200,MATCH($B6,Presets!$A$2:$A$200,0))&amp;"","")&lt;&gt;""),AND(J6&lt;&gt;"",IFERROR(INDEX(Presets!$J$2:$J$200,MATCH($B6,Presets!$A$2:$A$200,0))&amp;"","")&lt;&gt;"")),"OVERRIDES PRESET",""),IF(AND(A6&lt;&gt;"",V6=""),"MAX CONTRACTS MISSING: enter a number or NONE",""),IF(AND(IFERROR(INDEX(Presets!$N$2:$N$200,MATCH($B6,Presets!$A$2:$A$200,0))&amp;"","")&lt;&gt;"",NOT(ISNUMBER($B$13))),"AS-OF DATE MISSING: enter today in B13 (stale check off)",""),IF(AND(IFERROR(INDEX(Presets!$N$2:$N$200,MATCH($B6,Presets!$A$2:$A$200,0))&amp;"","")&lt;&gt;"",ISNUMBER($B$13)),IF($B$13-DATE(VALUE(LEFT(IFERROR(INDEX(Presets!$N$2:$N$200,MATCH($B6,Presets!$A$2:$A$200,0))&amp;"",""),4)),VALUE(MID(IFERROR(INDEX(Presets!$N$2:$N$200,MATCH($B6,Presets!$A$2:$A$200,0))&amp;"",""),6,2)),VALUE(MID(IFERROR(INDEX(Presets!$N$2:$N$200,MATCH($B6,Presets!$A$2:$A$200,0))&amp;"",""),9,2)))&gt;30,"STALE PRESET: checked "&amp;IFERROR(INDEX(Presets!$N$2:$N$200,MATCH($B6,Presets!$A$2:$A$200,0))&amp;"","")&amp;", over 30 days before As of",""),""),IF(IFERROR(INDEX(Presets!$M$2:$M$200,MATCH($B6,Presets!$A$2:$A$200,0))&amp;"","")&lt;&gt;"","source: "&amp;IFERROR(INDEX(Presets!$M$2:$M$200,MATCH($B6,Presets!$A$2:$A$200,0))&amp;"","")&amp;" checked "&amp;IFERROR(INDEX(Presets!$N$2:$N$200,MATCH($B6,Presets!$A$2:$A$200,0))&amp;"",""),""))),"INVALID")</f>
        <v/>
      </c>
    </row>
    <row r="7" ht="20" customHeight="1">
      <c r="A7" s="9" t="n"/>
      <c r="B7" s="9" t="n"/>
      <c r="C7" s="10">
        <f>IFERROR(INDEX(Presets!$B$2:$B$200,MATCH($B7,Presets!$A$2:$A$200,0))&amp;"","")</f>
        <v/>
      </c>
      <c r="D7" s="11" t="n"/>
      <c r="E7" s="12" t="n"/>
      <c r="F7" s="12" t="n"/>
      <c r="G7" s="11" t="n"/>
      <c r="H7" s="11" t="n"/>
      <c r="I7" s="12" t="n"/>
      <c r="J7" s="11" t="n"/>
      <c r="K7" s="12" t="n"/>
      <c r="L7" s="12" t="n"/>
      <c r="M7" s="12" t="n"/>
      <c r="N7" s="11" t="n"/>
      <c r="O7" s="11" t="n"/>
      <c r="P7" s="13">
        <f>IFERROR(IF(D7&lt;&gt;"",D7,IFERROR(INDEX(Presets!$C$2:$C$200,MATCH($B7,Presets!$A$2:$A$200,0))&amp;"","")),"INVALID")</f>
        <v/>
      </c>
      <c r="Q7" s="14">
        <f>IFERROR(IF(E7&lt;&gt;"",E7,IF(IFERROR(INDEX(Presets!$D$2:$D$200,MATCH($B7,Presets!$A$2:$A$200,0))&amp;"","")&lt;&gt;"",VALUE(IFERROR(INDEX(Presets!$D$2:$D$200,MATCH($B7,Presets!$A$2:$A$200,0))&amp;"","")),"")),"INVALID")</f>
        <v/>
      </c>
      <c r="R7" s="14">
        <f>IFERROR(IF(F7&lt;&gt;"",F7,IF(IFERROR(INDEX(Presets!$E$2:$E$200,MATCH($B7,Presets!$A$2:$A$200,0))&amp;"","")&lt;&gt;"",VALUE(IFERROR(INDEX(Presets!$E$2:$E$200,MATCH($B7,Presets!$A$2:$A$200,0))&amp;"","")),IF(AND(IFERROR(INDEX(Presets!$F$2:$F$200,MATCH($B7,Presets!$A$2:$A$200,0))&amp;"","")&lt;&gt;"",ISNUMBER(Q7)),VALUE(IFERROR(INDEX(Presets!$F$2:$F$200,MATCH($B7,Presets!$A$2:$A$200,0))&amp;"",""))/100*Q7,""))),"INVALID")</f>
        <v/>
      </c>
      <c r="S7" s="15">
        <f>IFERROR(IF(G7&lt;&gt;"",G7,IF(IFERROR(INDEX(Presets!$G$2:$G$200,MATCH($B7,Presets!$A$2:$A$200,0))&amp;"","")="NONE","NONE",IF(IFERROR(INDEX(Presets!$G$2:$G$200,MATCH($B7,Presets!$A$2:$A$200,0))&amp;"","")&lt;&gt;"",VALUE(IFERROR(INDEX(Presets!$G$2:$G$200,MATCH($B7,Presets!$A$2:$A$200,0))&amp;"","")),""))),"INVALID")</f>
        <v/>
      </c>
      <c r="T7" s="15">
        <f>IFERROR(IF(H7&lt;&gt;"",H7,IF(IFERROR(INDEX(Presets!$H$2:$H$200,MATCH($B7,Presets!$A$2:$A$200,0))&amp;"","")="TRUE",TRUE,IF(IFERROR(INDEX(Presets!$H$2:$H$200,MATCH($B7,Presets!$A$2:$A$200,0))&amp;"","")="FALSE",FALSE,""))),"INVALID")</f>
        <v/>
      </c>
      <c r="U7" s="14">
        <f>IFERROR(IF(I7&lt;&gt;"",I7,IF(IFERROR(INDEX(Presets!$I$2:$I$200,MATCH($B7,Presets!$A$2:$A$200,0))&amp;"","")="NONE","NONE",IF(IFERROR(INDEX(Presets!$I$2:$I$200,MATCH($B7,Presets!$A$2:$A$200,0))&amp;"","")&lt;&gt;"",VALUE(IFERROR(INDEX(Presets!$I$2:$I$200,MATCH($B7,Presets!$A$2:$A$200,0))&amp;"","")),""))),"INVALID")</f>
        <v/>
      </c>
      <c r="V7" s="15">
        <f>IFERROR(IF(J7&lt;&gt;"",J7,IF(IFERROR(INDEX(Presets!$J$2:$J$200,MATCH($B7,Presets!$A$2:$A$200,0))&amp;"","")&lt;&gt;"",VALUE(IFERROR(INDEX(Presets!$J$2:$J$200,MATCH($B7,Presets!$A$2:$A$200,0))&amp;"","")),"")),"INVALID")</f>
        <v/>
      </c>
      <c r="W7" s="16">
        <f>IFERROR(IF(AND(A7="",B7=""),"",IF(OR(A7="",B7="",P7="",Q7="",R7="",S7="",T7="",U7="",V7="",K7="",AND(U7&lt;&gt;"NONE",L7="")),"INCOMPLETE",IF(OR(COUNTIFS($A$2:$A$11,A7)&gt;1,AND(P7&lt;&gt;"static",P7&lt;&gt;"eod_trailing",P7&lt;&gt;"intraday_trailing"),NOT(ISNUMBER(Q7)),Q7&lt;=0,ROUND(Q7*100,6)&lt;&gt;INT(ROUND(Q7*100,6)),NOT(ISNUMBER(R7)),R7&lt;=0,ROUND(R7*100,6)&lt;&gt;INT(ROUND(R7*100,6)),AND(S7&lt;&gt;"NONE",NOT(ISNUMBER(S7))),AND(P7="static",S7&lt;&gt;"NONE"),IF(ISNUMBER(S7),ROUND(Q7+S7-(Q7-R7),6)&lt;=0,FALSE),IF(ISNUMBER(S7),OR(S7&lt;-100000000,S7&gt;100000000),FALSE),AND(T7&lt;&gt;TRUE,T7&lt;&gt;FALSE),AND(U7&lt;&gt;"NONE",OR(NOT(ISNUMBER(U7)),U7&lt;=0)),IF(V7="NONE",FALSE,IF(ISNUMBER(V7),OR(V7&lt;0,V7&lt;&gt;INT(V7)),TRUE)),NOT(ISNUMBER(K7)),AND(U7&lt;&gt;"NONE",NOT(ISNUMBER(L7))),Q7&gt;100000000,R7&gt;100000000,K7&lt;=0,K7&gt;100000000,IF(ISNUMBER(U7),U7&gt;100000000,FALSE),IF(ISNUMBER(L7),OR(L7&lt;=0,L7&gt;100000000),FALSE)),"INVALID",IF(COUNTIFS('Daily Log'!$A$2:$A$1001,A7,'Daily Log'!$I$2:$I$1001,"INVALID")&gt;0,"INVALID",IF(OR(COUNTIFS('Daily Log'!$A$2:$A$1001,A7,'Daily Log'!$I$2:$I$1001,"INCOMPLETE")&gt;0,COUNTIFS('Daily Log'!$I$2:$I$1001,"UNKNOWN_ACCOUNT")&gt;0),"INCOMPLETE","OK"))))),"INVALID")</f>
        <v/>
      </c>
      <c r="X7" s="17">
        <f>IFERROR(IF($W7&lt;&gt;"OK",$W7,IF(P7="static",Q7,IF(P7="eod_trailing",MAX(Q7,_xlfn.MAXIFS('Daily Log'!$C$2:$C$1001,'Daily Log'!$A$2:$A$1001,A7)),MAX(Q7,K7,_xlfn.MAXIFS('Daily Log'!$C$2:$C$1001,'Daily Log'!$A$2:$A$1001,A7),_xlfn.MAXIFS('Daily Log'!$D$2:$D$1001,'Daily Log'!$A$2:$A$1001,A7))))),"INVALID")</f>
        <v/>
      </c>
      <c r="Y7" s="18">
        <f>IFERROR(IF($W7&lt;&gt;"OK",$W7,-INT(ROUND(-(AJ7)*100,6))/100),"INVALID")</f>
        <v/>
      </c>
      <c r="Z7" s="10">
        <f>IFERROR(IF($W7&lt;&gt;"OK",$W7,AND(ISNUMBER(S7),P7&lt;&gt;"static",ROUND(X7-R7-(Q7+IF(ISNUMBER(S7),S7,0)),6)&gt;=0)),"INVALID")</f>
        <v/>
      </c>
      <c r="AA7" s="10">
        <f>IFERROR(IF($W7&lt;&gt;"OK",$W7,OR(COUNTIFS('Daily Log'!$A$2:$A$1001,A7,'Daily Log'!$I$2:$I$1001,"BREACHED")&gt;0,IF(T7,ROUND(K7-(AJ7),6)&lt;=0,ROUND(K7-(AJ7),6)&lt;0))),"INVALID")</f>
        <v/>
      </c>
      <c r="AB7" s="17">
        <f>IFERROR(IF($W7&lt;&gt;"OK",$W7,IF(AA7,"BREACHED",INT(ROUND((MAX(0,K7-AJ7))*100,6))/100)),"INVALID")</f>
        <v/>
      </c>
      <c r="AC7" s="17">
        <f>IFERROR(IF($W7&lt;&gt;"OK",$W7,IF(AA7,"BREACHED",IF(U7="NONE","NONE",INT(ROUND((MAX(0,U7-MAX(0,-(K7-L7))))*100,6))/100))),"INVALID")</f>
        <v/>
      </c>
      <c r="AD7" s="18">
        <f>IFERROR(IF($W7&lt;&gt;"OK",$W7,IF(AA7,"BREACHED",IF(AC7="NONE",AB7,MIN(AB7,AC7)))),"INVALID")</f>
        <v/>
      </c>
      <c r="AE7" s="16">
        <f>IFERROR(IF($W7&lt;&gt;"OK",$W7,IF(AA7,"BREACHED",IF(AND(AC7&lt;&gt;"NONE",AC7&lt;AB7),"daily_loss","drawdown"))),"INVALID")</f>
        <v/>
      </c>
      <c r="AF7" s="17">
        <f>IFERROR(IF(AK7&lt;&gt;"OK",AK7,IF(AA7,"BREACHED",INT(ROUND((MIN(M7,AD7))*100,6))/100)),"INVALID")</f>
        <v/>
      </c>
      <c r="AG7" s="19">
        <f>IFERROR(IF(AK7&lt;&gt;"OK",AK7,IF(AA7,"BREACHED",IF(V7="NONE",AL7,MIN(AL7,V7)))),"INVALID")</f>
        <v/>
      </c>
      <c r="AH7" s="10">
        <f>IFERROR(IF(AK7&lt;&gt;"OK",AK7,AND(V7&lt;&gt;"NONE",AL7&gt;V7)),"INVALID")</f>
        <v/>
      </c>
      <c r="AI7" s="10">
        <f>IFERROR(IF(AK7&lt;&gt;"OK",AK7,M7&gt;AD7),"INVALID")</f>
        <v/>
      </c>
      <c r="AJ7" s="10">
        <f>IFERROR(IF($W7&lt;&gt;"OK","",IF(P7="static",Q7-R7,IF(S7="NONE",X7-R7,MIN(X7-R7,Q7+S7)))),"INVALID")</f>
        <v/>
      </c>
      <c r="AK7" s="10">
        <f>IFERROR(IF($W7&lt;&gt;"OK",$W7,IF(OR(M7="",N7="",O7=""),"INCOMPLETE",IF(OR(NOT(ISNUMBER(M7)),M7&lt;0,NOT(ISNUMBER(N7)),N7&lt;1,N7&lt;&gt;INT(N7),NOT(ISNUMBER(O7)),O7&lt;=0,O7&gt;100000,ROUND(O7*1000000,3)&lt;&gt;INT(ROUND(O7*1000000,3)),M7&gt;100000000),"INVALID","OK"))),"INVALID")</f>
        <v/>
      </c>
      <c r="AL7" s="10">
        <f>IFERROR(IF(AK7&lt;&gt;"OK","",IF(AA7,0,INT(ROUND(MIN(M7,AD7)/(N7*O7),9)))),"INVALID")</f>
        <v/>
      </c>
      <c r="AM7" s="17">
        <f>IFERROR(IF(AK7&lt;&gt;"OK",AK7,IF(AA7,"BREACHED",INT(ROUND((AG7*N7*O7)*100,6))/100)),"INVALID")</f>
        <v/>
      </c>
      <c r="AN7" s="16">
        <f>IFERROR(IF(AND(A7="",B7=""),"",_xlfn.TEXTJOIN("; ",TRUE,IF(C7="partial","PARTIAL PRESET: verify "&amp;IFERROR(INDEX(Presets!$L$2:$L$200,MATCH($B7,Presets!$A$2:$A$200,0))&amp;"",""),""),IF(C7="manual","MANUAL: all params user-entered",""),IF(OR(AND(D7&lt;&gt;"",IFERROR(INDEX(Presets!$C$2:$C$200,MATCH($B7,Presets!$A$2:$A$200,0))&amp;"","")&lt;&gt;""),AND(E7&lt;&gt;"",IFERROR(INDEX(Presets!$D$2:$D$200,MATCH($B7,Presets!$A$2:$A$200,0))&amp;"","")&lt;&gt;""),AND(F7&lt;&gt;"",IFERROR(INDEX(Presets!$E$2:$E$200,MATCH($B7,Presets!$A$2:$A$200,0))&amp;"","")&lt;&gt;""),AND(G7&lt;&gt;"",IFERROR(INDEX(Presets!$G$2:$G$200,MATCH($B7,Presets!$A$2:$A$200,0))&amp;"","")&lt;&gt;""),AND(H7&lt;&gt;"",IFERROR(INDEX(Presets!$H$2:$H$200,MATCH($B7,Presets!$A$2:$A$200,0))&amp;"","")&lt;&gt;""),AND(I7&lt;&gt;"",IFERROR(INDEX(Presets!$I$2:$I$200,MATCH($B7,Presets!$A$2:$A$200,0))&amp;"","")&lt;&gt;""),AND(J7&lt;&gt;"",IFERROR(INDEX(Presets!$J$2:$J$200,MATCH($B7,Presets!$A$2:$A$200,0))&amp;"","")&lt;&gt;"")),"OVERRIDES PRESET",""),IF(AND(A7&lt;&gt;"",V7=""),"MAX CONTRACTS MISSING: enter a number or NONE",""),IF(AND(IFERROR(INDEX(Presets!$N$2:$N$200,MATCH($B7,Presets!$A$2:$A$200,0))&amp;"","")&lt;&gt;"",NOT(ISNUMBER($B$13))),"AS-OF DATE MISSING: enter today in B13 (stale check off)",""),IF(AND(IFERROR(INDEX(Presets!$N$2:$N$200,MATCH($B7,Presets!$A$2:$A$200,0))&amp;"","")&lt;&gt;"",ISNUMBER($B$13)),IF($B$13-DATE(VALUE(LEFT(IFERROR(INDEX(Presets!$N$2:$N$200,MATCH($B7,Presets!$A$2:$A$200,0))&amp;"",""),4)),VALUE(MID(IFERROR(INDEX(Presets!$N$2:$N$200,MATCH($B7,Presets!$A$2:$A$200,0))&amp;"",""),6,2)),VALUE(MID(IFERROR(INDEX(Presets!$N$2:$N$200,MATCH($B7,Presets!$A$2:$A$200,0))&amp;"",""),9,2)))&gt;30,"STALE PRESET: checked "&amp;IFERROR(INDEX(Presets!$N$2:$N$200,MATCH($B7,Presets!$A$2:$A$200,0))&amp;"","")&amp;", over 30 days before As of",""),""),IF(IFERROR(INDEX(Presets!$M$2:$M$200,MATCH($B7,Presets!$A$2:$A$200,0))&amp;"","")&lt;&gt;"","source: "&amp;IFERROR(INDEX(Presets!$M$2:$M$200,MATCH($B7,Presets!$A$2:$A$200,0))&amp;"","")&amp;" checked "&amp;IFERROR(INDEX(Presets!$N$2:$N$200,MATCH($B7,Presets!$A$2:$A$200,0))&amp;"",""),""))),"INVALID")</f>
        <v/>
      </c>
    </row>
    <row r="8" ht="20" customHeight="1">
      <c r="A8" s="9" t="n"/>
      <c r="B8" s="9" t="n"/>
      <c r="C8" s="10">
        <f>IFERROR(INDEX(Presets!$B$2:$B$200,MATCH($B8,Presets!$A$2:$A$200,0))&amp;"","")</f>
        <v/>
      </c>
      <c r="D8" s="11" t="n"/>
      <c r="E8" s="12" t="n"/>
      <c r="F8" s="12" t="n"/>
      <c r="G8" s="11" t="n"/>
      <c r="H8" s="11" t="n"/>
      <c r="I8" s="12" t="n"/>
      <c r="J8" s="11" t="n"/>
      <c r="K8" s="12" t="n"/>
      <c r="L8" s="12" t="n"/>
      <c r="M8" s="12" t="n"/>
      <c r="N8" s="11" t="n"/>
      <c r="O8" s="11" t="n"/>
      <c r="P8" s="13">
        <f>IFERROR(IF(D8&lt;&gt;"",D8,IFERROR(INDEX(Presets!$C$2:$C$200,MATCH($B8,Presets!$A$2:$A$200,0))&amp;"","")),"INVALID")</f>
        <v/>
      </c>
      <c r="Q8" s="14">
        <f>IFERROR(IF(E8&lt;&gt;"",E8,IF(IFERROR(INDEX(Presets!$D$2:$D$200,MATCH($B8,Presets!$A$2:$A$200,0))&amp;"","")&lt;&gt;"",VALUE(IFERROR(INDEX(Presets!$D$2:$D$200,MATCH($B8,Presets!$A$2:$A$200,0))&amp;"","")),"")),"INVALID")</f>
        <v/>
      </c>
      <c r="R8" s="14">
        <f>IFERROR(IF(F8&lt;&gt;"",F8,IF(IFERROR(INDEX(Presets!$E$2:$E$200,MATCH($B8,Presets!$A$2:$A$200,0))&amp;"","")&lt;&gt;"",VALUE(IFERROR(INDEX(Presets!$E$2:$E$200,MATCH($B8,Presets!$A$2:$A$200,0))&amp;"","")),IF(AND(IFERROR(INDEX(Presets!$F$2:$F$200,MATCH($B8,Presets!$A$2:$A$200,0))&amp;"","")&lt;&gt;"",ISNUMBER(Q8)),VALUE(IFERROR(INDEX(Presets!$F$2:$F$200,MATCH($B8,Presets!$A$2:$A$200,0))&amp;"",""))/100*Q8,""))),"INVALID")</f>
        <v/>
      </c>
      <c r="S8" s="15">
        <f>IFERROR(IF(G8&lt;&gt;"",G8,IF(IFERROR(INDEX(Presets!$G$2:$G$200,MATCH($B8,Presets!$A$2:$A$200,0))&amp;"","")="NONE","NONE",IF(IFERROR(INDEX(Presets!$G$2:$G$200,MATCH($B8,Presets!$A$2:$A$200,0))&amp;"","")&lt;&gt;"",VALUE(IFERROR(INDEX(Presets!$G$2:$G$200,MATCH($B8,Presets!$A$2:$A$200,0))&amp;"","")),""))),"INVALID")</f>
        <v/>
      </c>
      <c r="T8" s="15">
        <f>IFERROR(IF(H8&lt;&gt;"",H8,IF(IFERROR(INDEX(Presets!$H$2:$H$200,MATCH($B8,Presets!$A$2:$A$200,0))&amp;"","")="TRUE",TRUE,IF(IFERROR(INDEX(Presets!$H$2:$H$200,MATCH($B8,Presets!$A$2:$A$200,0))&amp;"","")="FALSE",FALSE,""))),"INVALID")</f>
        <v/>
      </c>
      <c r="U8" s="14">
        <f>IFERROR(IF(I8&lt;&gt;"",I8,IF(IFERROR(INDEX(Presets!$I$2:$I$200,MATCH($B8,Presets!$A$2:$A$200,0))&amp;"","")="NONE","NONE",IF(IFERROR(INDEX(Presets!$I$2:$I$200,MATCH($B8,Presets!$A$2:$A$200,0))&amp;"","")&lt;&gt;"",VALUE(IFERROR(INDEX(Presets!$I$2:$I$200,MATCH($B8,Presets!$A$2:$A$200,0))&amp;"","")),""))),"INVALID")</f>
        <v/>
      </c>
      <c r="V8" s="15">
        <f>IFERROR(IF(J8&lt;&gt;"",J8,IF(IFERROR(INDEX(Presets!$J$2:$J$200,MATCH($B8,Presets!$A$2:$A$200,0))&amp;"","")&lt;&gt;"",VALUE(IFERROR(INDEX(Presets!$J$2:$J$200,MATCH($B8,Presets!$A$2:$A$200,0))&amp;"","")),"")),"INVALID")</f>
        <v/>
      </c>
      <c r="W8" s="16">
        <f>IFERROR(IF(AND(A8="",B8=""),"",IF(OR(A8="",B8="",P8="",Q8="",R8="",S8="",T8="",U8="",V8="",K8="",AND(U8&lt;&gt;"NONE",L8="")),"INCOMPLETE",IF(OR(COUNTIFS($A$2:$A$11,A8)&gt;1,AND(P8&lt;&gt;"static",P8&lt;&gt;"eod_trailing",P8&lt;&gt;"intraday_trailing"),NOT(ISNUMBER(Q8)),Q8&lt;=0,ROUND(Q8*100,6)&lt;&gt;INT(ROUND(Q8*100,6)),NOT(ISNUMBER(R8)),R8&lt;=0,ROUND(R8*100,6)&lt;&gt;INT(ROUND(R8*100,6)),AND(S8&lt;&gt;"NONE",NOT(ISNUMBER(S8))),AND(P8="static",S8&lt;&gt;"NONE"),IF(ISNUMBER(S8),ROUND(Q8+S8-(Q8-R8),6)&lt;=0,FALSE),IF(ISNUMBER(S8),OR(S8&lt;-100000000,S8&gt;100000000),FALSE),AND(T8&lt;&gt;TRUE,T8&lt;&gt;FALSE),AND(U8&lt;&gt;"NONE",OR(NOT(ISNUMBER(U8)),U8&lt;=0)),IF(V8="NONE",FALSE,IF(ISNUMBER(V8),OR(V8&lt;0,V8&lt;&gt;INT(V8)),TRUE)),NOT(ISNUMBER(K8)),AND(U8&lt;&gt;"NONE",NOT(ISNUMBER(L8))),Q8&gt;100000000,R8&gt;100000000,K8&lt;=0,K8&gt;100000000,IF(ISNUMBER(U8),U8&gt;100000000,FALSE),IF(ISNUMBER(L8),OR(L8&lt;=0,L8&gt;100000000),FALSE)),"INVALID",IF(COUNTIFS('Daily Log'!$A$2:$A$1001,A8,'Daily Log'!$I$2:$I$1001,"INVALID")&gt;0,"INVALID",IF(OR(COUNTIFS('Daily Log'!$A$2:$A$1001,A8,'Daily Log'!$I$2:$I$1001,"INCOMPLETE")&gt;0,COUNTIFS('Daily Log'!$I$2:$I$1001,"UNKNOWN_ACCOUNT")&gt;0),"INCOMPLETE","OK"))))),"INVALID")</f>
        <v/>
      </c>
      <c r="X8" s="17">
        <f>IFERROR(IF($W8&lt;&gt;"OK",$W8,IF(P8="static",Q8,IF(P8="eod_trailing",MAX(Q8,_xlfn.MAXIFS('Daily Log'!$C$2:$C$1001,'Daily Log'!$A$2:$A$1001,A8)),MAX(Q8,K8,_xlfn.MAXIFS('Daily Log'!$C$2:$C$1001,'Daily Log'!$A$2:$A$1001,A8),_xlfn.MAXIFS('Daily Log'!$D$2:$D$1001,'Daily Log'!$A$2:$A$1001,A8))))),"INVALID")</f>
        <v/>
      </c>
      <c r="Y8" s="18">
        <f>IFERROR(IF($W8&lt;&gt;"OK",$W8,-INT(ROUND(-(AJ8)*100,6))/100),"INVALID")</f>
        <v/>
      </c>
      <c r="Z8" s="10">
        <f>IFERROR(IF($W8&lt;&gt;"OK",$W8,AND(ISNUMBER(S8),P8&lt;&gt;"static",ROUND(X8-R8-(Q8+IF(ISNUMBER(S8),S8,0)),6)&gt;=0)),"INVALID")</f>
        <v/>
      </c>
      <c r="AA8" s="10">
        <f>IFERROR(IF($W8&lt;&gt;"OK",$W8,OR(COUNTIFS('Daily Log'!$A$2:$A$1001,A8,'Daily Log'!$I$2:$I$1001,"BREACHED")&gt;0,IF(T8,ROUND(K8-(AJ8),6)&lt;=0,ROUND(K8-(AJ8),6)&lt;0))),"INVALID")</f>
        <v/>
      </c>
      <c r="AB8" s="17">
        <f>IFERROR(IF($W8&lt;&gt;"OK",$W8,IF(AA8,"BREACHED",INT(ROUND((MAX(0,K8-AJ8))*100,6))/100)),"INVALID")</f>
        <v/>
      </c>
      <c r="AC8" s="17">
        <f>IFERROR(IF($W8&lt;&gt;"OK",$W8,IF(AA8,"BREACHED",IF(U8="NONE","NONE",INT(ROUND((MAX(0,U8-MAX(0,-(K8-L8))))*100,6))/100))),"INVALID")</f>
        <v/>
      </c>
      <c r="AD8" s="18">
        <f>IFERROR(IF($W8&lt;&gt;"OK",$W8,IF(AA8,"BREACHED",IF(AC8="NONE",AB8,MIN(AB8,AC8)))),"INVALID")</f>
        <v/>
      </c>
      <c r="AE8" s="16">
        <f>IFERROR(IF($W8&lt;&gt;"OK",$W8,IF(AA8,"BREACHED",IF(AND(AC8&lt;&gt;"NONE",AC8&lt;AB8),"daily_loss","drawdown"))),"INVALID")</f>
        <v/>
      </c>
      <c r="AF8" s="17">
        <f>IFERROR(IF(AK8&lt;&gt;"OK",AK8,IF(AA8,"BREACHED",INT(ROUND((MIN(M8,AD8))*100,6))/100)),"INVALID")</f>
        <v/>
      </c>
      <c r="AG8" s="19">
        <f>IFERROR(IF(AK8&lt;&gt;"OK",AK8,IF(AA8,"BREACHED",IF(V8="NONE",AL8,MIN(AL8,V8)))),"INVALID")</f>
        <v/>
      </c>
      <c r="AH8" s="10">
        <f>IFERROR(IF(AK8&lt;&gt;"OK",AK8,AND(V8&lt;&gt;"NONE",AL8&gt;V8)),"INVALID")</f>
        <v/>
      </c>
      <c r="AI8" s="10">
        <f>IFERROR(IF(AK8&lt;&gt;"OK",AK8,M8&gt;AD8),"INVALID")</f>
        <v/>
      </c>
      <c r="AJ8" s="10">
        <f>IFERROR(IF($W8&lt;&gt;"OK","",IF(P8="static",Q8-R8,IF(S8="NONE",X8-R8,MIN(X8-R8,Q8+S8)))),"INVALID")</f>
        <v/>
      </c>
      <c r="AK8" s="10">
        <f>IFERROR(IF($W8&lt;&gt;"OK",$W8,IF(OR(M8="",N8="",O8=""),"INCOMPLETE",IF(OR(NOT(ISNUMBER(M8)),M8&lt;0,NOT(ISNUMBER(N8)),N8&lt;1,N8&lt;&gt;INT(N8),NOT(ISNUMBER(O8)),O8&lt;=0,O8&gt;100000,ROUND(O8*1000000,3)&lt;&gt;INT(ROUND(O8*1000000,3)),M8&gt;100000000),"INVALID","OK"))),"INVALID")</f>
        <v/>
      </c>
      <c r="AL8" s="10">
        <f>IFERROR(IF(AK8&lt;&gt;"OK","",IF(AA8,0,INT(ROUND(MIN(M8,AD8)/(N8*O8),9)))),"INVALID")</f>
        <v/>
      </c>
      <c r="AM8" s="17">
        <f>IFERROR(IF(AK8&lt;&gt;"OK",AK8,IF(AA8,"BREACHED",INT(ROUND((AG8*N8*O8)*100,6))/100)),"INVALID")</f>
        <v/>
      </c>
      <c r="AN8" s="16">
        <f>IFERROR(IF(AND(A8="",B8=""),"",_xlfn.TEXTJOIN("; ",TRUE,IF(C8="partial","PARTIAL PRESET: verify "&amp;IFERROR(INDEX(Presets!$L$2:$L$200,MATCH($B8,Presets!$A$2:$A$200,0))&amp;"",""),""),IF(C8="manual","MANUAL: all params user-entered",""),IF(OR(AND(D8&lt;&gt;"",IFERROR(INDEX(Presets!$C$2:$C$200,MATCH($B8,Presets!$A$2:$A$200,0))&amp;"","")&lt;&gt;""),AND(E8&lt;&gt;"",IFERROR(INDEX(Presets!$D$2:$D$200,MATCH($B8,Presets!$A$2:$A$200,0))&amp;"","")&lt;&gt;""),AND(F8&lt;&gt;"",IFERROR(INDEX(Presets!$E$2:$E$200,MATCH($B8,Presets!$A$2:$A$200,0))&amp;"","")&lt;&gt;""),AND(G8&lt;&gt;"",IFERROR(INDEX(Presets!$G$2:$G$200,MATCH($B8,Presets!$A$2:$A$200,0))&amp;"","")&lt;&gt;""),AND(H8&lt;&gt;"",IFERROR(INDEX(Presets!$H$2:$H$200,MATCH($B8,Presets!$A$2:$A$200,0))&amp;"","")&lt;&gt;""),AND(I8&lt;&gt;"",IFERROR(INDEX(Presets!$I$2:$I$200,MATCH($B8,Presets!$A$2:$A$200,0))&amp;"","")&lt;&gt;""),AND(J8&lt;&gt;"",IFERROR(INDEX(Presets!$J$2:$J$200,MATCH($B8,Presets!$A$2:$A$200,0))&amp;"","")&lt;&gt;"")),"OVERRIDES PRESET",""),IF(AND(A8&lt;&gt;"",V8=""),"MAX CONTRACTS MISSING: enter a number or NONE",""),IF(AND(IFERROR(INDEX(Presets!$N$2:$N$200,MATCH($B8,Presets!$A$2:$A$200,0))&amp;"","")&lt;&gt;"",NOT(ISNUMBER($B$13))),"AS-OF DATE MISSING: enter today in B13 (stale check off)",""),IF(AND(IFERROR(INDEX(Presets!$N$2:$N$200,MATCH($B8,Presets!$A$2:$A$200,0))&amp;"","")&lt;&gt;"",ISNUMBER($B$13)),IF($B$13-DATE(VALUE(LEFT(IFERROR(INDEX(Presets!$N$2:$N$200,MATCH($B8,Presets!$A$2:$A$200,0))&amp;"",""),4)),VALUE(MID(IFERROR(INDEX(Presets!$N$2:$N$200,MATCH($B8,Presets!$A$2:$A$200,0))&amp;"",""),6,2)),VALUE(MID(IFERROR(INDEX(Presets!$N$2:$N$200,MATCH($B8,Presets!$A$2:$A$200,0))&amp;"",""),9,2)))&gt;30,"STALE PRESET: checked "&amp;IFERROR(INDEX(Presets!$N$2:$N$200,MATCH($B8,Presets!$A$2:$A$200,0))&amp;"","")&amp;", over 30 days before As of",""),""),IF(IFERROR(INDEX(Presets!$M$2:$M$200,MATCH($B8,Presets!$A$2:$A$200,0))&amp;"","")&lt;&gt;"","source: "&amp;IFERROR(INDEX(Presets!$M$2:$M$200,MATCH($B8,Presets!$A$2:$A$200,0))&amp;"","")&amp;" checked "&amp;IFERROR(INDEX(Presets!$N$2:$N$200,MATCH($B8,Presets!$A$2:$A$200,0))&amp;"",""),""))),"INVALID")</f>
        <v/>
      </c>
    </row>
    <row r="9" ht="20" customHeight="1">
      <c r="A9" s="9" t="n"/>
      <c r="B9" s="9" t="n"/>
      <c r="C9" s="10">
        <f>IFERROR(INDEX(Presets!$B$2:$B$200,MATCH($B9,Presets!$A$2:$A$200,0))&amp;"","")</f>
        <v/>
      </c>
      <c r="D9" s="11" t="n"/>
      <c r="E9" s="12" t="n"/>
      <c r="F9" s="12" t="n"/>
      <c r="G9" s="11" t="n"/>
      <c r="H9" s="11" t="n"/>
      <c r="I9" s="12" t="n"/>
      <c r="J9" s="11" t="n"/>
      <c r="K9" s="12" t="n"/>
      <c r="L9" s="12" t="n"/>
      <c r="M9" s="12" t="n"/>
      <c r="N9" s="11" t="n"/>
      <c r="O9" s="11" t="n"/>
      <c r="P9" s="13">
        <f>IFERROR(IF(D9&lt;&gt;"",D9,IFERROR(INDEX(Presets!$C$2:$C$200,MATCH($B9,Presets!$A$2:$A$200,0))&amp;"","")),"INVALID")</f>
        <v/>
      </c>
      <c r="Q9" s="14">
        <f>IFERROR(IF(E9&lt;&gt;"",E9,IF(IFERROR(INDEX(Presets!$D$2:$D$200,MATCH($B9,Presets!$A$2:$A$200,0))&amp;"","")&lt;&gt;"",VALUE(IFERROR(INDEX(Presets!$D$2:$D$200,MATCH($B9,Presets!$A$2:$A$200,0))&amp;"","")),"")),"INVALID")</f>
        <v/>
      </c>
      <c r="R9" s="14">
        <f>IFERROR(IF(F9&lt;&gt;"",F9,IF(IFERROR(INDEX(Presets!$E$2:$E$200,MATCH($B9,Presets!$A$2:$A$200,0))&amp;"","")&lt;&gt;"",VALUE(IFERROR(INDEX(Presets!$E$2:$E$200,MATCH($B9,Presets!$A$2:$A$200,0))&amp;"","")),IF(AND(IFERROR(INDEX(Presets!$F$2:$F$200,MATCH($B9,Presets!$A$2:$A$200,0))&amp;"","")&lt;&gt;"",ISNUMBER(Q9)),VALUE(IFERROR(INDEX(Presets!$F$2:$F$200,MATCH($B9,Presets!$A$2:$A$200,0))&amp;"",""))/100*Q9,""))),"INVALID")</f>
        <v/>
      </c>
      <c r="S9" s="15">
        <f>IFERROR(IF(G9&lt;&gt;"",G9,IF(IFERROR(INDEX(Presets!$G$2:$G$200,MATCH($B9,Presets!$A$2:$A$200,0))&amp;"","")="NONE","NONE",IF(IFERROR(INDEX(Presets!$G$2:$G$200,MATCH($B9,Presets!$A$2:$A$200,0))&amp;"","")&lt;&gt;"",VALUE(IFERROR(INDEX(Presets!$G$2:$G$200,MATCH($B9,Presets!$A$2:$A$200,0))&amp;"","")),""))),"INVALID")</f>
        <v/>
      </c>
      <c r="T9" s="15">
        <f>IFERROR(IF(H9&lt;&gt;"",H9,IF(IFERROR(INDEX(Presets!$H$2:$H$200,MATCH($B9,Presets!$A$2:$A$200,0))&amp;"","")="TRUE",TRUE,IF(IFERROR(INDEX(Presets!$H$2:$H$200,MATCH($B9,Presets!$A$2:$A$200,0))&amp;"","")="FALSE",FALSE,""))),"INVALID")</f>
        <v/>
      </c>
      <c r="U9" s="14">
        <f>IFERROR(IF(I9&lt;&gt;"",I9,IF(IFERROR(INDEX(Presets!$I$2:$I$200,MATCH($B9,Presets!$A$2:$A$200,0))&amp;"","")="NONE","NONE",IF(IFERROR(INDEX(Presets!$I$2:$I$200,MATCH($B9,Presets!$A$2:$A$200,0))&amp;"","")&lt;&gt;"",VALUE(IFERROR(INDEX(Presets!$I$2:$I$200,MATCH($B9,Presets!$A$2:$A$200,0))&amp;"","")),""))),"INVALID")</f>
        <v/>
      </c>
      <c r="V9" s="15">
        <f>IFERROR(IF(J9&lt;&gt;"",J9,IF(IFERROR(INDEX(Presets!$J$2:$J$200,MATCH($B9,Presets!$A$2:$A$200,0))&amp;"","")&lt;&gt;"",VALUE(IFERROR(INDEX(Presets!$J$2:$J$200,MATCH($B9,Presets!$A$2:$A$200,0))&amp;"","")),"")),"INVALID")</f>
        <v/>
      </c>
      <c r="W9" s="16">
        <f>IFERROR(IF(AND(A9="",B9=""),"",IF(OR(A9="",B9="",P9="",Q9="",R9="",S9="",T9="",U9="",V9="",K9="",AND(U9&lt;&gt;"NONE",L9="")),"INCOMPLETE",IF(OR(COUNTIFS($A$2:$A$11,A9)&gt;1,AND(P9&lt;&gt;"static",P9&lt;&gt;"eod_trailing",P9&lt;&gt;"intraday_trailing"),NOT(ISNUMBER(Q9)),Q9&lt;=0,ROUND(Q9*100,6)&lt;&gt;INT(ROUND(Q9*100,6)),NOT(ISNUMBER(R9)),R9&lt;=0,ROUND(R9*100,6)&lt;&gt;INT(ROUND(R9*100,6)),AND(S9&lt;&gt;"NONE",NOT(ISNUMBER(S9))),AND(P9="static",S9&lt;&gt;"NONE"),IF(ISNUMBER(S9),ROUND(Q9+S9-(Q9-R9),6)&lt;=0,FALSE),IF(ISNUMBER(S9),OR(S9&lt;-100000000,S9&gt;100000000),FALSE),AND(T9&lt;&gt;TRUE,T9&lt;&gt;FALSE),AND(U9&lt;&gt;"NONE",OR(NOT(ISNUMBER(U9)),U9&lt;=0)),IF(V9="NONE",FALSE,IF(ISNUMBER(V9),OR(V9&lt;0,V9&lt;&gt;INT(V9)),TRUE)),NOT(ISNUMBER(K9)),AND(U9&lt;&gt;"NONE",NOT(ISNUMBER(L9))),Q9&gt;100000000,R9&gt;100000000,K9&lt;=0,K9&gt;100000000,IF(ISNUMBER(U9),U9&gt;100000000,FALSE),IF(ISNUMBER(L9),OR(L9&lt;=0,L9&gt;100000000),FALSE)),"INVALID",IF(COUNTIFS('Daily Log'!$A$2:$A$1001,A9,'Daily Log'!$I$2:$I$1001,"INVALID")&gt;0,"INVALID",IF(OR(COUNTIFS('Daily Log'!$A$2:$A$1001,A9,'Daily Log'!$I$2:$I$1001,"INCOMPLETE")&gt;0,COUNTIFS('Daily Log'!$I$2:$I$1001,"UNKNOWN_ACCOUNT")&gt;0),"INCOMPLETE","OK"))))),"INVALID")</f>
        <v/>
      </c>
      <c r="X9" s="17">
        <f>IFERROR(IF($W9&lt;&gt;"OK",$W9,IF(P9="static",Q9,IF(P9="eod_trailing",MAX(Q9,_xlfn.MAXIFS('Daily Log'!$C$2:$C$1001,'Daily Log'!$A$2:$A$1001,A9)),MAX(Q9,K9,_xlfn.MAXIFS('Daily Log'!$C$2:$C$1001,'Daily Log'!$A$2:$A$1001,A9),_xlfn.MAXIFS('Daily Log'!$D$2:$D$1001,'Daily Log'!$A$2:$A$1001,A9))))),"INVALID")</f>
        <v/>
      </c>
      <c r="Y9" s="18">
        <f>IFERROR(IF($W9&lt;&gt;"OK",$W9,-INT(ROUND(-(AJ9)*100,6))/100),"INVALID")</f>
        <v/>
      </c>
      <c r="Z9" s="10">
        <f>IFERROR(IF($W9&lt;&gt;"OK",$W9,AND(ISNUMBER(S9),P9&lt;&gt;"static",ROUND(X9-R9-(Q9+IF(ISNUMBER(S9),S9,0)),6)&gt;=0)),"INVALID")</f>
        <v/>
      </c>
      <c r="AA9" s="10">
        <f>IFERROR(IF($W9&lt;&gt;"OK",$W9,OR(COUNTIFS('Daily Log'!$A$2:$A$1001,A9,'Daily Log'!$I$2:$I$1001,"BREACHED")&gt;0,IF(T9,ROUND(K9-(AJ9),6)&lt;=0,ROUND(K9-(AJ9),6)&lt;0))),"INVALID")</f>
        <v/>
      </c>
      <c r="AB9" s="17">
        <f>IFERROR(IF($W9&lt;&gt;"OK",$W9,IF(AA9,"BREACHED",INT(ROUND((MAX(0,K9-AJ9))*100,6))/100)),"INVALID")</f>
        <v/>
      </c>
      <c r="AC9" s="17">
        <f>IFERROR(IF($W9&lt;&gt;"OK",$W9,IF(AA9,"BREACHED",IF(U9="NONE","NONE",INT(ROUND((MAX(0,U9-MAX(0,-(K9-L9))))*100,6))/100))),"INVALID")</f>
        <v/>
      </c>
      <c r="AD9" s="18">
        <f>IFERROR(IF($W9&lt;&gt;"OK",$W9,IF(AA9,"BREACHED",IF(AC9="NONE",AB9,MIN(AB9,AC9)))),"INVALID")</f>
        <v/>
      </c>
      <c r="AE9" s="16">
        <f>IFERROR(IF($W9&lt;&gt;"OK",$W9,IF(AA9,"BREACHED",IF(AND(AC9&lt;&gt;"NONE",AC9&lt;AB9),"daily_loss","drawdown"))),"INVALID")</f>
        <v/>
      </c>
      <c r="AF9" s="17">
        <f>IFERROR(IF(AK9&lt;&gt;"OK",AK9,IF(AA9,"BREACHED",INT(ROUND((MIN(M9,AD9))*100,6))/100)),"INVALID")</f>
        <v/>
      </c>
      <c r="AG9" s="19">
        <f>IFERROR(IF(AK9&lt;&gt;"OK",AK9,IF(AA9,"BREACHED",IF(V9="NONE",AL9,MIN(AL9,V9)))),"INVALID")</f>
        <v/>
      </c>
      <c r="AH9" s="10">
        <f>IFERROR(IF(AK9&lt;&gt;"OK",AK9,AND(V9&lt;&gt;"NONE",AL9&gt;V9)),"INVALID")</f>
        <v/>
      </c>
      <c r="AI9" s="10">
        <f>IFERROR(IF(AK9&lt;&gt;"OK",AK9,M9&gt;AD9),"INVALID")</f>
        <v/>
      </c>
      <c r="AJ9" s="10">
        <f>IFERROR(IF($W9&lt;&gt;"OK","",IF(P9="static",Q9-R9,IF(S9="NONE",X9-R9,MIN(X9-R9,Q9+S9)))),"INVALID")</f>
        <v/>
      </c>
      <c r="AK9" s="10">
        <f>IFERROR(IF($W9&lt;&gt;"OK",$W9,IF(OR(M9="",N9="",O9=""),"INCOMPLETE",IF(OR(NOT(ISNUMBER(M9)),M9&lt;0,NOT(ISNUMBER(N9)),N9&lt;1,N9&lt;&gt;INT(N9),NOT(ISNUMBER(O9)),O9&lt;=0,O9&gt;100000,ROUND(O9*1000000,3)&lt;&gt;INT(ROUND(O9*1000000,3)),M9&gt;100000000),"INVALID","OK"))),"INVALID")</f>
        <v/>
      </c>
      <c r="AL9" s="10">
        <f>IFERROR(IF(AK9&lt;&gt;"OK","",IF(AA9,0,INT(ROUND(MIN(M9,AD9)/(N9*O9),9)))),"INVALID")</f>
        <v/>
      </c>
      <c r="AM9" s="17">
        <f>IFERROR(IF(AK9&lt;&gt;"OK",AK9,IF(AA9,"BREACHED",INT(ROUND((AG9*N9*O9)*100,6))/100)),"INVALID")</f>
        <v/>
      </c>
      <c r="AN9" s="16">
        <f>IFERROR(IF(AND(A9="",B9=""),"",_xlfn.TEXTJOIN("; ",TRUE,IF(C9="partial","PARTIAL PRESET: verify "&amp;IFERROR(INDEX(Presets!$L$2:$L$200,MATCH($B9,Presets!$A$2:$A$200,0))&amp;"",""),""),IF(C9="manual","MANUAL: all params user-entered",""),IF(OR(AND(D9&lt;&gt;"",IFERROR(INDEX(Presets!$C$2:$C$200,MATCH($B9,Presets!$A$2:$A$200,0))&amp;"","")&lt;&gt;""),AND(E9&lt;&gt;"",IFERROR(INDEX(Presets!$D$2:$D$200,MATCH($B9,Presets!$A$2:$A$200,0))&amp;"","")&lt;&gt;""),AND(F9&lt;&gt;"",IFERROR(INDEX(Presets!$E$2:$E$200,MATCH($B9,Presets!$A$2:$A$200,0))&amp;"","")&lt;&gt;""),AND(G9&lt;&gt;"",IFERROR(INDEX(Presets!$G$2:$G$200,MATCH($B9,Presets!$A$2:$A$200,0))&amp;"","")&lt;&gt;""),AND(H9&lt;&gt;"",IFERROR(INDEX(Presets!$H$2:$H$200,MATCH($B9,Presets!$A$2:$A$200,0))&amp;"","")&lt;&gt;""),AND(I9&lt;&gt;"",IFERROR(INDEX(Presets!$I$2:$I$200,MATCH($B9,Presets!$A$2:$A$200,0))&amp;"","")&lt;&gt;""),AND(J9&lt;&gt;"",IFERROR(INDEX(Presets!$J$2:$J$200,MATCH($B9,Presets!$A$2:$A$200,0))&amp;"","")&lt;&gt;"")),"OVERRIDES PRESET",""),IF(AND(A9&lt;&gt;"",V9=""),"MAX CONTRACTS MISSING: enter a number or NONE",""),IF(AND(IFERROR(INDEX(Presets!$N$2:$N$200,MATCH($B9,Presets!$A$2:$A$200,0))&amp;"","")&lt;&gt;"",NOT(ISNUMBER($B$13))),"AS-OF DATE MISSING: enter today in B13 (stale check off)",""),IF(AND(IFERROR(INDEX(Presets!$N$2:$N$200,MATCH($B9,Presets!$A$2:$A$200,0))&amp;"","")&lt;&gt;"",ISNUMBER($B$13)),IF($B$13-DATE(VALUE(LEFT(IFERROR(INDEX(Presets!$N$2:$N$200,MATCH($B9,Presets!$A$2:$A$200,0))&amp;"",""),4)),VALUE(MID(IFERROR(INDEX(Presets!$N$2:$N$200,MATCH($B9,Presets!$A$2:$A$200,0))&amp;"",""),6,2)),VALUE(MID(IFERROR(INDEX(Presets!$N$2:$N$200,MATCH($B9,Presets!$A$2:$A$200,0))&amp;"",""),9,2)))&gt;30,"STALE PRESET: checked "&amp;IFERROR(INDEX(Presets!$N$2:$N$200,MATCH($B9,Presets!$A$2:$A$200,0))&amp;"","")&amp;", over 30 days before As of",""),""),IF(IFERROR(INDEX(Presets!$M$2:$M$200,MATCH($B9,Presets!$A$2:$A$200,0))&amp;"","")&lt;&gt;"","source: "&amp;IFERROR(INDEX(Presets!$M$2:$M$200,MATCH($B9,Presets!$A$2:$A$200,0))&amp;"","")&amp;" checked "&amp;IFERROR(INDEX(Presets!$N$2:$N$200,MATCH($B9,Presets!$A$2:$A$200,0))&amp;"",""),""))),"INVALID")</f>
        <v/>
      </c>
    </row>
    <row r="10" ht="20" customHeight="1">
      <c r="A10" s="9" t="n"/>
      <c r="B10" s="9" t="n"/>
      <c r="C10" s="10">
        <f>IFERROR(INDEX(Presets!$B$2:$B$200,MATCH($B10,Presets!$A$2:$A$200,0))&amp;"","")</f>
        <v/>
      </c>
      <c r="D10" s="11" t="n"/>
      <c r="E10" s="12" t="n"/>
      <c r="F10" s="12" t="n"/>
      <c r="G10" s="11" t="n"/>
      <c r="H10" s="11" t="n"/>
      <c r="I10" s="12" t="n"/>
      <c r="J10" s="11" t="n"/>
      <c r="K10" s="12" t="n"/>
      <c r="L10" s="12" t="n"/>
      <c r="M10" s="12" t="n"/>
      <c r="N10" s="11" t="n"/>
      <c r="O10" s="11" t="n"/>
      <c r="P10" s="13">
        <f>IFERROR(IF(D10&lt;&gt;"",D10,IFERROR(INDEX(Presets!$C$2:$C$200,MATCH($B10,Presets!$A$2:$A$200,0))&amp;"","")),"INVALID")</f>
        <v/>
      </c>
      <c r="Q10" s="14">
        <f>IFERROR(IF(E10&lt;&gt;"",E10,IF(IFERROR(INDEX(Presets!$D$2:$D$200,MATCH($B10,Presets!$A$2:$A$200,0))&amp;"","")&lt;&gt;"",VALUE(IFERROR(INDEX(Presets!$D$2:$D$200,MATCH($B10,Presets!$A$2:$A$200,0))&amp;"","")),"")),"INVALID")</f>
        <v/>
      </c>
      <c r="R10" s="14">
        <f>IFERROR(IF(F10&lt;&gt;"",F10,IF(IFERROR(INDEX(Presets!$E$2:$E$200,MATCH($B10,Presets!$A$2:$A$200,0))&amp;"","")&lt;&gt;"",VALUE(IFERROR(INDEX(Presets!$E$2:$E$200,MATCH($B10,Presets!$A$2:$A$200,0))&amp;"","")),IF(AND(IFERROR(INDEX(Presets!$F$2:$F$200,MATCH($B10,Presets!$A$2:$A$200,0))&amp;"","")&lt;&gt;"",ISNUMBER(Q10)),VALUE(IFERROR(INDEX(Presets!$F$2:$F$200,MATCH($B10,Presets!$A$2:$A$200,0))&amp;"",""))/100*Q10,""))),"INVALID")</f>
        <v/>
      </c>
      <c r="S10" s="15">
        <f>IFERROR(IF(G10&lt;&gt;"",G10,IF(IFERROR(INDEX(Presets!$G$2:$G$200,MATCH($B10,Presets!$A$2:$A$200,0))&amp;"","")="NONE","NONE",IF(IFERROR(INDEX(Presets!$G$2:$G$200,MATCH($B10,Presets!$A$2:$A$200,0))&amp;"","")&lt;&gt;"",VALUE(IFERROR(INDEX(Presets!$G$2:$G$200,MATCH($B10,Presets!$A$2:$A$200,0))&amp;"","")),""))),"INVALID")</f>
        <v/>
      </c>
      <c r="T10" s="15">
        <f>IFERROR(IF(H10&lt;&gt;"",H10,IF(IFERROR(INDEX(Presets!$H$2:$H$200,MATCH($B10,Presets!$A$2:$A$200,0))&amp;"","")="TRUE",TRUE,IF(IFERROR(INDEX(Presets!$H$2:$H$200,MATCH($B10,Presets!$A$2:$A$200,0))&amp;"","")="FALSE",FALSE,""))),"INVALID")</f>
        <v/>
      </c>
      <c r="U10" s="14">
        <f>IFERROR(IF(I10&lt;&gt;"",I10,IF(IFERROR(INDEX(Presets!$I$2:$I$200,MATCH($B10,Presets!$A$2:$A$200,0))&amp;"","")="NONE","NONE",IF(IFERROR(INDEX(Presets!$I$2:$I$200,MATCH($B10,Presets!$A$2:$A$200,0))&amp;"","")&lt;&gt;"",VALUE(IFERROR(INDEX(Presets!$I$2:$I$200,MATCH($B10,Presets!$A$2:$A$200,0))&amp;"","")),""))),"INVALID")</f>
        <v/>
      </c>
      <c r="V10" s="15">
        <f>IFERROR(IF(J10&lt;&gt;"",J10,IF(IFERROR(INDEX(Presets!$J$2:$J$200,MATCH($B10,Presets!$A$2:$A$200,0))&amp;"","")&lt;&gt;"",VALUE(IFERROR(INDEX(Presets!$J$2:$J$200,MATCH($B10,Presets!$A$2:$A$200,0))&amp;"","")),"")),"INVALID")</f>
        <v/>
      </c>
      <c r="W10" s="16">
        <f>IFERROR(IF(AND(A10="",B10=""),"",IF(OR(A10="",B10="",P10="",Q10="",R10="",S10="",T10="",U10="",V10="",K10="",AND(U10&lt;&gt;"NONE",L10="")),"INCOMPLETE",IF(OR(COUNTIFS($A$2:$A$11,A10)&gt;1,AND(P10&lt;&gt;"static",P10&lt;&gt;"eod_trailing",P10&lt;&gt;"intraday_trailing"),NOT(ISNUMBER(Q10)),Q10&lt;=0,ROUND(Q10*100,6)&lt;&gt;INT(ROUND(Q10*100,6)),NOT(ISNUMBER(R10)),R10&lt;=0,ROUND(R10*100,6)&lt;&gt;INT(ROUND(R10*100,6)),AND(S10&lt;&gt;"NONE",NOT(ISNUMBER(S10))),AND(P10="static",S10&lt;&gt;"NONE"),IF(ISNUMBER(S10),ROUND(Q10+S10-(Q10-R10),6)&lt;=0,FALSE),IF(ISNUMBER(S10),OR(S10&lt;-100000000,S10&gt;100000000),FALSE),AND(T10&lt;&gt;TRUE,T10&lt;&gt;FALSE),AND(U10&lt;&gt;"NONE",OR(NOT(ISNUMBER(U10)),U10&lt;=0)),IF(V10="NONE",FALSE,IF(ISNUMBER(V10),OR(V10&lt;0,V10&lt;&gt;INT(V10)),TRUE)),NOT(ISNUMBER(K10)),AND(U10&lt;&gt;"NONE",NOT(ISNUMBER(L10))),Q10&gt;100000000,R10&gt;100000000,K10&lt;=0,K10&gt;100000000,IF(ISNUMBER(U10),U10&gt;100000000,FALSE),IF(ISNUMBER(L10),OR(L10&lt;=0,L10&gt;100000000),FALSE)),"INVALID",IF(COUNTIFS('Daily Log'!$A$2:$A$1001,A10,'Daily Log'!$I$2:$I$1001,"INVALID")&gt;0,"INVALID",IF(OR(COUNTIFS('Daily Log'!$A$2:$A$1001,A10,'Daily Log'!$I$2:$I$1001,"INCOMPLETE")&gt;0,COUNTIFS('Daily Log'!$I$2:$I$1001,"UNKNOWN_ACCOUNT")&gt;0),"INCOMPLETE","OK"))))),"INVALID")</f>
        <v/>
      </c>
      <c r="X10" s="17">
        <f>IFERROR(IF($W10&lt;&gt;"OK",$W10,IF(P10="static",Q10,IF(P10="eod_trailing",MAX(Q10,_xlfn.MAXIFS('Daily Log'!$C$2:$C$1001,'Daily Log'!$A$2:$A$1001,A10)),MAX(Q10,K10,_xlfn.MAXIFS('Daily Log'!$C$2:$C$1001,'Daily Log'!$A$2:$A$1001,A10),_xlfn.MAXIFS('Daily Log'!$D$2:$D$1001,'Daily Log'!$A$2:$A$1001,A10))))),"INVALID")</f>
        <v/>
      </c>
      <c r="Y10" s="18">
        <f>IFERROR(IF($W10&lt;&gt;"OK",$W10,-INT(ROUND(-(AJ10)*100,6))/100),"INVALID")</f>
        <v/>
      </c>
      <c r="Z10" s="10">
        <f>IFERROR(IF($W10&lt;&gt;"OK",$W10,AND(ISNUMBER(S10),P10&lt;&gt;"static",ROUND(X10-R10-(Q10+IF(ISNUMBER(S10),S10,0)),6)&gt;=0)),"INVALID")</f>
        <v/>
      </c>
      <c r="AA10" s="10">
        <f>IFERROR(IF($W10&lt;&gt;"OK",$W10,OR(COUNTIFS('Daily Log'!$A$2:$A$1001,A10,'Daily Log'!$I$2:$I$1001,"BREACHED")&gt;0,IF(T10,ROUND(K10-(AJ10),6)&lt;=0,ROUND(K10-(AJ10),6)&lt;0))),"INVALID")</f>
        <v/>
      </c>
      <c r="AB10" s="17">
        <f>IFERROR(IF($W10&lt;&gt;"OK",$W10,IF(AA10,"BREACHED",INT(ROUND((MAX(0,K10-AJ10))*100,6))/100)),"INVALID")</f>
        <v/>
      </c>
      <c r="AC10" s="17">
        <f>IFERROR(IF($W10&lt;&gt;"OK",$W10,IF(AA10,"BREACHED",IF(U10="NONE","NONE",INT(ROUND((MAX(0,U10-MAX(0,-(K10-L10))))*100,6))/100))),"INVALID")</f>
        <v/>
      </c>
      <c r="AD10" s="18">
        <f>IFERROR(IF($W10&lt;&gt;"OK",$W10,IF(AA10,"BREACHED",IF(AC10="NONE",AB10,MIN(AB10,AC10)))),"INVALID")</f>
        <v/>
      </c>
      <c r="AE10" s="16">
        <f>IFERROR(IF($W10&lt;&gt;"OK",$W10,IF(AA10,"BREACHED",IF(AND(AC10&lt;&gt;"NONE",AC10&lt;AB10),"daily_loss","drawdown"))),"INVALID")</f>
        <v/>
      </c>
      <c r="AF10" s="17">
        <f>IFERROR(IF(AK10&lt;&gt;"OK",AK10,IF(AA10,"BREACHED",INT(ROUND((MIN(M10,AD10))*100,6))/100)),"INVALID")</f>
        <v/>
      </c>
      <c r="AG10" s="19">
        <f>IFERROR(IF(AK10&lt;&gt;"OK",AK10,IF(AA10,"BREACHED",IF(V10="NONE",AL10,MIN(AL10,V10)))),"INVALID")</f>
        <v/>
      </c>
      <c r="AH10" s="10">
        <f>IFERROR(IF(AK10&lt;&gt;"OK",AK10,AND(V10&lt;&gt;"NONE",AL10&gt;V10)),"INVALID")</f>
        <v/>
      </c>
      <c r="AI10" s="10">
        <f>IFERROR(IF(AK10&lt;&gt;"OK",AK10,M10&gt;AD10),"INVALID")</f>
        <v/>
      </c>
      <c r="AJ10" s="10">
        <f>IFERROR(IF($W10&lt;&gt;"OK","",IF(P10="static",Q10-R10,IF(S10="NONE",X10-R10,MIN(X10-R10,Q10+S10)))),"INVALID")</f>
        <v/>
      </c>
      <c r="AK10" s="10">
        <f>IFERROR(IF($W10&lt;&gt;"OK",$W10,IF(OR(M10="",N10="",O10=""),"INCOMPLETE",IF(OR(NOT(ISNUMBER(M10)),M10&lt;0,NOT(ISNUMBER(N10)),N10&lt;1,N10&lt;&gt;INT(N10),NOT(ISNUMBER(O10)),O10&lt;=0,O10&gt;100000,ROUND(O10*1000000,3)&lt;&gt;INT(ROUND(O10*1000000,3)),M10&gt;100000000),"INVALID","OK"))),"INVALID")</f>
        <v/>
      </c>
      <c r="AL10" s="10">
        <f>IFERROR(IF(AK10&lt;&gt;"OK","",IF(AA10,0,INT(ROUND(MIN(M10,AD10)/(N10*O10),9)))),"INVALID")</f>
        <v/>
      </c>
      <c r="AM10" s="17">
        <f>IFERROR(IF(AK10&lt;&gt;"OK",AK10,IF(AA10,"BREACHED",INT(ROUND((AG10*N10*O10)*100,6))/100)),"INVALID")</f>
        <v/>
      </c>
      <c r="AN10" s="16">
        <f>IFERROR(IF(AND(A10="",B10=""),"",_xlfn.TEXTJOIN("; ",TRUE,IF(C10="partial","PARTIAL PRESET: verify "&amp;IFERROR(INDEX(Presets!$L$2:$L$200,MATCH($B10,Presets!$A$2:$A$200,0))&amp;"",""),""),IF(C10="manual","MANUAL: all params user-entered",""),IF(OR(AND(D10&lt;&gt;"",IFERROR(INDEX(Presets!$C$2:$C$200,MATCH($B10,Presets!$A$2:$A$200,0))&amp;"","")&lt;&gt;""),AND(E10&lt;&gt;"",IFERROR(INDEX(Presets!$D$2:$D$200,MATCH($B10,Presets!$A$2:$A$200,0))&amp;"","")&lt;&gt;""),AND(F10&lt;&gt;"",IFERROR(INDEX(Presets!$E$2:$E$200,MATCH($B10,Presets!$A$2:$A$200,0))&amp;"","")&lt;&gt;""),AND(G10&lt;&gt;"",IFERROR(INDEX(Presets!$G$2:$G$200,MATCH($B10,Presets!$A$2:$A$200,0))&amp;"","")&lt;&gt;""),AND(H10&lt;&gt;"",IFERROR(INDEX(Presets!$H$2:$H$200,MATCH($B10,Presets!$A$2:$A$200,0))&amp;"","")&lt;&gt;""),AND(I10&lt;&gt;"",IFERROR(INDEX(Presets!$I$2:$I$200,MATCH($B10,Presets!$A$2:$A$200,0))&amp;"","")&lt;&gt;""),AND(J10&lt;&gt;"",IFERROR(INDEX(Presets!$J$2:$J$200,MATCH($B10,Presets!$A$2:$A$200,0))&amp;"","")&lt;&gt;"")),"OVERRIDES PRESET",""),IF(AND(A10&lt;&gt;"",V10=""),"MAX CONTRACTS MISSING: enter a number or NONE",""),IF(AND(IFERROR(INDEX(Presets!$N$2:$N$200,MATCH($B10,Presets!$A$2:$A$200,0))&amp;"","")&lt;&gt;"",NOT(ISNUMBER($B$13))),"AS-OF DATE MISSING: enter today in B13 (stale check off)",""),IF(AND(IFERROR(INDEX(Presets!$N$2:$N$200,MATCH($B10,Presets!$A$2:$A$200,0))&amp;"","")&lt;&gt;"",ISNUMBER($B$13)),IF($B$13-DATE(VALUE(LEFT(IFERROR(INDEX(Presets!$N$2:$N$200,MATCH($B10,Presets!$A$2:$A$200,0))&amp;"",""),4)),VALUE(MID(IFERROR(INDEX(Presets!$N$2:$N$200,MATCH($B10,Presets!$A$2:$A$200,0))&amp;"",""),6,2)),VALUE(MID(IFERROR(INDEX(Presets!$N$2:$N$200,MATCH($B10,Presets!$A$2:$A$200,0))&amp;"",""),9,2)))&gt;30,"STALE PRESET: checked "&amp;IFERROR(INDEX(Presets!$N$2:$N$200,MATCH($B10,Presets!$A$2:$A$200,0))&amp;"","")&amp;", over 30 days before As of",""),""),IF(IFERROR(INDEX(Presets!$M$2:$M$200,MATCH($B10,Presets!$A$2:$A$200,0))&amp;"","")&lt;&gt;"","source: "&amp;IFERROR(INDEX(Presets!$M$2:$M$200,MATCH($B10,Presets!$A$2:$A$200,0))&amp;"","")&amp;" checked "&amp;IFERROR(INDEX(Presets!$N$2:$N$200,MATCH($B10,Presets!$A$2:$A$200,0))&amp;"",""),""))),"INVALID")</f>
        <v/>
      </c>
    </row>
    <row r="11" ht="20" customHeight="1">
      <c r="A11" s="9" t="n"/>
      <c r="B11" s="9" t="n"/>
      <c r="C11" s="10">
        <f>IFERROR(INDEX(Presets!$B$2:$B$200,MATCH($B11,Presets!$A$2:$A$200,0))&amp;"","")</f>
        <v/>
      </c>
      <c r="D11" s="11" t="n"/>
      <c r="E11" s="12" t="n"/>
      <c r="F11" s="12" t="n"/>
      <c r="G11" s="11" t="n"/>
      <c r="H11" s="11" t="n"/>
      <c r="I11" s="12" t="n"/>
      <c r="J11" s="11" t="n"/>
      <c r="K11" s="12" t="n"/>
      <c r="L11" s="12" t="n"/>
      <c r="M11" s="12" t="n"/>
      <c r="N11" s="11" t="n"/>
      <c r="O11" s="11" t="n"/>
      <c r="P11" s="13">
        <f>IFERROR(IF(D11&lt;&gt;"",D11,IFERROR(INDEX(Presets!$C$2:$C$200,MATCH($B11,Presets!$A$2:$A$200,0))&amp;"","")),"INVALID")</f>
        <v/>
      </c>
      <c r="Q11" s="14">
        <f>IFERROR(IF(E11&lt;&gt;"",E11,IF(IFERROR(INDEX(Presets!$D$2:$D$200,MATCH($B11,Presets!$A$2:$A$200,0))&amp;"","")&lt;&gt;"",VALUE(IFERROR(INDEX(Presets!$D$2:$D$200,MATCH($B11,Presets!$A$2:$A$200,0))&amp;"","")),"")),"INVALID")</f>
        <v/>
      </c>
      <c r="R11" s="14">
        <f>IFERROR(IF(F11&lt;&gt;"",F11,IF(IFERROR(INDEX(Presets!$E$2:$E$200,MATCH($B11,Presets!$A$2:$A$200,0))&amp;"","")&lt;&gt;"",VALUE(IFERROR(INDEX(Presets!$E$2:$E$200,MATCH($B11,Presets!$A$2:$A$200,0))&amp;"","")),IF(AND(IFERROR(INDEX(Presets!$F$2:$F$200,MATCH($B11,Presets!$A$2:$A$200,0))&amp;"","")&lt;&gt;"",ISNUMBER(Q11)),VALUE(IFERROR(INDEX(Presets!$F$2:$F$200,MATCH($B11,Presets!$A$2:$A$200,0))&amp;"",""))/100*Q11,""))),"INVALID")</f>
        <v/>
      </c>
      <c r="S11" s="15">
        <f>IFERROR(IF(G11&lt;&gt;"",G11,IF(IFERROR(INDEX(Presets!$G$2:$G$200,MATCH($B11,Presets!$A$2:$A$200,0))&amp;"","")="NONE","NONE",IF(IFERROR(INDEX(Presets!$G$2:$G$200,MATCH($B11,Presets!$A$2:$A$200,0))&amp;"","")&lt;&gt;"",VALUE(IFERROR(INDEX(Presets!$G$2:$G$200,MATCH($B11,Presets!$A$2:$A$200,0))&amp;"","")),""))),"INVALID")</f>
        <v/>
      </c>
      <c r="T11" s="15">
        <f>IFERROR(IF(H11&lt;&gt;"",H11,IF(IFERROR(INDEX(Presets!$H$2:$H$200,MATCH($B11,Presets!$A$2:$A$200,0))&amp;"","")="TRUE",TRUE,IF(IFERROR(INDEX(Presets!$H$2:$H$200,MATCH($B11,Presets!$A$2:$A$200,0))&amp;"","")="FALSE",FALSE,""))),"INVALID")</f>
        <v/>
      </c>
      <c r="U11" s="14">
        <f>IFERROR(IF(I11&lt;&gt;"",I11,IF(IFERROR(INDEX(Presets!$I$2:$I$200,MATCH($B11,Presets!$A$2:$A$200,0))&amp;"","")="NONE","NONE",IF(IFERROR(INDEX(Presets!$I$2:$I$200,MATCH($B11,Presets!$A$2:$A$200,0))&amp;"","")&lt;&gt;"",VALUE(IFERROR(INDEX(Presets!$I$2:$I$200,MATCH($B11,Presets!$A$2:$A$200,0))&amp;"","")),""))),"INVALID")</f>
        <v/>
      </c>
      <c r="V11" s="15">
        <f>IFERROR(IF(J11&lt;&gt;"",J11,IF(IFERROR(INDEX(Presets!$J$2:$J$200,MATCH($B11,Presets!$A$2:$A$200,0))&amp;"","")&lt;&gt;"",VALUE(IFERROR(INDEX(Presets!$J$2:$J$200,MATCH($B11,Presets!$A$2:$A$200,0))&amp;"","")),"")),"INVALID")</f>
        <v/>
      </c>
      <c r="W11" s="16">
        <f>IFERROR(IF(AND(A11="",B11=""),"",IF(OR(A11="",B11="",P11="",Q11="",R11="",S11="",T11="",U11="",V11="",K11="",AND(U11&lt;&gt;"NONE",L11="")),"INCOMPLETE",IF(OR(COUNTIFS($A$2:$A$11,A11)&gt;1,AND(P11&lt;&gt;"static",P11&lt;&gt;"eod_trailing",P11&lt;&gt;"intraday_trailing"),NOT(ISNUMBER(Q11)),Q11&lt;=0,ROUND(Q11*100,6)&lt;&gt;INT(ROUND(Q11*100,6)),NOT(ISNUMBER(R11)),R11&lt;=0,ROUND(R11*100,6)&lt;&gt;INT(ROUND(R11*100,6)),AND(S11&lt;&gt;"NONE",NOT(ISNUMBER(S11))),AND(P11="static",S11&lt;&gt;"NONE"),IF(ISNUMBER(S11),ROUND(Q11+S11-(Q11-R11),6)&lt;=0,FALSE),IF(ISNUMBER(S11),OR(S11&lt;-100000000,S11&gt;100000000),FALSE),AND(T11&lt;&gt;TRUE,T11&lt;&gt;FALSE),AND(U11&lt;&gt;"NONE",OR(NOT(ISNUMBER(U11)),U11&lt;=0)),IF(V11="NONE",FALSE,IF(ISNUMBER(V11),OR(V11&lt;0,V11&lt;&gt;INT(V11)),TRUE)),NOT(ISNUMBER(K11)),AND(U11&lt;&gt;"NONE",NOT(ISNUMBER(L11))),Q11&gt;100000000,R11&gt;100000000,K11&lt;=0,K11&gt;100000000,IF(ISNUMBER(U11),U11&gt;100000000,FALSE),IF(ISNUMBER(L11),OR(L11&lt;=0,L11&gt;100000000),FALSE)),"INVALID",IF(COUNTIFS('Daily Log'!$A$2:$A$1001,A11,'Daily Log'!$I$2:$I$1001,"INVALID")&gt;0,"INVALID",IF(OR(COUNTIFS('Daily Log'!$A$2:$A$1001,A11,'Daily Log'!$I$2:$I$1001,"INCOMPLETE")&gt;0,COUNTIFS('Daily Log'!$I$2:$I$1001,"UNKNOWN_ACCOUNT")&gt;0),"INCOMPLETE","OK"))))),"INVALID")</f>
        <v/>
      </c>
      <c r="X11" s="17">
        <f>IFERROR(IF($W11&lt;&gt;"OK",$W11,IF(P11="static",Q11,IF(P11="eod_trailing",MAX(Q11,_xlfn.MAXIFS('Daily Log'!$C$2:$C$1001,'Daily Log'!$A$2:$A$1001,A11)),MAX(Q11,K11,_xlfn.MAXIFS('Daily Log'!$C$2:$C$1001,'Daily Log'!$A$2:$A$1001,A11),_xlfn.MAXIFS('Daily Log'!$D$2:$D$1001,'Daily Log'!$A$2:$A$1001,A11))))),"INVALID")</f>
        <v/>
      </c>
      <c r="Y11" s="18">
        <f>IFERROR(IF($W11&lt;&gt;"OK",$W11,-INT(ROUND(-(AJ11)*100,6))/100),"INVALID")</f>
        <v/>
      </c>
      <c r="Z11" s="10">
        <f>IFERROR(IF($W11&lt;&gt;"OK",$W11,AND(ISNUMBER(S11),P11&lt;&gt;"static",ROUND(X11-R11-(Q11+IF(ISNUMBER(S11),S11,0)),6)&gt;=0)),"INVALID")</f>
        <v/>
      </c>
      <c r="AA11" s="10">
        <f>IFERROR(IF($W11&lt;&gt;"OK",$W11,OR(COUNTIFS('Daily Log'!$A$2:$A$1001,A11,'Daily Log'!$I$2:$I$1001,"BREACHED")&gt;0,IF(T11,ROUND(K11-(AJ11),6)&lt;=0,ROUND(K11-(AJ11),6)&lt;0))),"INVALID")</f>
        <v/>
      </c>
      <c r="AB11" s="17">
        <f>IFERROR(IF($W11&lt;&gt;"OK",$W11,IF(AA11,"BREACHED",INT(ROUND((MAX(0,K11-AJ11))*100,6))/100)),"INVALID")</f>
        <v/>
      </c>
      <c r="AC11" s="17">
        <f>IFERROR(IF($W11&lt;&gt;"OK",$W11,IF(AA11,"BREACHED",IF(U11="NONE","NONE",INT(ROUND((MAX(0,U11-MAX(0,-(K11-L11))))*100,6))/100))),"INVALID")</f>
        <v/>
      </c>
      <c r="AD11" s="18">
        <f>IFERROR(IF($W11&lt;&gt;"OK",$W11,IF(AA11,"BREACHED",IF(AC11="NONE",AB11,MIN(AB11,AC11)))),"INVALID")</f>
        <v/>
      </c>
      <c r="AE11" s="16">
        <f>IFERROR(IF($W11&lt;&gt;"OK",$W11,IF(AA11,"BREACHED",IF(AND(AC11&lt;&gt;"NONE",AC11&lt;AB11),"daily_loss","drawdown"))),"INVALID")</f>
        <v/>
      </c>
      <c r="AF11" s="17">
        <f>IFERROR(IF(AK11&lt;&gt;"OK",AK11,IF(AA11,"BREACHED",INT(ROUND((MIN(M11,AD11))*100,6))/100)),"INVALID")</f>
        <v/>
      </c>
      <c r="AG11" s="19">
        <f>IFERROR(IF(AK11&lt;&gt;"OK",AK11,IF(AA11,"BREACHED",IF(V11="NONE",AL11,MIN(AL11,V11)))),"INVALID")</f>
        <v/>
      </c>
      <c r="AH11" s="10">
        <f>IFERROR(IF(AK11&lt;&gt;"OK",AK11,AND(V11&lt;&gt;"NONE",AL11&gt;V11)),"INVALID")</f>
        <v/>
      </c>
      <c r="AI11" s="10">
        <f>IFERROR(IF(AK11&lt;&gt;"OK",AK11,M11&gt;AD11),"INVALID")</f>
        <v/>
      </c>
      <c r="AJ11" s="10">
        <f>IFERROR(IF($W11&lt;&gt;"OK","",IF(P11="static",Q11-R11,IF(S11="NONE",X11-R11,MIN(X11-R11,Q11+S11)))),"INVALID")</f>
        <v/>
      </c>
      <c r="AK11" s="10">
        <f>IFERROR(IF($W11&lt;&gt;"OK",$W11,IF(OR(M11="",N11="",O11=""),"INCOMPLETE",IF(OR(NOT(ISNUMBER(M11)),M11&lt;0,NOT(ISNUMBER(N11)),N11&lt;1,N11&lt;&gt;INT(N11),NOT(ISNUMBER(O11)),O11&lt;=0,O11&gt;100000,ROUND(O11*1000000,3)&lt;&gt;INT(ROUND(O11*1000000,3)),M11&gt;100000000),"INVALID","OK"))),"INVALID")</f>
        <v/>
      </c>
      <c r="AL11" s="10">
        <f>IFERROR(IF(AK11&lt;&gt;"OK","",IF(AA11,0,INT(ROUND(MIN(M11,AD11)/(N11*O11),9)))),"INVALID")</f>
        <v/>
      </c>
      <c r="AM11" s="17">
        <f>IFERROR(IF(AK11&lt;&gt;"OK",AK11,IF(AA11,"BREACHED",INT(ROUND((AG11*N11*O11)*100,6))/100)),"INVALID")</f>
        <v/>
      </c>
      <c r="AN11" s="16">
        <f>IFERROR(IF(AND(A11="",B11=""),"",_xlfn.TEXTJOIN("; ",TRUE,IF(C11="partial","PARTIAL PRESET: verify "&amp;IFERROR(INDEX(Presets!$L$2:$L$200,MATCH($B11,Presets!$A$2:$A$200,0))&amp;"",""),""),IF(C11="manual","MANUAL: all params user-entered",""),IF(OR(AND(D11&lt;&gt;"",IFERROR(INDEX(Presets!$C$2:$C$200,MATCH($B11,Presets!$A$2:$A$200,0))&amp;"","")&lt;&gt;""),AND(E11&lt;&gt;"",IFERROR(INDEX(Presets!$D$2:$D$200,MATCH($B11,Presets!$A$2:$A$200,0))&amp;"","")&lt;&gt;""),AND(F11&lt;&gt;"",IFERROR(INDEX(Presets!$E$2:$E$200,MATCH($B11,Presets!$A$2:$A$200,0))&amp;"","")&lt;&gt;""),AND(G11&lt;&gt;"",IFERROR(INDEX(Presets!$G$2:$G$200,MATCH($B11,Presets!$A$2:$A$200,0))&amp;"","")&lt;&gt;""),AND(H11&lt;&gt;"",IFERROR(INDEX(Presets!$H$2:$H$200,MATCH($B11,Presets!$A$2:$A$200,0))&amp;"","")&lt;&gt;""),AND(I11&lt;&gt;"",IFERROR(INDEX(Presets!$I$2:$I$200,MATCH($B11,Presets!$A$2:$A$200,0))&amp;"","")&lt;&gt;""),AND(J11&lt;&gt;"",IFERROR(INDEX(Presets!$J$2:$J$200,MATCH($B11,Presets!$A$2:$A$200,0))&amp;"","")&lt;&gt;"")),"OVERRIDES PRESET",""),IF(AND(A11&lt;&gt;"",V11=""),"MAX CONTRACTS MISSING: enter a number or NONE",""),IF(AND(IFERROR(INDEX(Presets!$N$2:$N$200,MATCH($B11,Presets!$A$2:$A$200,0))&amp;"","")&lt;&gt;"",NOT(ISNUMBER($B$13))),"AS-OF DATE MISSING: enter today in B13 (stale check off)",""),IF(AND(IFERROR(INDEX(Presets!$N$2:$N$200,MATCH($B11,Presets!$A$2:$A$200,0))&amp;"","")&lt;&gt;"",ISNUMBER($B$13)),IF($B$13-DATE(VALUE(LEFT(IFERROR(INDEX(Presets!$N$2:$N$200,MATCH($B11,Presets!$A$2:$A$200,0))&amp;"",""),4)),VALUE(MID(IFERROR(INDEX(Presets!$N$2:$N$200,MATCH($B11,Presets!$A$2:$A$200,0))&amp;"",""),6,2)),VALUE(MID(IFERROR(INDEX(Presets!$N$2:$N$200,MATCH($B11,Presets!$A$2:$A$200,0))&amp;"",""),9,2)))&gt;30,"STALE PRESET: checked "&amp;IFERROR(INDEX(Presets!$N$2:$N$200,MATCH($B11,Presets!$A$2:$A$200,0))&amp;"","")&amp;", over 30 days before As of",""),""),IF(IFERROR(INDEX(Presets!$M$2:$M$200,MATCH($B11,Presets!$A$2:$A$200,0))&amp;"","")&lt;&gt;"","source: "&amp;IFERROR(INDEX(Presets!$M$2:$M$200,MATCH($B11,Presets!$A$2:$A$200,0))&amp;"","")&amp;" checked "&amp;IFERROR(INDEX(Presets!$N$2:$N$200,MATCH($B11,Presets!$A$2:$A$200,0))&amp;"",""),""))),"INVALID")</f>
        <v/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</row>
    <row r="13">
      <c r="A13" s="20" t="inlineStr">
        <is>
          <t>As of</t>
        </is>
      </c>
      <c r="B13" s="21" t="n"/>
      <c r="C13" s="22" t="inlineStr">
        <is>
          <t>← today's date (enables the 30-day stale-preset check; no TODAY() used)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</row>
    <row r="14">
      <c r="A14" s="20" t="inlineStr">
        <is>
          <t>Log check</t>
        </is>
      </c>
      <c r="B14" s="23">
        <f>IF(COUNTIFS('Daily Log'!$I$2:$I$1001,"UNKNOWN_ACCOUNT")&gt;0,COUNTIFS('Daily Log'!$I$2:$I$1001,"UNKNOWN_ACCOUNT")&amp;" Daily Log row(s) with unknown account ID - fix before trading","")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</row>
    <row r="15">
      <c r="A15" s="22" t="inlineStr">
        <is>
          <t>Inputs: shaded cells A–O.  Calculated: P–AN (locked).  FLOOR / BINDING ROOM / CONTRACTS are the numbers to trade by. Educational only; the firm's dashboard is authoritative.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conditionalFormatting sqref="B14:C14">
    <cfRule type="expression" priority="1" dxfId="0">
      <formula>$B$14&lt;&gt;""</formula>
    </cfRule>
  </conditionalFormatting>
  <conditionalFormatting sqref="A2:AN11">
    <cfRule type="expression" priority="2" dxfId="1" stopIfTrue="0">
      <formula>$AA2=TRUE</formula>
    </cfRule>
  </conditionalFormatting>
  <conditionalFormatting sqref="C2:AN11">
    <cfRule type="expression" priority="3" dxfId="0" stopIfTrue="0">
      <formula>C2="INVALID"</formula>
    </cfRule>
    <cfRule type="expression" priority="4" dxfId="2" stopIfTrue="0">
      <formula>C2="INCOMPLETE"</formula>
    </cfRule>
  </conditionalFormatting>
  <conditionalFormatting sqref="W2:W11">
    <cfRule type="expression" priority="5" dxfId="3" stopIfTrue="0">
      <formula>W2="OK"</formula>
    </cfRule>
  </conditionalFormatting>
  <conditionalFormatting sqref="Z2:Z11">
    <cfRule type="expression" priority="6" dxfId="3" stopIfTrue="0">
      <formula>Z2=TRUE</formula>
    </cfRule>
  </conditionalFormatting>
  <conditionalFormatting sqref="AB2:AB11">
    <cfRule type="expression" priority="7" dxfId="4" stopIfTrue="0">
      <formula>AND(ISNUMBER(AB2),ISNUMBER(R2),AB2&lt;0.25*R2)</formula>
    </cfRule>
  </conditionalFormatting>
  <conditionalFormatting sqref="AD2:AD11">
    <cfRule type="expression" priority="8" dxfId="5" stopIfTrue="0">
      <formula>AND(AND(ISNUMBER($AD2),ISNUMBER($R2)),$AD2&lt;=0.25*$R2)</formula>
    </cfRule>
    <cfRule type="expression" priority="9" dxfId="6" stopIfTrue="0">
      <formula>AND(AND(ISNUMBER($AD2),ISNUMBER($R2)),$AD2&lt;=0.5*$R2)</formula>
    </cfRule>
    <cfRule type="expression" priority="10" dxfId="3" stopIfTrue="0">
      <formula>AND(ISNUMBER($AD2),ISNUMBER($R2))</formula>
    </cfRule>
  </conditionalFormatting>
  <conditionalFormatting sqref="Y2:Y11">
    <cfRule type="expression" priority="11" dxfId="7" stopIfTrue="0">
      <formula>AND(ISNUMBER($AD2),ISNUMBER($R2))</formula>
    </cfRule>
  </conditionalFormatting>
  <conditionalFormatting sqref="AH2:AI11">
    <cfRule type="expression" priority="12" dxfId="8" stopIfTrue="0">
      <formula>AH2=TRUE</formula>
    </cfRule>
  </conditionalFormatting>
  <conditionalFormatting sqref="AG2:AG11">
    <cfRule type="expression" priority="13" dxfId="9" stopIfTrue="0">
      <formula>OR($AH2=TRUE,$AI2=TRUE)</formula>
    </cfRule>
  </conditionalFormatting>
  <conditionalFormatting sqref="AN2:AN11">
    <cfRule type="expression" priority="14" dxfId="10" stopIfTrue="0">
      <formula>OR(ISNUMBER(SEARCH("PARTIAL",AN2)),ISNUMBER(SEARCH("OVERRIDES",AN2)),ISNUMBER(SEARCH("MISSING",AN2)),ISNUMBER(SEARCH("STALE",AN2)))</formula>
    </cfRule>
  </conditionalFormatting>
  <conditionalFormatting sqref="C2:C11">
    <cfRule type="expression" priority="15" dxfId="3" stopIfTrue="0">
      <formula>C2="verified"</formula>
    </cfRule>
    <cfRule type="expression" priority="16" dxfId="6" stopIfTrue="0">
      <formula>C2="partial"</formula>
    </cfRule>
  </conditionalFormatting>
  <conditionalFormatting sqref="B2:C11">
    <cfRule type="expression" priority="17" dxfId="11" stopIfTrue="0">
      <formula>ISNUMBER(SEARCH("STALE PRESET",$AN2))</formula>
    </cfRule>
  </conditionalFormatting>
  <dataValidations count="14">
    <dataValidation sqref="B2:B11" showDropDown="0" showInputMessage="0" showErrorMessage="1" allowBlank="1" type="list" errorStyle="stop">
      <formula1>Presets!$A$2:$A$200</formula1>
    </dataValidation>
    <dataValidation sqref="D2:D11" showDropDown="0" showInputMessage="0" showErrorMessage="1" allowBlank="1" type="list" errorStyle="stop">
      <formula1>"static,eod_trailing,intraday_trailing"</formula1>
    </dataValidation>
    <dataValidation sqref="H2:H11" showDropDown="0" showInputMessage="0" showErrorMessage="1" allowBlank="1" type="list" errorStyle="stop">
      <formula1>"TRUE,FALSE"</formula1>
    </dataValidation>
    <dataValidation sqref="E2:E11" showDropDown="0" showInputMessage="0" showErrorMessage="1" allowBlank="1" error="Number with at most 2 decimals, up to 100,000,000" type="custom" errorStyle="stop">
      <formula1>AND(ISNUMBER(E2),ROUND(E2*100,6)=INT(ROUND(E2*100,6)),E2&gt;0,E2&lt;=100000000)</formula1>
    </dataValidation>
    <dataValidation sqref="F2:F11" showDropDown="0" showInputMessage="0" showErrorMessage="1" allowBlank="1" error="Number with at most 2 decimals, up to 100,000,000" type="custom" errorStyle="stop">
      <formula1>AND(ISNUMBER(F2),ROUND(F2*100,6)=INT(ROUND(F2*100,6)),F2&gt;0,F2&lt;=100000000)</formula1>
    </dataValidation>
    <dataValidation sqref="K2:K11" showDropDown="0" showInputMessage="0" showErrorMessage="1" allowBlank="1" error="Number with at most 2 decimals, up to 100,000,000" type="custom" errorStyle="stop">
      <formula1>AND(ISNUMBER(K2),ROUND(K2*100,6)=INT(ROUND(K2*100,6)),K2&gt;0,K2&lt;=100000000)</formula1>
    </dataValidation>
    <dataValidation sqref="L2:L11" showDropDown="0" showInputMessage="0" showErrorMessage="1" allowBlank="1" error="Number with at most 2 decimals, up to 100,000,000" type="custom" errorStyle="stop">
      <formula1>AND(ISNUMBER(L2),ROUND(L2*100,6)=INT(ROUND(L2*100,6)),L2&gt;0,L2&lt;=100000000)</formula1>
    </dataValidation>
    <dataValidation sqref="M2:M11" showDropDown="0" showInputMessage="0" showErrorMessage="1" allowBlank="1" error="Number with at most 2 decimals, up to 100,000,000" type="custom" errorStyle="stop">
      <formula1>AND(ISNUMBER(M2),ROUND(M2*100,6)=INT(ROUND(M2*100,6)),M2&gt;=0,M2&lt;=100000000)</formula1>
    </dataValidation>
    <dataValidation sqref="O2:O11" showDropDown="0" showInputMessage="0" showErrorMessage="1" allowBlank="1" error="Tick value: 0 &lt; x &lt;= 100,000, at most 6 decimals" type="custom" errorStyle="stop">
      <formula1>AND(ISNUMBER(O2),O2&gt;0,O2&lt;=100000,ROUND(O2*1000000,3)=INT(ROUND(O2*1000000,3)))</formula1>
    </dataValidation>
    <dataValidation sqref="G2:G11" showDropDown="0" showInputMessage="0" showErrorMessage="1" allowBlank="1" error="Number (2 dp, may be &lt;=0) or NONE" type="custom" errorStyle="stop">
      <formula1>OR(G2="NONE",AND(ISNUMBER(G2),ROUND(G2*100,6)=INT(ROUND(G2*100,6)),G2&gt;=-100000000,G2&lt;=100000000))</formula1>
    </dataValidation>
    <dataValidation sqref="I2:I11" showDropDown="0" showInputMessage="0" showErrorMessage="1" allowBlank="1" error="Dollar amount &gt; 0 or NONE" type="custom" errorStyle="stop">
      <formula1>OR(I2="NONE",AND(ISNUMBER(I2),ROUND(I2*100,6)=INT(ROUND(I2*100,6)),I2&gt;0,I2&lt;=100000000))</formula1>
    </dataValidation>
    <dataValidation sqref="J2:J11" showDropDown="0" showInputMessage="0" showErrorMessage="1" allowBlank="1" error="Whole number &gt;= 0 or NONE" type="custom" errorStyle="stop">
      <formula1>OR(J2="NONE",AND(ISNUMBER(J2),J2&gt;=0,J2=INT(J2)))</formula1>
    </dataValidation>
    <dataValidation sqref="N2:N11" showDropDown="0" showInputMessage="0" showErrorMessage="1" allowBlank="1" error="Whole number &gt;= 1" type="whole" errorStyle="stop" operator="greaterThanOrEqual">
      <formula1>1</formula1>
    </dataValidation>
    <dataValidation sqref="B13" showDropDown="0" showInputMessage="0" showErrorMessage="1" allowBlank="1" type="date" errorStyle="stop" operator="greaterThan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B224"/>
    <outlinePr summaryBelow="1" summaryRight="1"/>
    <pageSetUpPr/>
  </sheetPr>
  <dimension ref="A1:E19"/>
  <sheetViews>
    <sheetView showGridLines="0" zoomScale="100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100" customWidth="1" min="4" max="4"/>
  </cols>
  <sheetData>
    <row r="1">
      <c r="A1" s="24" t="inlineStr">
        <is>
          <t>PRE-SESSION CHECKLIST</t>
        </is>
      </c>
      <c r="B1" s="1" t="n"/>
      <c r="C1" s="1" t="n"/>
      <c r="D1" s="1" t="n"/>
      <c r="E1" s="1" t="n"/>
    </row>
    <row r="2">
      <c r="A2" s="25" t="inlineStr">
        <is>
          <t>Pick the account, tick each line (type x or ✓). Done = 11/11.</t>
        </is>
      </c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26" t="inlineStr">
        <is>
          <t>#</t>
        </is>
      </c>
      <c r="B4" s="26" t="inlineStr">
        <is>
          <t>Done</t>
        </is>
      </c>
      <c r="C4" s="26" t="inlineStr">
        <is>
          <t>Account</t>
        </is>
      </c>
      <c r="D4" s="26" t="inlineStr">
        <is>
          <t>Check</t>
        </is>
      </c>
      <c r="E4" s="1" t="n"/>
    </row>
    <row r="5" ht="30" customHeight="1">
      <c r="A5" s="27" t="n">
        <v>1</v>
      </c>
      <c r="B5" s="28" t="n"/>
      <c r="C5" s="29" t="n"/>
      <c r="D5" s="30" t="inlineStr">
        <is>
          <t>Preset matches the plan purchased (firm, plan, size, purchase date — older purchases may have legacy rules).</t>
        </is>
      </c>
      <c r="E5" s="1" t="n"/>
    </row>
    <row r="6" ht="30" customHeight="1">
      <c r="A6" s="27" t="n">
        <v>2</v>
      </c>
      <c r="B6" s="28" t="n"/>
      <c r="C6" s="29" t="n"/>
      <c r="D6" s="30" t="inlineStr">
        <is>
          <t>Opened source_url; rule text still matches; checked_date within 30 days.</t>
        </is>
      </c>
      <c r="E6" s="1" t="n"/>
    </row>
    <row r="7" ht="30" customHeight="1">
      <c r="A7" s="27" t="n">
        <v>3</v>
      </c>
      <c r="B7" s="28" t="n"/>
      <c r="C7" s="29" t="n"/>
      <c r="D7" s="30" t="inlineStr">
        <is>
          <t>All needs_user / PARTIAL flags resolved.</t>
        </is>
      </c>
      <c r="E7" s="1" t="n"/>
    </row>
    <row r="8" ht="30" customHeight="1">
      <c r="A8" s="27" t="n">
        <v>4</v>
      </c>
      <c r="B8" s="28" t="n"/>
      <c r="C8" s="29" t="n"/>
      <c r="D8" s="30" t="inlineStr">
        <is>
          <t>Lock offset confirmed (0 = start, X = start+X, NONE).</t>
        </is>
      </c>
      <c r="E8" s="1" t="n"/>
    </row>
    <row r="9" ht="30" customHeight="1">
      <c r="A9" s="27" t="n">
        <v>5</v>
      </c>
      <c r="B9" s="28" t="n"/>
      <c r="C9" s="29" t="n"/>
      <c r="D9" s="30" t="inlineStr">
        <is>
          <t>Touch rule confirmed ("hit/touch" = TRUE, "below" = FALSE).</t>
        </is>
      </c>
      <c r="E9" s="1" t="n"/>
    </row>
    <row r="10" ht="30" customHeight="1">
      <c r="A10" s="27" t="n">
        <v>6</v>
      </c>
      <c r="B10" s="28" t="n"/>
      <c r="C10" s="29" t="n"/>
      <c r="D10" s="30" t="inlineStr">
        <is>
          <t>DLL entered in $ for today's reset (% plans: firm dashboard value).</t>
        </is>
      </c>
      <c r="E10" s="1" t="n"/>
    </row>
    <row r="11" ht="30" customHeight="1">
      <c r="A11" s="27" t="n">
        <v>7</v>
      </c>
      <c r="B11" s="28" t="n"/>
      <c r="C11" s="29" t="n"/>
      <c r="D11" s="30" t="inlineStr">
        <is>
          <t>Day reference balance = firm's reset reference (incl./excl. unrealized per firm).</t>
        </is>
      </c>
      <c r="E11" s="1" t="n"/>
    </row>
    <row r="12" ht="30" customHeight="1">
      <c r="A12" s="27" t="n">
        <v>8</v>
      </c>
      <c r="B12" s="28" t="n"/>
      <c r="C12" s="29" t="n"/>
      <c r="D12" s="30" t="inlineStr">
        <is>
          <t>Max contracts entered in the units you trade (micros vs minis).</t>
        </is>
      </c>
      <c r="E12" s="1" t="n"/>
    </row>
    <row r="13" ht="30" customHeight="1">
      <c r="A13" s="27" t="n">
        <v>9</v>
      </c>
      <c r="B13" s="28" t="n"/>
      <c r="C13" s="29" t="n"/>
      <c r="D13" s="30" t="inlineStr">
        <is>
          <t>Today's Daily Log row entered incl. intraday low.</t>
        </is>
      </c>
      <c r="E13" s="1" t="n"/>
    </row>
    <row r="14" ht="30" customHeight="1">
      <c r="A14" s="27" t="n">
        <v>10</v>
      </c>
      <c r="B14" s="28" t="n"/>
      <c r="C14" s="29" t="n"/>
      <c r="D14" s="30" t="inlineStr">
        <is>
          <t>Tick value matches Contracts tab for the instrument.</t>
        </is>
      </c>
      <c r="E14" s="1" t="n"/>
    </row>
    <row r="15" ht="30" customHeight="1">
      <c r="A15" s="27" t="n">
        <v>11</v>
      </c>
      <c r="B15" s="28" t="n"/>
      <c r="C15" s="29" t="n"/>
      <c r="D15" s="30" t="inlineStr">
        <is>
          <t>Firm dashboard floor equals tracker floor; if not, the firm's number wins.</t>
        </is>
      </c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31" t="inlineStr">
        <is>
          <t>Done</t>
        </is>
      </c>
      <c r="D17" s="24">
        <f>COUNTIFS(B5:B15,"&lt;&gt;")&amp;" / 11"</f>
        <v/>
      </c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D17">
    <cfRule type="expression" priority="1" dxfId="3">
      <formula>COUNTIFS(B5:B15,"&lt;&gt;")=11</formula>
    </cfRule>
  </conditionalFormatting>
  <conditionalFormatting sqref="A5:D15">
    <cfRule type="expression" priority="2" dxfId="12">
      <formula>$B5&lt;&gt;""</formula>
    </cfRule>
  </conditionalFormatting>
  <dataValidations count="2">
    <dataValidation sqref="B5:B15" showDropDown="0" showInputMessage="0" showErrorMessage="1" allowBlank="1" type="list" errorStyle="stop">
      <formula1>"✓,x"</formula1>
    </dataValidation>
    <dataValidation sqref="C5:C15" showDropDown="0" showInputMessage="0" showErrorMessage="1" allowBlank="1" type="list" errorStyle="stop">
      <formula1>Accounts!$A$2:$A$11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CEAE4"/>
    <outlinePr summaryBelow="1" summaryRight="1"/>
    <pageSetUpPr/>
  </sheetPr>
  <dimension ref="A1:J1001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hidden="1" width="4" customWidth="1" min="6" max="6"/>
    <col width="13" customWidth="1" min="7" max="7"/>
    <col hidden="1" width="4" customWidth="1" min="8" max="8"/>
    <col width="12" customWidth="1" min="9" max="9"/>
    <col width="13" customWidth="1" min="10" max="10"/>
  </cols>
  <sheetData>
    <row r="1" ht="34" customHeight="1">
      <c r="A1" s="6" t="inlineStr">
        <is>
          <t>Account ID</t>
        </is>
      </c>
      <c r="B1" s="6" t="inlineStr">
        <is>
          <t>Trading date</t>
        </is>
      </c>
      <c r="C1" s="6" t="inlineStr">
        <is>
          <t>EOD balance</t>
        </is>
      </c>
      <c r="D1" s="6" t="inlineStr">
        <is>
          <t>Intraday high</t>
        </is>
      </c>
      <c r="E1" s="6" t="inlineStr">
        <is>
          <t>Intraday low</t>
        </is>
      </c>
      <c r="F1" s="7" t="inlineStr">
        <is>
          <t>acct row</t>
        </is>
      </c>
      <c r="G1" s="7" t="inlineStr">
        <is>
          <t>Peak (this row)</t>
        </is>
      </c>
      <c r="H1" s="7" t="inlineStr">
        <is>
          <t>floor raw</t>
        </is>
      </c>
      <c r="I1" s="7" t="inlineStr">
        <is>
          <t>Status</t>
        </is>
      </c>
      <c r="J1" s="8" t="inlineStr">
        <is>
          <t>FLOOR</t>
        </is>
      </c>
    </row>
    <row r="2" ht="18" customHeight="1">
      <c r="A2" s="9" t="n"/>
      <c r="B2" s="32" t="n"/>
      <c r="C2" s="12" t="n"/>
      <c r="D2" s="12" t="n"/>
      <c r="E2" s="12" t="n"/>
      <c r="F2" s="15">
        <f>IFERROR(MATCH($A2,Accounts!$A$2:$A$11,0),"")</f>
        <v/>
      </c>
      <c r="G2" s="14">
        <f>IFERROR(IF(OR($A2="",$F2=""),"",IF(INDEX(Accounts!$P$2:$P$11,$F2)="static",INDEX(Accounts!$Q$2:$Q$11,$F2),IF(INDEX(Accounts!$P$2:$P$11,$F2)="eod_trailing",MAX(INDEX(Accounts!$Q$2:$Q$11,$F2),_xlfn.MAXIFS($C$2:$C$1001,$A$2:$A$1001,$A2,$B$2:$B$1001,"&lt;"&amp;$B2)),MAX(INDEX(Accounts!$Q$2:$Q$11,$F2),_xlfn.MAXIFS($C$2:$C$1001,$A$2:$A$1001,$A2,$B$2:$B$1001,"&lt;"&amp;$B2),_xlfn.MAXIFS($D$2:$D$1001,$A$2:$A$1001,$A2,$B$2:$B$1001,"&lt;="&amp;$B2),$C2)))),"")</f>
        <v/>
      </c>
      <c r="H2" s="15">
        <f>IFERROR(IF(G2="","",IF(INDEX(Accounts!$P$2:$P$11,$F2)="static",INDEX(Accounts!$Q$2:$Q$11,$F2)-INDEX(Accounts!$R$2:$R$11,$F2),IF(INDEX(Accounts!$S$2:$S$11,$F2)="NONE",G2-INDEX(Accounts!$R$2:$R$11,$F2),MIN(G2-INDEX(Accounts!$R$2:$R$11,$F2),INDEX(Accounts!$Q$2:$Q$11,$F2)+INDEX(Accounts!$S$2:$S$11,$F2))))),"")</f>
        <v/>
      </c>
      <c r="I2" s="16">
        <f>IF(AND($A2="",$B2="",$C2="",$D2="",$E2=""),"",IF(OR($A2="",$F2=""),"UNKNOWN_ACCOUNT",IF(OR($B2="",$C2=""),"INCOMPLETE",IFERROR(IF(OR(NOT(ISNUMBER($B2)),NOT(ISNUMBER($C2)),IF(C2="",FALSE,IF(ISNUMBER(C2),OR(C2&lt;=0,C2&gt;100000000,ROUND(C2*100,6)&lt;&gt;INT(ROUND(C2*100,6))),TRUE)),IF(D2="",FALSE,IF(ISNUMBER(D2),OR(D2&lt;=0,D2&gt;100000000,ROUND(D2*100,6)&lt;&gt;INT(ROUND(D2*100,6))),TRUE)),IF(E2="",FALSE,IF(ISNUMBER(E2),OR(E2&lt;=0,E2&gt;100000000,ROUND(E2*100,6)&lt;&gt;INT(ROUND(E2*100,6))),TRUE)),AND($D2&lt;&gt;"",$D2&lt;MAX($C2,$E2)),AND($E2&lt;&gt;"",$E2&gt;MIN($C2,IF($D2="",$C2,$D2))),COUNTIFS($A$2:$A$1001,$A2,$B$2:$B$1001,$B2)&gt;1),"INVALID",IFERROR(IF(IF(INDEX(Accounts!$T$2:$T$11,$F2),ROUND(IF($E2="",$C2,MIN($C2,$E2))-(H2),6)&lt;=0,ROUND(IF($E2="",$C2,MIN($C2,$E2))-(H2),6)&lt;0),"BREACHED","OK"),"INCOMPLETE")),"INVALID"))))</f>
        <v/>
      </c>
      <c r="J2" s="33">
        <f>IF(OR(I2="OK",I2="BREACHED"),-INT(ROUND(-(H2)*100,6))/100,I2)</f>
        <v/>
      </c>
    </row>
    <row r="3" ht="18" customHeight="1">
      <c r="A3" s="9" t="n"/>
      <c r="B3" s="32" t="n"/>
      <c r="C3" s="12" t="n"/>
      <c r="D3" s="12" t="n"/>
      <c r="E3" s="12" t="n"/>
      <c r="F3" s="15">
        <f>IFERROR(MATCH($A3,Accounts!$A$2:$A$11,0),"")</f>
        <v/>
      </c>
      <c r="G3" s="14">
        <f>IFERROR(IF(OR($A3="",$F3=""),"",IF(INDEX(Accounts!$P$2:$P$11,$F3)="static",INDEX(Accounts!$Q$2:$Q$11,$F3),IF(INDEX(Accounts!$P$2:$P$11,$F3)="eod_trailing",MAX(INDEX(Accounts!$Q$2:$Q$11,$F3),_xlfn.MAXIFS($C$2:$C$1001,$A$2:$A$1001,$A3,$B$2:$B$1001,"&lt;"&amp;$B3)),MAX(INDEX(Accounts!$Q$2:$Q$11,$F3),_xlfn.MAXIFS($C$2:$C$1001,$A$2:$A$1001,$A3,$B$2:$B$1001,"&lt;"&amp;$B3),_xlfn.MAXIFS($D$2:$D$1001,$A$2:$A$1001,$A3,$B$2:$B$1001,"&lt;="&amp;$B3),$C3)))),"")</f>
        <v/>
      </c>
      <c r="H3" s="15">
        <f>IFERROR(IF(G3="","",IF(INDEX(Accounts!$P$2:$P$11,$F3)="static",INDEX(Accounts!$Q$2:$Q$11,$F3)-INDEX(Accounts!$R$2:$R$11,$F3),IF(INDEX(Accounts!$S$2:$S$11,$F3)="NONE",G3-INDEX(Accounts!$R$2:$R$11,$F3),MIN(G3-INDEX(Accounts!$R$2:$R$11,$F3),INDEX(Accounts!$Q$2:$Q$11,$F3)+INDEX(Accounts!$S$2:$S$11,$F3))))),"")</f>
        <v/>
      </c>
      <c r="I3" s="16">
        <f>IF(AND($A3="",$B3="",$C3="",$D3="",$E3=""),"",IF(OR($A3="",$F3=""),"UNKNOWN_ACCOUNT",IF(OR($B3="",$C3=""),"INCOMPLETE",IFERROR(IF(OR(NOT(ISNUMBER($B3)),NOT(ISNUMBER($C3)),IF(C3="",FALSE,IF(ISNUMBER(C3),OR(C3&lt;=0,C3&gt;100000000,ROUND(C3*100,6)&lt;&gt;INT(ROUND(C3*100,6))),TRUE)),IF(D3="",FALSE,IF(ISNUMBER(D3),OR(D3&lt;=0,D3&gt;100000000,ROUND(D3*100,6)&lt;&gt;INT(ROUND(D3*100,6))),TRUE)),IF(E3="",FALSE,IF(ISNUMBER(E3),OR(E3&lt;=0,E3&gt;100000000,ROUND(E3*100,6)&lt;&gt;INT(ROUND(E3*100,6))),TRUE)),AND($D3&lt;&gt;"",$D3&lt;MAX($C3,$E3)),AND($E3&lt;&gt;"",$E3&gt;MIN($C3,IF($D3="",$C3,$D3))),COUNTIFS($A$2:$A$1001,$A3,$B$2:$B$1001,$B3)&gt;1),"INVALID",IFERROR(IF(IF(INDEX(Accounts!$T$2:$T$11,$F3),ROUND(IF($E3="",$C3,MIN($C3,$E3))-(H3),6)&lt;=0,ROUND(IF($E3="",$C3,MIN($C3,$E3))-(H3),6)&lt;0),"BREACHED","OK"),"INCOMPLETE")),"INVALID"))))</f>
        <v/>
      </c>
      <c r="J3" s="33">
        <f>IF(OR(I3="OK",I3="BREACHED"),-INT(ROUND(-(H3)*100,6))/100,I3)</f>
        <v/>
      </c>
    </row>
    <row r="4" ht="18" customHeight="1">
      <c r="A4" s="9" t="n"/>
      <c r="B4" s="32" t="n"/>
      <c r="C4" s="12" t="n"/>
      <c r="D4" s="12" t="n"/>
      <c r="E4" s="12" t="n"/>
      <c r="F4" s="15">
        <f>IFERROR(MATCH($A4,Accounts!$A$2:$A$11,0),"")</f>
        <v/>
      </c>
      <c r="G4" s="14">
        <f>IFERROR(IF(OR($A4="",$F4=""),"",IF(INDEX(Accounts!$P$2:$P$11,$F4)="static",INDEX(Accounts!$Q$2:$Q$11,$F4),IF(INDEX(Accounts!$P$2:$P$11,$F4)="eod_trailing",MAX(INDEX(Accounts!$Q$2:$Q$11,$F4),_xlfn.MAXIFS($C$2:$C$1001,$A$2:$A$1001,$A4,$B$2:$B$1001,"&lt;"&amp;$B4)),MAX(INDEX(Accounts!$Q$2:$Q$11,$F4),_xlfn.MAXIFS($C$2:$C$1001,$A$2:$A$1001,$A4,$B$2:$B$1001,"&lt;"&amp;$B4),_xlfn.MAXIFS($D$2:$D$1001,$A$2:$A$1001,$A4,$B$2:$B$1001,"&lt;="&amp;$B4),$C4)))),"")</f>
        <v/>
      </c>
      <c r="H4" s="15">
        <f>IFERROR(IF(G4="","",IF(INDEX(Accounts!$P$2:$P$11,$F4)="static",INDEX(Accounts!$Q$2:$Q$11,$F4)-INDEX(Accounts!$R$2:$R$11,$F4),IF(INDEX(Accounts!$S$2:$S$11,$F4)="NONE",G4-INDEX(Accounts!$R$2:$R$11,$F4),MIN(G4-INDEX(Accounts!$R$2:$R$11,$F4),INDEX(Accounts!$Q$2:$Q$11,$F4)+INDEX(Accounts!$S$2:$S$11,$F4))))),"")</f>
        <v/>
      </c>
      <c r="I4" s="16">
        <f>IF(AND($A4="",$B4="",$C4="",$D4="",$E4=""),"",IF(OR($A4="",$F4=""),"UNKNOWN_ACCOUNT",IF(OR($B4="",$C4=""),"INCOMPLETE",IFERROR(IF(OR(NOT(ISNUMBER($B4)),NOT(ISNUMBER($C4)),IF(C4="",FALSE,IF(ISNUMBER(C4),OR(C4&lt;=0,C4&gt;100000000,ROUND(C4*100,6)&lt;&gt;INT(ROUND(C4*100,6))),TRUE)),IF(D4="",FALSE,IF(ISNUMBER(D4),OR(D4&lt;=0,D4&gt;100000000,ROUND(D4*100,6)&lt;&gt;INT(ROUND(D4*100,6))),TRUE)),IF(E4="",FALSE,IF(ISNUMBER(E4),OR(E4&lt;=0,E4&gt;100000000,ROUND(E4*100,6)&lt;&gt;INT(ROUND(E4*100,6))),TRUE)),AND($D4&lt;&gt;"",$D4&lt;MAX($C4,$E4)),AND($E4&lt;&gt;"",$E4&gt;MIN($C4,IF($D4="",$C4,$D4))),COUNTIFS($A$2:$A$1001,$A4,$B$2:$B$1001,$B4)&gt;1),"INVALID",IFERROR(IF(IF(INDEX(Accounts!$T$2:$T$11,$F4),ROUND(IF($E4="",$C4,MIN($C4,$E4))-(H4),6)&lt;=0,ROUND(IF($E4="",$C4,MIN($C4,$E4))-(H4),6)&lt;0),"BREACHED","OK"),"INCOMPLETE")),"INVALID"))))</f>
        <v/>
      </c>
      <c r="J4" s="33">
        <f>IF(OR(I4="OK",I4="BREACHED"),-INT(ROUND(-(H4)*100,6))/100,I4)</f>
        <v/>
      </c>
    </row>
    <row r="5" ht="18" customHeight="1">
      <c r="A5" s="9" t="n"/>
      <c r="B5" s="32" t="n"/>
      <c r="C5" s="12" t="n"/>
      <c r="D5" s="12" t="n"/>
      <c r="E5" s="12" t="n"/>
      <c r="F5" s="15">
        <f>IFERROR(MATCH($A5,Accounts!$A$2:$A$11,0),"")</f>
        <v/>
      </c>
      <c r="G5" s="14">
        <f>IFERROR(IF(OR($A5="",$F5=""),"",IF(INDEX(Accounts!$P$2:$P$11,$F5)="static",INDEX(Accounts!$Q$2:$Q$11,$F5),IF(INDEX(Accounts!$P$2:$P$11,$F5)="eod_trailing",MAX(INDEX(Accounts!$Q$2:$Q$11,$F5),_xlfn.MAXIFS($C$2:$C$1001,$A$2:$A$1001,$A5,$B$2:$B$1001,"&lt;"&amp;$B5)),MAX(INDEX(Accounts!$Q$2:$Q$11,$F5),_xlfn.MAXIFS($C$2:$C$1001,$A$2:$A$1001,$A5,$B$2:$B$1001,"&lt;"&amp;$B5),_xlfn.MAXIFS($D$2:$D$1001,$A$2:$A$1001,$A5,$B$2:$B$1001,"&lt;="&amp;$B5),$C5)))),"")</f>
        <v/>
      </c>
      <c r="H5" s="15">
        <f>IFERROR(IF(G5="","",IF(INDEX(Accounts!$P$2:$P$11,$F5)="static",INDEX(Accounts!$Q$2:$Q$11,$F5)-INDEX(Accounts!$R$2:$R$11,$F5),IF(INDEX(Accounts!$S$2:$S$11,$F5)="NONE",G5-INDEX(Accounts!$R$2:$R$11,$F5),MIN(G5-INDEX(Accounts!$R$2:$R$11,$F5),INDEX(Accounts!$Q$2:$Q$11,$F5)+INDEX(Accounts!$S$2:$S$11,$F5))))),"")</f>
        <v/>
      </c>
      <c r="I5" s="16">
        <f>IF(AND($A5="",$B5="",$C5="",$D5="",$E5=""),"",IF(OR($A5="",$F5=""),"UNKNOWN_ACCOUNT",IF(OR($B5="",$C5=""),"INCOMPLETE",IFERROR(IF(OR(NOT(ISNUMBER($B5)),NOT(ISNUMBER($C5)),IF(C5="",FALSE,IF(ISNUMBER(C5),OR(C5&lt;=0,C5&gt;100000000,ROUND(C5*100,6)&lt;&gt;INT(ROUND(C5*100,6))),TRUE)),IF(D5="",FALSE,IF(ISNUMBER(D5),OR(D5&lt;=0,D5&gt;100000000,ROUND(D5*100,6)&lt;&gt;INT(ROUND(D5*100,6))),TRUE)),IF(E5="",FALSE,IF(ISNUMBER(E5),OR(E5&lt;=0,E5&gt;100000000,ROUND(E5*100,6)&lt;&gt;INT(ROUND(E5*100,6))),TRUE)),AND($D5&lt;&gt;"",$D5&lt;MAX($C5,$E5)),AND($E5&lt;&gt;"",$E5&gt;MIN($C5,IF($D5="",$C5,$D5))),COUNTIFS($A$2:$A$1001,$A5,$B$2:$B$1001,$B5)&gt;1),"INVALID",IFERROR(IF(IF(INDEX(Accounts!$T$2:$T$11,$F5),ROUND(IF($E5="",$C5,MIN($C5,$E5))-(H5),6)&lt;=0,ROUND(IF($E5="",$C5,MIN($C5,$E5))-(H5),6)&lt;0),"BREACHED","OK"),"INCOMPLETE")),"INVALID"))))</f>
        <v/>
      </c>
      <c r="J5" s="33">
        <f>IF(OR(I5="OK",I5="BREACHED"),-INT(ROUND(-(H5)*100,6))/100,I5)</f>
        <v/>
      </c>
    </row>
    <row r="6" ht="18" customHeight="1">
      <c r="A6" s="9" t="n"/>
      <c r="B6" s="32" t="n"/>
      <c r="C6" s="12" t="n"/>
      <c r="D6" s="12" t="n"/>
      <c r="E6" s="12" t="n"/>
      <c r="F6" s="15">
        <f>IFERROR(MATCH($A6,Accounts!$A$2:$A$11,0),"")</f>
        <v/>
      </c>
      <c r="G6" s="14">
        <f>IFERROR(IF(OR($A6="",$F6=""),"",IF(INDEX(Accounts!$P$2:$P$11,$F6)="static",INDEX(Accounts!$Q$2:$Q$11,$F6),IF(INDEX(Accounts!$P$2:$P$11,$F6)="eod_trailing",MAX(INDEX(Accounts!$Q$2:$Q$11,$F6),_xlfn.MAXIFS($C$2:$C$1001,$A$2:$A$1001,$A6,$B$2:$B$1001,"&lt;"&amp;$B6)),MAX(INDEX(Accounts!$Q$2:$Q$11,$F6),_xlfn.MAXIFS($C$2:$C$1001,$A$2:$A$1001,$A6,$B$2:$B$1001,"&lt;"&amp;$B6),_xlfn.MAXIFS($D$2:$D$1001,$A$2:$A$1001,$A6,$B$2:$B$1001,"&lt;="&amp;$B6),$C6)))),"")</f>
        <v/>
      </c>
      <c r="H6" s="15">
        <f>IFERROR(IF(G6="","",IF(INDEX(Accounts!$P$2:$P$11,$F6)="static",INDEX(Accounts!$Q$2:$Q$11,$F6)-INDEX(Accounts!$R$2:$R$11,$F6),IF(INDEX(Accounts!$S$2:$S$11,$F6)="NONE",G6-INDEX(Accounts!$R$2:$R$11,$F6),MIN(G6-INDEX(Accounts!$R$2:$R$11,$F6),INDEX(Accounts!$Q$2:$Q$11,$F6)+INDEX(Accounts!$S$2:$S$11,$F6))))),"")</f>
        <v/>
      </c>
      <c r="I6" s="16">
        <f>IF(AND($A6="",$B6="",$C6="",$D6="",$E6=""),"",IF(OR($A6="",$F6=""),"UNKNOWN_ACCOUNT",IF(OR($B6="",$C6=""),"INCOMPLETE",IFERROR(IF(OR(NOT(ISNUMBER($B6)),NOT(ISNUMBER($C6)),IF(C6="",FALSE,IF(ISNUMBER(C6),OR(C6&lt;=0,C6&gt;100000000,ROUND(C6*100,6)&lt;&gt;INT(ROUND(C6*100,6))),TRUE)),IF(D6="",FALSE,IF(ISNUMBER(D6),OR(D6&lt;=0,D6&gt;100000000,ROUND(D6*100,6)&lt;&gt;INT(ROUND(D6*100,6))),TRUE)),IF(E6="",FALSE,IF(ISNUMBER(E6),OR(E6&lt;=0,E6&gt;100000000,ROUND(E6*100,6)&lt;&gt;INT(ROUND(E6*100,6))),TRUE)),AND($D6&lt;&gt;"",$D6&lt;MAX($C6,$E6)),AND($E6&lt;&gt;"",$E6&gt;MIN($C6,IF($D6="",$C6,$D6))),COUNTIFS($A$2:$A$1001,$A6,$B$2:$B$1001,$B6)&gt;1),"INVALID",IFERROR(IF(IF(INDEX(Accounts!$T$2:$T$11,$F6),ROUND(IF($E6="",$C6,MIN($C6,$E6))-(H6),6)&lt;=0,ROUND(IF($E6="",$C6,MIN($C6,$E6))-(H6),6)&lt;0),"BREACHED","OK"),"INCOMPLETE")),"INVALID"))))</f>
        <v/>
      </c>
      <c r="J6" s="33">
        <f>IF(OR(I6="OK",I6="BREACHED"),-INT(ROUND(-(H6)*100,6))/100,I6)</f>
        <v/>
      </c>
    </row>
    <row r="7" ht="18" customHeight="1">
      <c r="A7" s="9" t="n"/>
      <c r="B7" s="32" t="n"/>
      <c r="C7" s="12" t="n"/>
      <c r="D7" s="12" t="n"/>
      <c r="E7" s="12" t="n"/>
      <c r="F7" s="15">
        <f>IFERROR(MATCH($A7,Accounts!$A$2:$A$11,0),"")</f>
        <v/>
      </c>
      <c r="G7" s="14">
        <f>IFERROR(IF(OR($A7="",$F7=""),"",IF(INDEX(Accounts!$P$2:$P$11,$F7)="static",INDEX(Accounts!$Q$2:$Q$11,$F7),IF(INDEX(Accounts!$P$2:$P$11,$F7)="eod_trailing",MAX(INDEX(Accounts!$Q$2:$Q$11,$F7),_xlfn.MAXIFS($C$2:$C$1001,$A$2:$A$1001,$A7,$B$2:$B$1001,"&lt;"&amp;$B7)),MAX(INDEX(Accounts!$Q$2:$Q$11,$F7),_xlfn.MAXIFS($C$2:$C$1001,$A$2:$A$1001,$A7,$B$2:$B$1001,"&lt;"&amp;$B7),_xlfn.MAXIFS($D$2:$D$1001,$A$2:$A$1001,$A7,$B$2:$B$1001,"&lt;="&amp;$B7),$C7)))),"")</f>
        <v/>
      </c>
      <c r="H7" s="15">
        <f>IFERROR(IF(G7="","",IF(INDEX(Accounts!$P$2:$P$11,$F7)="static",INDEX(Accounts!$Q$2:$Q$11,$F7)-INDEX(Accounts!$R$2:$R$11,$F7),IF(INDEX(Accounts!$S$2:$S$11,$F7)="NONE",G7-INDEX(Accounts!$R$2:$R$11,$F7),MIN(G7-INDEX(Accounts!$R$2:$R$11,$F7),INDEX(Accounts!$Q$2:$Q$11,$F7)+INDEX(Accounts!$S$2:$S$11,$F7))))),"")</f>
        <v/>
      </c>
      <c r="I7" s="16">
        <f>IF(AND($A7="",$B7="",$C7="",$D7="",$E7=""),"",IF(OR($A7="",$F7=""),"UNKNOWN_ACCOUNT",IF(OR($B7="",$C7=""),"INCOMPLETE",IFERROR(IF(OR(NOT(ISNUMBER($B7)),NOT(ISNUMBER($C7)),IF(C7="",FALSE,IF(ISNUMBER(C7),OR(C7&lt;=0,C7&gt;100000000,ROUND(C7*100,6)&lt;&gt;INT(ROUND(C7*100,6))),TRUE)),IF(D7="",FALSE,IF(ISNUMBER(D7),OR(D7&lt;=0,D7&gt;100000000,ROUND(D7*100,6)&lt;&gt;INT(ROUND(D7*100,6))),TRUE)),IF(E7="",FALSE,IF(ISNUMBER(E7),OR(E7&lt;=0,E7&gt;100000000,ROUND(E7*100,6)&lt;&gt;INT(ROUND(E7*100,6))),TRUE)),AND($D7&lt;&gt;"",$D7&lt;MAX($C7,$E7)),AND($E7&lt;&gt;"",$E7&gt;MIN($C7,IF($D7="",$C7,$D7))),COUNTIFS($A$2:$A$1001,$A7,$B$2:$B$1001,$B7)&gt;1),"INVALID",IFERROR(IF(IF(INDEX(Accounts!$T$2:$T$11,$F7),ROUND(IF($E7="",$C7,MIN($C7,$E7))-(H7),6)&lt;=0,ROUND(IF($E7="",$C7,MIN($C7,$E7))-(H7),6)&lt;0),"BREACHED","OK"),"INCOMPLETE")),"INVALID"))))</f>
        <v/>
      </c>
      <c r="J7" s="33">
        <f>IF(OR(I7="OK",I7="BREACHED"),-INT(ROUND(-(H7)*100,6))/100,I7)</f>
        <v/>
      </c>
    </row>
    <row r="8" ht="18" customHeight="1">
      <c r="A8" s="9" t="n"/>
      <c r="B8" s="32" t="n"/>
      <c r="C8" s="12" t="n"/>
      <c r="D8" s="12" t="n"/>
      <c r="E8" s="12" t="n"/>
      <c r="F8" s="15">
        <f>IFERROR(MATCH($A8,Accounts!$A$2:$A$11,0),"")</f>
        <v/>
      </c>
      <c r="G8" s="14">
        <f>IFERROR(IF(OR($A8="",$F8=""),"",IF(INDEX(Accounts!$P$2:$P$11,$F8)="static",INDEX(Accounts!$Q$2:$Q$11,$F8),IF(INDEX(Accounts!$P$2:$P$11,$F8)="eod_trailing",MAX(INDEX(Accounts!$Q$2:$Q$11,$F8),_xlfn.MAXIFS($C$2:$C$1001,$A$2:$A$1001,$A8,$B$2:$B$1001,"&lt;"&amp;$B8)),MAX(INDEX(Accounts!$Q$2:$Q$11,$F8),_xlfn.MAXIFS($C$2:$C$1001,$A$2:$A$1001,$A8,$B$2:$B$1001,"&lt;"&amp;$B8),_xlfn.MAXIFS($D$2:$D$1001,$A$2:$A$1001,$A8,$B$2:$B$1001,"&lt;="&amp;$B8),$C8)))),"")</f>
        <v/>
      </c>
      <c r="H8" s="15">
        <f>IFERROR(IF(G8="","",IF(INDEX(Accounts!$P$2:$P$11,$F8)="static",INDEX(Accounts!$Q$2:$Q$11,$F8)-INDEX(Accounts!$R$2:$R$11,$F8),IF(INDEX(Accounts!$S$2:$S$11,$F8)="NONE",G8-INDEX(Accounts!$R$2:$R$11,$F8),MIN(G8-INDEX(Accounts!$R$2:$R$11,$F8),INDEX(Accounts!$Q$2:$Q$11,$F8)+INDEX(Accounts!$S$2:$S$11,$F8))))),"")</f>
        <v/>
      </c>
      <c r="I8" s="16">
        <f>IF(AND($A8="",$B8="",$C8="",$D8="",$E8=""),"",IF(OR($A8="",$F8=""),"UNKNOWN_ACCOUNT",IF(OR($B8="",$C8=""),"INCOMPLETE",IFERROR(IF(OR(NOT(ISNUMBER($B8)),NOT(ISNUMBER($C8)),IF(C8="",FALSE,IF(ISNUMBER(C8),OR(C8&lt;=0,C8&gt;100000000,ROUND(C8*100,6)&lt;&gt;INT(ROUND(C8*100,6))),TRUE)),IF(D8="",FALSE,IF(ISNUMBER(D8),OR(D8&lt;=0,D8&gt;100000000,ROUND(D8*100,6)&lt;&gt;INT(ROUND(D8*100,6))),TRUE)),IF(E8="",FALSE,IF(ISNUMBER(E8),OR(E8&lt;=0,E8&gt;100000000,ROUND(E8*100,6)&lt;&gt;INT(ROUND(E8*100,6))),TRUE)),AND($D8&lt;&gt;"",$D8&lt;MAX($C8,$E8)),AND($E8&lt;&gt;"",$E8&gt;MIN($C8,IF($D8="",$C8,$D8))),COUNTIFS($A$2:$A$1001,$A8,$B$2:$B$1001,$B8)&gt;1),"INVALID",IFERROR(IF(IF(INDEX(Accounts!$T$2:$T$11,$F8),ROUND(IF($E8="",$C8,MIN($C8,$E8))-(H8),6)&lt;=0,ROUND(IF($E8="",$C8,MIN($C8,$E8))-(H8),6)&lt;0),"BREACHED","OK"),"INCOMPLETE")),"INVALID"))))</f>
        <v/>
      </c>
      <c r="J8" s="33">
        <f>IF(OR(I8="OK",I8="BREACHED"),-INT(ROUND(-(H8)*100,6))/100,I8)</f>
        <v/>
      </c>
    </row>
    <row r="9" ht="18" customHeight="1">
      <c r="A9" s="9" t="n"/>
      <c r="B9" s="32" t="n"/>
      <c r="C9" s="12" t="n"/>
      <c r="D9" s="12" t="n"/>
      <c r="E9" s="12" t="n"/>
      <c r="F9" s="15">
        <f>IFERROR(MATCH($A9,Accounts!$A$2:$A$11,0),"")</f>
        <v/>
      </c>
      <c r="G9" s="14">
        <f>IFERROR(IF(OR($A9="",$F9=""),"",IF(INDEX(Accounts!$P$2:$P$11,$F9)="static",INDEX(Accounts!$Q$2:$Q$11,$F9),IF(INDEX(Accounts!$P$2:$P$11,$F9)="eod_trailing",MAX(INDEX(Accounts!$Q$2:$Q$11,$F9),_xlfn.MAXIFS($C$2:$C$1001,$A$2:$A$1001,$A9,$B$2:$B$1001,"&lt;"&amp;$B9)),MAX(INDEX(Accounts!$Q$2:$Q$11,$F9),_xlfn.MAXIFS($C$2:$C$1001,$A$2:$A$1001,$A9,$B$2:$B$1001,"&lt;"&amp;$B9),_xlfn.MAXIFS($D$2:$D$1001,$A$2:$A$1001,$A9,$B$2:$B$1001,"&lt;="&amp;$B9),$C9)))),"")</f>
        <v/>
      </c>
      <c r="H9" s="15">
        <f>IFERROR(IF(G9="","",IF(INDEX(Accounts!$P$2:$P$11,$F9)="static",INDEX(Accounts!$Q$2:$Q$11,$F9)-INDEX(Accounts!$R$2:$R$11,$F9),IF(INDEX(Accounts!$S$2:$S$11,$F9)="NONE",G9-INDEX(Accounts!$R$2:$R$11,$F9),MIN(G9-INDEX(Accounts!$R$2:$R$11,$F9),INDEX(Accounts!$Q$2:$Q$11,$F9)+INDEX(Accounts!$S$2:$S$11,$F9))))),"")</f>
        <v/>
      </c>
      <c r="I9" s="16">
        <f>IF(AND($A9="",$B9="",$C9="",$D9="",$E9=""),"",IF(OR($A9="",$F9=""),"UNKNOWN_ACCOUNT",IF(OR($B9="",$C9=""),"INCOMPLETE",IFERROR(IF(OR(NOT(ISNUMBER($B9)),NOT(ISNUMBER($C9)),IF(C9="",FALSE,IF(ISNUMBER(C9),OR(C9&lt;=0,C9&gt;100000000,ROUND(C9*100,6)&lt;&gt;INT(ROUND(C9*100,6))),TRUE)),IF(D9="",FALSE,IF(ISNUMBER(D9),OR(D9&lt;=0,D9&gt;100000000,ROUND(D9*100,6)&lt;&gt;INT(ROUND(D9*100,6))),TRUE)),IF(E9="",FALSE,IF(ISNUMBER(E9),OR(E9&lt;=0,E9&gt;100000000,ROUND(E9*100,6)&lt;&gt;INT(ROUND(E9*100,6))),TRUE)),AND($D9&lt;&gt;"",$D9&lt;MAX($C9,$E9)),AND($E9&lt;&gt;"",$E9&gt;MIN($C9,IF($D9="",$C9,$D9))),COUNTIFS($A$2:$A$1001,$A9,$B$2:$B$1001,$B9)&gt;1),"INVALID",IFERROR(IF(IF(INDEX(Accounts!$T$2:$T$11,$F9),ROUND(IF($E9="",$C9,MIN($C9,$E9))-(H9),6)&lt;=0,ROUND(IF($E9="",$C9,MIN($C9,$E9))-(H9),6)&lt;0),"BREACHED","OK"),"INCOMPLETE")),"INVALID"))))</f>
        <v/>
      </c>
      <c r="J9" s="33">
        <f>IF(OR(I9="OK",I9="BREACHED"),-INT(ROUND(-(H9)*100,6))/100,I9)</f>
        <v/>
      </c>
    </row>
    <row r="10" ht="18" customHeight="1">
      <c r="A10" s="9" t="n"/>
      <c r="B10" s="32" t="n"/>
      <c r="C10" s="12" t="n"/>
      <c r="D10" s="12" t="n"/>
      <c r="E10" s="12" t="n"/>
      <c r="F10" s="15">
        <f>IFERROR(MATCH($A10,Accounts!$A$2:$A$11,0),"")</f>
        <v/>
      </c>
      <c r="G10" s="14">
        <f>IFERROR(IF(OR($A10="",$F10=""),"",IF(INDEX(Accounts!$P$2:$P$11,$F10)="static",INDEX(Accounts!$Q$2:$Q$11,$F10),IF(INDEX(Accounts!$P$2:$P$11,$F10)="eod_trailing",MAX(INDEX(Accounts!$Q$2:$Q$11,$F10),_xlfn.MAXIFS($C$2:$C$1001,$A$2:$A$1001,$A10,$B$2:$B$1001,"&lt;"&amp;$B10)),MAX(INDEX(Accounts!$Q$2:$Q$11,$F10),_xlfn.MAXIFS($C$2:$C$1001,$A$2:$A$1001,$A10,$B$2:$B$1001,"&lt;"&amp;$B10),_xlfn.MAXIFS($D$2:$D$1001,$A$2:$A$1001,$A10,$B$2:$B$1001,"&lt;="&amp;$B10),$C10)))),"")</f>
        <v/>
      </c>
      <c r="H10" s="15">
        <f>IFERROR(IF(G10="","",IF(INDEX(Accounts!$P$2:$P$11,$F10)="static",INDEX(Accounts!$Q$2:$Q$11,$F10)-INDEX(Accounts!$R$2:$R$11,$F10),IF(INDEX(Accounts!$S$2:$S$11,$F10)="NONE",G10-INDEX(Accounts!$R$2:$R$11,$F10),MIN(G10-INDEX(Accounts!$R$2:$R$11,$F10),INDEX(Accounts!$Q$2:$Q$11,$F10)+INDEX(Accounts!$S$2:$S$11,$F10))))),"")</f>
        <v/>
      </c>
      <c r="I10" s="16">
        <f>IF(AND($A10="",$B10="",$C10="",$D10="",$E10=""),"",IF(OR($A10="",$F10=""),"UNKNOWN_ACCOUNT",IF(OR($B10="",$C10=""),"INCOMPLETE",IFERROR(IF(OR(NOT(ISNUMBER($B10)),NOT(ISNUMBER($C10)),IF(C10="",FALSE,IF(ISNUMBER(C10),OR(C10&lt;=0,C10&gt;100000000,ROUND(C10*100,6)&lt;&gt;INT(ROUND(C10*100,6))),TRUE)),IF(D10="",FALSE,IF(ISNUMBER(D10),OR(D10&lt;=0,D10&gt;100000000,ROUND(D10*100,6)&lt;&gt;INT(ROUND(D10*100,6))),TRUE)),IF(E10="",FALSE,IF(ISNUMBER(E10),OR(E10&lt;=0,E10&gt;100000000,ROUND(E10*100,6)&lt;&gt;INT(ROUND(E10*100,6))),TRUE)),AND($D10&lt;&gt;"",$D10&lt;MAX($C10,$E10)),AND($E10&lt;&gt;"",$E10&gt;MIN($C10,IF($D10="",$C10,$D10))),COUNTIFS($A$2:$A$1001,$A10,$B$2:$B$1001,$B10)&gt;1),"INVALID",IFERROR(IF(IF(INDEX(Accounts!$T$2:$T$11,$F10),ROUND(IF($E10="",$C10,MIN($C10,$E10))-(H10),6)&lt;=0,ROUND(IF($E10="",$C10,MIN($C10,$E10))-(H10),6)&lt;0),"BREACHED","OK"),"INCOMPLETE")),"INVALID"))))</f>
        <v/>
      </c>
      <c r="J10" s="33">
        <f>IF(OR(I10="OK",I10="BREACHED"),-INT(ROUND(-(H10)*100,6))/100,I10)</f>
        <v/>
      </c>
    </row>
    <row r="11" ht="18" customHeight="1">
      <c r="A11" s="9" t="n"/>
      <c r="B11" s="32" t="n"/>
      <c r="C11" s="12" t="n"/>
      <c r="D11" s="12" t="n"/>
      <c r="E11" s="12" t="n"/>
      <c r="F11" s="15">
        <f>IFERROR(MATCH($A11,Accounts!$A$2:$A$11,0),"")</f>
        <v/>
      </c>
      <c r="G11" s="14">
        <f>IFERROR(IF(OR($A11="",$F11=""),"",IF(INDEX(Accounts!$P$2:$P$11,$F11)="static",INDEX(Accounts!$Q$2:$Q$11,$F11),IF(INDEX(Accounts!$P$2:$P$11,$F11)="eod_trailing",MAX(INDEX(Accounts!$Q$2:$Q$11,$F11),_xlfn.MAXIFS($C$2:$C$1001,$A$2:$A$1001,$A11,$B$2:$B$1001,"&lt;"&amp;$B11)),MAX(INDEX(Accounts!$Q$2:$Q$11,$F11),_xlfn.MAXIFS($C$2:$C$1001,$A$2:$A$1001,$A11,$B$2:$B$1001,"&lt;"&amp;$B11),_xlfn.MAXIFS($D$2:$D$1001,$A$2:$A$1001,$A11,$B$2:$B$1001,"&lt;="&amp;$B11),$C11)))),"")</f>
        <v/>
      </c>
      <c r="H11" s="15">
        <f>IFERROR(IF(G11="","",IF(INDEX(Accounts!$P$2:$P$11,$F11)="static",INDEX(Accounts!$Q$2:$Q$11,$F11)-INDEX(Accounts!$R$2:$R$11,$F11),IF(INDEX(Accounts!$S$2:$S$11,$F11)="NONE",G11-INDEX(Accounts!$R$2:$R$11,$F11),MIN(G11-INDEX(Accounts!$R$2:$R$11,$F11),INDEX(Accounts!$Q$2:$Q$11,$F11)+INDEX(Accounts!$S$2:$S$11,$F11))))),"")</f>
        <v/>
      </c>
      <c r="I11" s="16">
        <f>IF(AND($A11="",$B11="",$C11="",$D11="",$E11=""),"",IF(OR($A11="",$F11=""),"UNKNOWN_ACCOUNT",IF(OR($B11="",$C11=""),"INCOMPLETE",IFERROR(IF(OR(NOT(ISNUMBER($B11)),NOT(ISNUMBER($C11)),IF(C11="",FALSE,IF(ISNUMBER(C11),OR(C11&lt;=0,C11&gt;100000000,ROUND(C11*100,6)&lt;&gt;INT(ROUND(C11*100,6))),TRUE)),IF(D11="",FALSE,IF(ISNUMBER(D11),OR(D11&lt;=0,D11&gt;100000000,ROUND(D11*100,6)&lt;&gt;INT(ROUND(D11*100,6))),TRUE)),IF(E11="",FALSE,IF(ISNUMBER(E11),OR(E11&lt;=0,E11&gt;100000000,ROUND(E11*100,6)&lt;&gt;INT(ROUND(E11*100,6))),TRUE)),AND($D11&lt;&gt;"",$D11&lt;MAX($C11,$E11)),AND($E11&lt;&gt;"",$E11&gt;MIN($C11,IF($D11="",$C11,$D11))),COUNTIFS($A$2:$A$1001,$A11,$B$2:$B$1001,$B11)&gt;1),"INVALID",IFERROR(IF(IF(INDEX(Accounts!$T$2:$T$11,$F11),ROUND(IF($E11="",$C11,MIN($C11,$E11))-(H11),6)&lt;=0,ROUND(IF($E11="",$C11,MIN($C11,$E11))-(H11),6)&lt;0),"BREACHED","OK"),"INCOMPLETE")),"INVALID"))))</f>
        <v/>
      </c>
      <c r="J11" s="33">
        <f>IF(OR(I11="OK",I11="BREACHED"),-INT(ROUND(-(H11)*100,6))/100,I11)</f>
        <v/>
      </c>
    </row>
    <row r="12" ht="18" customHeight="1">
      <c r="A12" s="9" t="n"/>
      <c r="B12" s="32" t="n"/>
      <c r="C12" s="12" t="n"/>
      <c r="D12" s="12" t="n"/>
      <c r="E12" s="12" t="n"/>
      <c r="F12" s="15">
        <f>IFERROR(MATCH($A12,Accounts!$A$2:$A$11,0),"")</f>
        <v/>
      </c>
      <c r="G12" s="14">
        <f>IFERROR(IF(OR($A12="",$F12=""),"",IF(INDEX(Accounts!$P$2:$P$11,$F12)="static",INDEX(Accounts!$Q$2:$Q$11,$F12),IF(INDEX(Accounts!$P$2:$P$11,$F12)="eod_trailing",MAX(INDEX(Accounts!$Q$2:$Q$11,$F12),_xlfn.MAXIFS($C$2:$C$1001,$A$2:$A$1001,$A12,$B$2:$B$1001,"&lt;"&amp;$B12)),MAX(INDEX(Accounts!$Q$2:$Q$11,$F12),_xlfn.MAXIFS($C$2:$C$1001,$A$2:$A$1001,$A12,$B$2:$B$1001,"&lt;"&amp;$B12),_xlfn.MAXIFS($D$2:$D$1001,$A$2:$A$1001,$A12,$B$2:$B$1001,"&lt;="&amp;$B12),$C12)))),"")</f>
        <v/>
      </c>
      <c r="H12" s="15">
        <f>IFERROR(IF(G12="","",IF(INDEX(Accounts!$P$2:$P$11,$F12)="static",INDEX(Accounts!$Q$2:$Q$11,$F12)-INDEX(Accounts!$R$2:$R$11,$F12),IF(INDEX(Accounts!$S$2:$S$11,$F12)="NONE",G12-INDEX(Accounts!$R$2:$R$11,$F12),MIN(G12-INDEX(Accounts!$R$2:$R$11,$F12),INDEX(Accounts!$Q$2:$Q$11,$F12)+INDEX(Accounts!$S$2:$S$11,$F12))))),"")</f>
        <v/>
      </c>
      <c r="I12" s="16">
        <f>IF(AND($A12="",$B12="",$C12="",$D12="",$E12=""),"",IF(OR($A12="",$F12=""),"UNKNOWN_ACCOUNT",IF(OR($B12="",$C12=""),"INCOMPLETE",IFERROR(IF(OR(NOT(ISNUMBER($B12)),NOT(ISNUMBER($C12)),IF(C12="",FALSE,IF(ISNUMBER(C12),OR(C12&lt;=0,C12&gt;100000000,ROUND(C12*100,6)&lt;&gt;INT(ROUND(C12*100,6))),TRUE)),IF(D12="",FALSE,IF(ISNUMBER(D12),OR(D12&lt;=0,D12&gt;100000000,ROUND(D12*100,6)&lt;&gt;INT(ROUND(D12*100,6))),TRUE)),IF(E12="",FALSE,IF(ISNUMBER(E12),OR(E12&lt;=0,E12&gt;100000000,ROUND(E12*100,6)&lt;&gt;INT(ROUND(E12*100,6))),TRUE)),AND($D12&lt;&gt;"",$D12&lt;MAX($C12,$E12)),AND($E12&lt;&gt;"",$E12&gt;MIN($C12,IF($D12="",$C12,$D12))),COUNTIFS($A$2:$A$1001,$A12,$B$2:$B$1001,$B12)&gt;1),"INVALID",IFERROR(IF(IF(INDEX(Accounts!$T$2:$T$11,$F12),ROUND(IF($E12="",$C12,MIN($C12,$E12))-(H12),6)&lt;=0,ROUND(IF($E12="",$C12,MIN($C12,$E12))-(H12),6)&lt;0),"BREACHED","OK"),"INCOMPLETE")),"INVALID"))))</f>
        <v/>
      </c>
      <c r="J12" s="33">
        <f>IF(OR(I12="OK",I12="BREACHED"),-INT(ROUND(-(H12)*100,6))/100,I12)</f>
        <v/>
      </c>
    </row>
    <row r="13" ht="18" customHeight="1">
      <c r="A13" s="9" t="n"/>
      <c r="B13" s="32" t="n"/>
      <c r="C13" s="12" t="n"/>
      <c r="D13" s="12" t="n"/>
      <c r="E13" s="12" t="n"/>
      <c r="F13" s="15">
        <f>IFERROR(MATCH($A13,Accounts!$A$2:$A$11,0),"")</f>
        <v/>
      </c>
      <c r="G13" s="14">
        <f>IFERROR(IF(OR($A13="",$F13=""),"",IF(INDEX(Accounts!$P$2:$P$11,$F13)="static",INDEX(Accounts!$Q$2:$Q$11,$F13),IF(INDEX(Accounts!$P$2:$P$11,$F13)="eod_trailing",MAX(INDEX(Accounts!$Q$2:$Q$11,$F13),_xlfn.MAXIFS($C$2:$C$1001,$A$2:$A$1001,$A13,$B$2:$B$1001,"&lt;"&amp;$B13)),MAX(INDEX(Accounts!$Q$2:$Q$11,$F13),_xlfn.MAXIFS($C$2:$C$1001,$A$2:$A$1001,$A13,$B$2:$B$1001,"&lt;"&amp;$B13),_xlfn.MAXIFS($D$2:$D$1001,$A$2:$A$1001,$A13,$B$2:$B$1001,"&lt;="&amp;$B13),$C13)))),"")</f>
        <v/>
      </c>
      <c r="H13" s="15">
        <f>IFERROR(IF(G13="","",IF(INDEX(Accounts!$P$2:$P$11,$F13)="static",INDEX(Accounts!$Q$2:$Q$11,$F13)-INDEX(Accounts!$R$2:$R$11,$F13),IF(INDEX(Accounts!$S$2:$S$11,$F13)="NONE",G13-INDEX(Accounts!$R$2:$R$11,$F13),MIN(G13-INDEX(Accounts!$R$2:$R$11,$F13),INDEX(Accounts!$Q$2:$Q$11,$F13)+INDEX(Accounts!$S$2:$S$11,$F13))))),"")</f>
        <v/>
      </c>
      <c r="I13" s="16">
        <f>IF(AND($A13="",$B13="",$C13="",$D13="",$E13=""),"",IF(OR($A13="",$F13=""),"UNKNOWN_ACCOUNT",IF(OR($B13="",$C13=""),"INCOMPLETE",IFERROR(IF(OR(NOT(ISNUMBER($B13)),NOT(ISNUMBER($C13)),IF(C13="",FALSE,IF(ISNUMBER(C13),OR(C13&lt;=0,C13&gt;100000000,ROUND(C13*100,6)&lt;&gt;INT(ROUND(C13*100,6))),TRUE)),IF(D13="",FALSE,IF(ISNUMBER(D13),OR(D13&lt;=0,D13&gt;100000000,ROUND(D13*100,6)&lt;&gt;INT(ROUND(D13*100,6))),TRUE)),IF(E13="",FALSE,IF(ISNUMBER(E13),OR(E13&lt;=0,E13&gt;100000000,ROUND(E13*100,6)&lt;&gt;INT(ROUND(E13*100,6))),TRUE)),AND($D13&lt;&gt;"",$D13&lt;MAX($C13,$E13)),AND($E13&lt;&gt;"",$E13&gt;MIN($C13,IF($D13="",$C13,$D13))),COUNTIFS($A$2:$A$1001,$A13,$B$2:$B$1001,$B13)&gt;1),"INVALID",IFERROR(IF(IF(INDEX(Accounts!$T$2:$T$11,$F13),ROUND(IF($E13="",$C13,MIN($C13,$E13))-(H13),6)&lt;=0,ROUND(IF($E13="",$C13,MIN($C13,$E13))-(H13),6)&lt;0),"BREACHED","OK"),"INCOMPLETE")),"INVALID"))))</f>
        <v/>
      </c>
      <c r="J13" s="33">
        <f>IF(OR(I13="OK",I13="BREACHED"),-INT(ROUND(-(H13)*100,6))/100,I13)</f>
        <v/>
      </c>
    </row>
    <row r="14" ht="18" customHeight="1">
      <c r="A14" s="9" t="n"/>
      <c r="B14" s="32" t="n"/>
      <c r="C14" s="12" t="n"/>
      <c r="D14" s="12" t="n"/>
      <c r="E14" s="12" t="n"/>
      <c r="F14" s="15">
        <f>IFERROR(MATCH($A14,Accounts!$A$2:$A$11,0),"")</f>
        <v/>
      </c>
      <c r="G14" s="14">
        <f>IFERROR(IF(OR($A14="",$F14=""),"",IF(INDEX(Accounts!$P$2:$P$11,$F14)="static",INDEX(Accounts!$Q$2:$Q$11,$F14),IF(INDEX(Accounts!$P$2:$P$11,$F14)="eod_trailing",MAX(INDEX(Accounts!$Q$2:$Q$11,$F14),_xlfn.MAXIFS($C$2:$C$1001,$A$2:$A$1001,$A14,$B$2:$B$1001,"&lt;"&amp;$B14)),MAX(INDEX(Accounts!$Q$2:$Q$11,$F14),_xlfn.MAXIFS($C$2:$C$1001,$A$2:$A$1001,$A14,$B$2:$B$1001,"&lt;"&amp;$B14),_xlfn.MAXIFS($D$2:$D$1001,$A$2:$A$1001,$A14,$B$2:$B$1001,"&lt;="&amp;$B14),$C14)))),"")</f>
        <v/>
      </c>
      <c r="H14" s="15">
        <f>IFERROR(IF(G14="","",IF(INDEX(Accounts!$P$2:$P$11,$F14)="static",INDEX(Accounts!$Q$2:$Q$11,$F14)-INDEX(Accounts!$R$2:$R$11,$F14),IF(INDEX(Accounts!$S$2:$S$11,$F14)="NONE",G14-INDEX(Accounts!$R$2:$R$11,$F14),MIN(G14-INDEX(Accounts!$R$2:$R$11,$F14),INDEX(Accounts!$Q$2:$Q$11,$F14)+INDEX(Accounts!$S$2:$S$11,$F14))))),"")</f>
        <v/>
      </c>
      <c r="I14" s="16">
        <f>IF(AND($A14="",$B14="",$C14="",$D14="",$E14=""),"",IF(OR($A14="",$F14=""),"UNKNOWN_ACCOUNT",IF(OR($B14="",$C14=""),"INCOMPLETE",IFERROR(IF(OR(NOT(ISNUMBER($B14)),NOT(ISNUMBER($C14)),IF(C14="",FALSE,IF(ISNUMBER(C14),OR(C14&lt;=0,C14&gt;100000000,ROUND(C14*100,6)&lt;&gt;INT(ROUND(C14*100,6))),TRUE)),IF(D14="",FALSE,IF(ISNUMBER(D14),OR(D14&lt;=0,D14&gt;100000000,ROUND(D14*100,6)&lt;&gt;INT(ROUND(D14*100,6))),TRUE)),IF(E14="",FALSE,IF(ISNUMBER(E14),OR(E14&lt;=0,E14&gt;100000000,ROUND(E14*100,6)&lt;&gt;INT(ROUND(E14*100,6))),TRUE)),AND($D14&lt;&gt;"",$D14&lt;MAX($C14,$E14)),AND($E14&lt;&gt;"",$E14&gt;MIN($C14,IF($D14="",$C14,$D14))),COUNTIFS($A$2:$A$1001,$A14,$B$2:$B$1001,$B14)&gt;1),"INVALID",IFERROR(IF(IF(INDEX(Accounts!$T$2:$T$11,$F14),ROUND(IF($E14="",$C14,MIN($C14,$E14))-(H14),6)&lt;=0,ROUND(IF($E14="",$C14,MIN($C14,$E14))-(H14),6)&lt;0),"BREACHED","OK"),"INCOMPLETE")),"INVALID"))))</f>
        <v/>
      </c>
      <c r="J14" s="33">
        <f>IF(OR(I14="OK",I14="BREACHED"),-INT(ROUND(-(H14)*100,6))/100,I14)</f>
        <v/>
      </c>
    </row>
    <row r="15" ht="18" customHeight="1">
      <c r="A15" s="9" t="n"/>
      <c r="B15" s="32" t="n"/>
      <c r="C15" s="12" t="n"/>
      <c r="D15" s="12" t="n"/>
      <c r="E15" s="12" t="n"/>
      <c r="F15" s="15">
        <f>IFERROR(MATCH($A15,Accounts!$A$2:$A$11,0),"")</f>
        <v/>
      </c>
      <c r="G15" s="14">
        <f>IFERROR(IF(OR($A15="",$F15=""),"",IF(INDEX(Accounts!$P$2:$P$11,$F15)="static",INDEX(Accounts!$Q$2:$Q$11,$F15),IF(INDEX(Accounts!$P$2:$P$11,$F15)="eod_trailing",MAX(INDEX(Accounts!$Q$2:$Q$11,$F15),_xlfn.MAXIFS($C$2:$C$1001,$A$2:$A$1001,$A15,$B$2:$B$1001,"&lt;"&amp;$B15)),MAX(INDEX(Accounts!$Q$2:$Q$11,$F15),_xlfn.MAXIFS($C$2:$C$1001,$A$2:$A$1001,$A15,$B$2:$B$1001,"&lt;"&amp;$B15),_xlfn.MAXIFS($D$2:$D$1001,$A$2:$A$1001,$A15,$B$2:$B$1001,"&lt;="&amp;$B15),$C15)))),"")</f>
        <v/>
      </c>
      <c r="H15" s="15">
        <f>IFERROR(IF(G15="","",IF(INDEX(Accounts!$P$2:$P$11,$F15)="static",INDEX(Accounts!$Q$2:$Q$11,$F15)-INDEX(Accounts!$R$2:$R$11,$F15),IF(INDEX(Accounts!$S$2:$S$11,$F15)="NONE",G15-INDEX(Accounts!$R$2:$R$11,$F15),MIN(G15-INDEX(Accounts!$R$2:$R$11,$F15),INDEX(Accounts!$Q$2:$Q$11,$F15)+INDEX(Accounts!$S$2:$S$11,$F15))))),"")</f>
        <v/>
      </c>
      <c r="I15" s="16">
        <f>IF(AND($A15="",$B15="",$C15="",$D15="",$E15=""),"",IF(OR($A15="",$F15=""),"UNKNOWN_ACCOUNT",IF(OR($B15="",$C15=""),"INCOMPLETE",IFERROR(IF(OR(NOT(ISNUMBER($B15)),NOT(ISNUMBER($C15)),IF(C15="",FALSE,IF(ISNUMBER(C15),OR(C15&lt;=0,C15&gt;100000000,ROUND(C15*100,6)&lt;&gt;INT(ROUND(C15*100,6))),TRUE)),IF(D15="",FALSE,IF(ISNUMBER(D15),OR(D15&lt;=0,D15&gt;100000000,ROUND(D15*100,6)&lt;&gt;INT(ROUND(D15*100,6))),TRUE)),IF(E15="",FALSE,IF(ISNUMBER(E15),OR(E15&lt;=0,E15&gt;100000000,ROUND(E15*100,6)&lt;&gt;INT(ROUND(E15*100,6))),TRUE)),AND($D15&lt;&gt;"",$D15&lt;MAX($C15,$E15)),AND($E15&lt;&gt;"",$E15&gt;MIN($C15,IF($D15="",$C15,$D15))),COUNTIFS($A$2:$A$1001,$A15,$B$2:$B$1001,$B15)&gt;1),"INVALID",IFERROR(IF(IF(INDEX(Accounts!$T$2:$T$11,$F15),ROUND(IF($E15="",$C15,MIN($C15,$E15))-(H15),6)&lt;=0,ROUND(IF($E15="",$C15,MIN($C15,$E15))-(H15),6)&lt;0),"BREACHED","OK"),"INCOMPLETE")),"INVALID"))))</f>
        <v/>
      </c>
      <c r="J15" s="33">
        <f>IF(OR(I15="OK",I15="BREACHED"),-INT(ROUND(-(H15)*100,6))/100,I15)</f>
        <v/>
      </c>
    </row>
    <row r="16" ht="18" customHeight="1">
      <c r="A16" s="9" t="n"/>
      <c r="B16" s="32" t="n"/>
      <c r="C16" s="12" t="n"/>
      <c r="D16" s="12" t="n"/>
      <c r="E16" s="12" t="n"/>
      <c r="F16" s="15">
        <f>IFERROR(MATCH($A16,Accounts!$A$2:$A$11,0),"")</f>
        <v/>
      </c>
      <c r="G16" s="14">
        <f>IFERROR(IF(OR($A16="",$F16=""),"",IF(INDEX(Accounts!$P$2:$P$11,$F16)="static",INDEX(Accounts!$Q$2:$Q$11,$F16),IF(INDEX(Accounts!$P$2:$P$11,$F16)="eod_trailing",MAX(INDEX(Accounts!$Q$2:$Q$11,$F16),_xlfn.MAXIFS($C$2:$C$1001,$A$2:$A$1001,$A16,$B$2:$B$1001,"&lt;"&amp;$B16)),MAX(INDEX(Accounts!$Q$2:$Q$11,$F16),_xlfn.MAXIFS($C$2:$C$1001,$A$2:$A$1001,$A16,$B$2:$B$1001,"&lt;"&amp;$B16),_xlfn.MAXIFS($D$2:$D$1001,$A$2:$A$1001,$A16,$B$2:$B$1001,"&lt;="&amp;$B16),$C16)))),"")</f>
        <v/>
      </c>
      <c r="H16" s="15">
        <f>IFERROR(IF(G16="","",IF(INDEX(Accounts!$P$2:$P$11,$F16)="static",INDEX(Accounts!$Q$2:$Q$11,$F16)-INDEX(Accounts!$R$2:$R$11,$F16),IF(INDEX(Accounts!$S$2:$S$11,$F16)="NONE",G16-INDEX(Accounts!$R$2:$R$11,$F16),MIN(G16-INDEX(Accounts!$R$2:$R$11,$F16),INDEX(Accounts!$Q$2:$Q$11,$F16)+INDEX(Accounts!$S$2:$S$11,$F16))))),"")</f>
        <v/>
      </c>
      <c r="I16" s="16">
        <f>IF(AND($A16="",$B16="",$C16="",$D16="",$E16=""),"",IF(OR($A16="",$F16=""),"UNKNOWN_ACCOUNT",IF(OR($B16="",$C16=""),"INCOMPLETE",IFERROR(IF(OR(NOT(ISNUMBER($B16)),NOT(ISNUMBER($C16)),IF(C16="",FALSE,IF(ISNUMBER(C16),OR(C16&lt;=0,C16&gt;100000000,ROUND(C16*100,6)&lt;&gt;INT(ROUND(C16*100,6))),TRUE)),IF(D16="",FALSE,IF(ISNUMBER(D16),OR(D16&lt;=0,D16&gt;100000000,ROUND(D16*100,6)&lt;&gt;INT(ROUND(D16*100,6))),TRUE)),IF(E16="",FALSE,IF(ISNUMBER(E16),OR(E16&lt;=0,E16&gt;100000000,ROUND(E16*100,6)&lt;&gt;INT(ROUND(E16*100,6))),TRUE)),AND($D16&lt;&gt;"",$D16&lt;MAX($C16,$E16)),AND($E16&lt;&gt;"",$E16&gt;MIN($C16,IF($D16="",$C16,$D16))),COUNTIFS($A$2:$A$1001,$A16,$B$2:$B$1001,$B16)&gt;1),"INVALID",IFERROR(IF(IF(INDEX(Accounts!$T$2:$T$11,$F16),ROUND(IF($E16="",$C16,MIN($C16,$E16))-(H16),6)&lt;=0,ROUND(IF($E16="",$C16,MIN($C16,$E16))-(H16),6)&lt;0),"BREACHED","OK"),"INCOMPLETE")),"INVALID"))))</f>
        <v/>
      </c>
      <c r="J16" s="33">
        <f>IF(OR(I16="OK",I16="BREACHED"),-INT(ROUND(-(H16)*100,6))/100,I16)</f>
        <v/>
      </c>
    </row>
    <row r="17" ht="18" customHeight="1">
      <c r="A17" s="9" t="n"/>
      <c r="B17" s="32" t="n"/>
      <c r="C17" s="12" t="n"/>
      <c r="D17" s="12" t="n"/>
      <c r="E17" s="12" t="n"/>
      <c r="F17" s="15">
        <f>IFERROR(MATCH($A17,Accounts!$A$2:$A$11,0),"")</f>
        <v/>
      </c>
      <c r="G17" s="14">
        <f>IFERROR(IF(OR($A17="",$F17=""),"",IF(INDEX(Accounts!$P$2:$P$11,$F17)="static",INDEX(Accounts!$Q$2:$Q$11,$F17),IF(INDEX(Accounts!$P$2:$P$11,$F17)="eod_trailing",MAX(INDEX(Accounts!$Q$2:$Q$11,$F17),_xlfn.MAXIFS($C$2:$C$1001,$A$2:$A$1001,$A17,$B$2:$B$1001,"&lt;"&amp;$B17)),MAX(INDEX(Accounts!$Q$2:$Q$11,$F17),_xlfn.MAXIFS($C$2:$C$1001,$A$2:$A$1001,$A17,$B$2:$B$1001,"&lt;"&amp;$B17),_xlfn.MAXIFS($D$2:$D$1001,$A$2:$A$1001,$A17,$B$2:$B$1001,"&lt;="&amp;$B17),$C17)))),"")</f>
        <v/>
      </c>
      <c r="H17" s="15">
        <f>IFERROR(IF(G17="","",IF(INDEX(Accounts!$P$2:$P$11,$F17)="static",INDEX(Accounts!$Q$2:$Q$11,$F17)-INDEX(Accounts!$R$2:$R$11,$F17),IF(INDEX(Accounts!$S$2:$S$11,$F17)="NONE",G17-INDEX(Accounts!$R$2:$R$11,$F17),MIN(G17-INDEX(Accounts!$R$2:$R$11,$F17),INDEX(Accounts!$Q$2:$Q$11,$F17)+INDEX(Accounts!$S$2:$S$11,$F17))))),"")</f>
        <v/>
      </c>
      <c r="I17" s="16">
        <f>IF(AND($A17="",$B17="",$C17="",$D17="",$E17=""),"",IF(OR($A17="",$F17=""),"UNKNOWN_ACCOUNT",IF(OR($B17="",$C17=""),"INCOMPLETE",IFERROR(IF(OR(NOT(ISNUMBER($B17)),NOT(ISNUMBER($C17)),IF(C17="",FALSE,IF(ISNUMBER(C17),OR(C17&lt;=0,C17&gt;100000000,ROUND(C17*100,6)&lt;&gt;INT(ROUND(C17*100,6))),TRUE)),IF(D17="",FALSE,IF(ISNUMBER(D17),OR(D17&lt;=0,D17&gt;100000000,ROUND(D17*100,6)&lt;&gt;INT(ROUND(D17*100,6))),TRUE)),IF(E17="",FALSE,IF(ISNUMBER(E17),OR(E17&lt;=0,E17&gt;100000000,ROUND(E17*100,6)&lt;&gt;INT(ROUND(E17*100,6))),TRUE)),AND($D17&lt;&gt;"",$D17&lt;MAX($C17,$E17)),AND($E17&lt;&gt;"",$E17&gt;MIN($C17,IF($D17="",$C17,$D17))),COUNTIFS($A$2:$A$1001,$A17,$B$2:$B$1001,$B17)&gt;1),"INVALID",IFERROR(IF(IF(INDEX(Accounts!$T$2:$T$11,$F17),ROUND(IF($E17="",$C17,MIN($C17,$E17))-(H17),6)&lt;=0,ROUND(IF($E17="",$C17,MIN($C17,$E17))-(H17),6)&lt;0),"BREACHED","OK"),"INCOMPLETE")),"INVALID"))))</f>
        <v/>
      </c>
      <c r="J17" s="33">
        <f>IF(OR(I17="OK",I17="BREACHED"),-INT(ROUND(-(H17)*100,6))/100,I17)</f>
        <v/>
      </c>
    </row>
    <row r="18" ht="18" customHeight="1">
      <c r="A18" s="9" t="n"/>
      <c r="B18" s="32" t="n"/>
      <c r="C18" s="12" t="n"/>
      <c r="D18" s="12" t="n"/>
      <c r="E18" s="12" t="n"/>
      <c r="F18" s="15">
        <f>IFERROR(MATCH($A18,Accounts!$A$2:$A$11,0),"")</f>
        <v/>
      </c>
      <c r="G18" s="14">
        <f>IFERROR(IF(OR($A18="",$F18=""),"",IF(INDEX(Accounts!$P$2:$P$11,$F18)="static",INDEX(Accounts!$Q$2:$Q$11,$F18),IF(INDEX(Accounts!$P$2:$P$11,$F18)="eod_trailing",MAX(INDEX(Accounts!$Q$2:$Q$11,$F18),_xlfn.MAXIFS($C$2:$C$1001,$A$2:$A$1001,$A18,$B$2:$B$1001,"&lt;"&amp;$B18)),MAX(INDEX(Accounts!$Q$2:$Q$11,$F18),_xlfn.MAXIFS($C$2:$C$1001,$A$2:$A$1001,$A18,$B$2:$B$1001,"&lt;"&amp;$B18),_xlfn.MAXIFS($D$2:$D$1001,$A$2:$A$1001,$A18,$B$2:$B$1001,"&lt;="&amp;$B18),$C18)))),"")</f>
        <v/>
      </c>
      <c r="H18" s="15">
        <f>IFERROR(IF(G18="","",IF(INDEX(Accounts!$P$2:$P$11,$F18)="static",INDEX(Accounts!$Q$2:$Q$11,$F18)-INDEX(Accounts!$R$2:$R$11,$F18),IF(INDEX(Accounts!$S$2:$S$11,$F18)="NONE",G18-INDEX(Accounts!$R$2:$R$11,$F18),MIN(G18-INDEX(Accounts!$R$2:$R$11,$F18),INDEX(Accounts!$Q$2:$Q$11,$F18)+INDEX(Accounts!$S$2:$S$11,$F18))))),"")</f>
        <v/>
      </c>
      <c r="I18" s="16">
        <f>IF(AND($A18="",$B18="",$C18="",$D18="",$E18=""),"",IF(OR($A18="",$F18=""),"UNKNOWN_ACCOUNT",IF(OR($B18="",$C18=""),"INCOMPLETE",IFERROR(IF(OR(NOT(ISNUMBER($B18)),NOT(ISNUMBER($C18)),IF(C18="",FALSE,IF(ISNUMBER(C18),OR(C18&lt;=0,C18&gt;100000000,ROUND(C18*100,6)&lt;&gt;INT(ROUND(C18*100,6))),TRUE)),IF(D18="",FALSE,IF(ISNUMBER(D18),OR(D18&lt;=0,D18&gt;100000000,ROUND(D18*100,6)&lt;&gt;INT(ROUND(D18*100,6))),TRUE)),IF(E18="",FALSE,IF(ISNUMBER(E18),OR(E18&lt;=0,E18&gt;100000000,ROUND(E18*100,6)&lt;&gt;INT(ROUND(E18*100,6))),TRUE)),AND($D18&lt;&gt;"",$D18&lt;MAX($C18,$E18)),AND($E18&lt;&gt;"",$E18&gt;MIN($C18,IF($D18="",$C18,$D18))),COUNTIFS($A$2:$A$1001,$A18,$B$2:$B$1001,$B18)&gt;1),"INVALID",IFERROR(IF(IF(INDEX(Accounts!$T$2:$T$11,$F18),ROUND(IF($E18="",$C18,MIN($C18,$E18))-(H18),6)&lt;=0,ROUND(IF($E18="",$C18,MIN($C18,$E18))-(H18),6)&lt;0),"BREACHED","OK"),"INCOMPLETE")),"INVALID"))))</f>
        <v/>
      </c>
      <c r="J18" s="33">
        <f>IF(OR(I18="OK",I18="BREACHED"),-INT(ROUND(-(H18)*100,6))/100,I18)</f>
        <v/>
      </c>
    </row>
    <row r="19" ht="18" customHeight="1">
      <c r="A19" s="9" t="n"/>
      <c r="B19" s="32" t="n"/>
      <c r="C19" s="12" t="n"/>
      <c r="D19" s="12" t="n"/>
      <c r="E19" s="12" t="n"/>
      <c r="F19" s="15">
        <f>IFERROR(MATCH($A19,Accounts!$A$2:$A$11,0),"")</f>
        <v/>
      </c>
      <c r="G19" s="14">
        <f>IFERROR(IF(OR($A19="",$F19=""),"",IF(INDEX(Accounts!$P$2:$P$11,$F19)="static",INDEX(Accounts!$Q$2:$Q$11,$F19),IF(INDEX(Accounts!$P$2:$P$11,$F19)="eod_trailing",MAX(INDEX(Accounts!$Q$2:$Q$11,$F19),_xlfn.MAXIFS($C$2:$C$1001,$A$2:$A$1001,$A19,$B$2:$B$1001,"&lt;"&amp;$B19)),MAX(INDEX(Accounts!$Q$2:$Q$11,$F19),_xlfn.MAXIFS($C$2:$C$1001,$A$2:$A$1001,$A19,$B$2:$B$1001,"&lt;"&amp;$B19),_xlfn.MAXIFS($D$2:$D$1001,$A$2:$A$1001,$A19,$B$2:$B$1001,"&lt;="&amp;$B19),$C19)))),"")</f>
        <v/>
      </c>
      <c r="H19" s="15">
        <f>IFERROR(IF(G19="","",IF(INDEX(Accounts!$P$2:$P$11,$F19)="static",INDEX(Accounts!$Q$2:$Q$11,$F19)-INDEX(Accounts!$R$2:$R$11,$F19),IF(INDEX(Accounts!$S$2:$S$11,$F19)="NONE",G19-INDEX(Accounts!$R$2:$R$11,$F19),MIN(G19-INDEX(Accounts!$R$2:$R$11,$F19),INDEX(Accounts!$Q$2:$Q$11,$F19)+INDEX(Accounts!$S$2:$S$11,$F19))))),"")</f>
        <v/>
      </c>
      <c r="I19" s="16">
        <f>IF(AND($A19="",$B19="",$C19="",$D19="",$E19=""),"",IF(OR($A19="",$F19=""),"UNKNOWN_ACCOUNT",IF(OR($B19="",$C19=""),"INCOMPLETE",IFERROR(IF(OR(NOT(ISNUMBER($B19)),NOT(ISNUMBER($C19)),IF(C19="",FALSE,IF(ISNUMBER(C19),OR(C19&lt;=0,C19&gt;100000000,ROUND(C19*100,6)&lt;&gt;INT(ROUND(C19*100,6))),TRUE)),IF(D19="",FALSE,IF(ISNUMBER(D19),OR(D19&lt;=0,D19&gt;100000000,ROUND(D19*100,6)&lt;&gt;INT(ROUND(D19*100,6))),TRUE)),IF(E19="",FALSE,IF(ISNUMBER(E19),OR(E19&lt;=0,E19&gt;100000000,ROUND(E19*100,6)&lt;&gt;INT(ROUND(E19*100,6))),TRUE)),AND($D19&lt;&gt;"",$D19&lt;MAX($C19,$E19)),AND($E19&lt;&gt;"",$E19&gt;MIN($C19,IF($D19="",$C19,$D19))),COUNTIFS($A$2:$A$1001,$A19,$B$2:$B$1001,$B19)&gt;1),"INVALID",IFERROR(IF(IF(INDEX(Accounts!$T$2:$T$11,$F19),ROUND(IF($E19="",$C19,MIN($C19,$E19))-(H19),6)&lt;=0,ROUND(IF($E19="",$C19,MIN($C19,$E19))-(H19),6)&lt;0),"BREACHED","OK"),"INCOMPLETE")),"INVALID"))))</f>
        <v/>
      </c>
      <c r="J19" s="33">
        <f>IF(OR(I19="OK",I19="BREACHED"),-INT(ROUND(-(H19)*100,6))/100,I19)</f>
        <v/>
      </c>
    </row>
    <row r="20" ht="18" customHeight="1">
      <c r="A20" s="9" t="n"/>
      <c r="B20" s="32" t="n"/>
      <c r="C20" s="12" t="n"/>
      <c r="D20" s="12" t="n"/>
      <c r="E20" s="12" t="n"/>
      <c r="F20" s="15">
        <f>IFERROR(MATCH($A20,Accounts!$A$2:$A$11,0),"")</f>
        <v/>
      </c>
      <c r="G20" s="14">
        <f>IFERROR(IF(OR($A20="",$F20=""),"",IF(INDEX(Accounts!$P$2:$P$11,$F20)="static",INDEX(Accounts!$Q$2:$Q$11,$F20),IF(INDEX(Accounts!$P$2:$P$11,$F20)="eod_trailing",MAX(INDEX(Accounts!$Q$2:$Q$11,$F20),_xlfn.MAXIFS($C$2:$C$1001,$A$2:$A$1001,$A20,$B$2:$B$1001,"&lt;"&amp;$B20)),MAX(INDEX(Accounts!$Q$2:$Q$11,$F20),_xlfn.MAXIFS($C$2:$C$1001,$A$2:$A$1001,$A20,$B$2:$B$1001,"&lt;"&amp;$B20),_xlfn.MAXIFS($D$2:$D$1001,$A$2:$A$1001,$A20,$B$2:$B$1001,"&lt;="&amp;$B20),$C20)))),"")</f>
        <v/>
      </c>
      <c r="H20" s="15">
        <f>IFERROR(IF(G20="","",IF(INDEX(Accounts!$P$2:$P$11,$F20)="static",INDEX(Accounts!$Q$2:$Q$11,$F20)-INDEX(Accounts!$R$2:$R$11,$F20),IF(INDEX(Accounts!$S$2:$S$11,$F20)="NONE",G20-INDEX(Accounts!$R$2:$R$11,$F20),MIN(G20-INDEX(Accounts!$R$2:$R$11,$F20),INDEX(Accounts!$Q$2:$Q$11,$F20)+INDEX(Accounts!$S$2:$S$11,$F20))))),"")</f>
        <v/>
      </c>
      <c r="I20" s="16">
        <f>IF(AND($A20="",$B20="",$C20="",$D20="",$E20=""),"",IF(OR($A20="",$F20=""),"UNKNOWN_ACCOUNT",IF(OR($B20="",$C20=""),"INCOMPLETE",IFERROR(IF(OR(NOT(ISNUMBER($B20)),NOT(ISNUMBER($C20)),IF(C20="",FALSE,IF(ISNUMBER(C20),OR(C20&lt;=0,C20&gt;100000000,ROUND(C20*100,6)&lt;&gt;INT(ROUND(C20*100,6))),TRUE)),IF(D20="",FALSE,IF(ISNUMBER(D20),OR(D20&lt;=0,D20&gt;100000000,ROUND(D20*100,6)&lt;&gt;INT(ROUND(D20*100,6))),TRUE)),IF(E20="",FALSE,IF(ISNUMBER(E20),OR(E20&lt;=0,E20&gt;100000000,ROUND(E20*100,6)&lt;&gt;INT(ROUND(E20*100,6))),TRUE)),AND($D20&lt;&gt;"",$D20&lt;MAX($C20,$E20)),AND($E20&lt;&gt;"",$E20&gt;MIN($C20,IF($D20="",$C20,$D20))),COUNTIFS($A$2:$A$1001,$A20,$B$2:$B$1001,$B20)&gt;1),"INVALID",IFERROR(IF(IF(INDEX(Accounts!$T$2:$T$11,$F20),ROUND(IF($E20="",$C20,MIN($C20,$E20))-(H20),6)&lt;=0,ROUND(IF($E20="",$C20,MIN($C20,$E20))-(H20),6)&lt;0),"BREACHED","OK"),"INCOMPLETE")),"INVALID"))))</f>
        <v/>
      </c>
      <c r="J20" s="33">
        <f>IF(OR(I20="OK",I20="BREACHED"),-INT(ROUND(-(H20)*100,6))/100,I20)</f>
        <v/>
      </c>
    </row>
    <row r="21" ht="18" customHeight="1">
      <c r="A21" s="9" t="n"/>
      <c r="B21" s="32" t="n"/>
      <c r="C21" s="12" t="n"/>
      <c r="D21" s="12" t="n"/>
      <c r="E21" s="12" t="n"/>
      <c r="F21" s="15">
        <f>IFERROR(MATCH($A21,Accounts!$A$2:$A$11,0),"")</f>
        <v/>
      </c>
      <c r="G21" s="14">
        <f>IFERROR(IF(OR($A21="",$F21=""),"",IF(INDEX(Accounts!$P$2:$P$11,$F21)="static",INDEX(Accounts!$Q$2:$Q$11,$F21),IF(INDEX(Accounts!$P$2:$P$11,$F21)="eod_trailing",MAX(INDEX(Accounts!$Q$2:$Q$11,$F21),_xlfn.MAXIFS($C$2:$C$1001,$A$2:$A$1001,$A21,$B$2:$B$1001,"&lt;"&amp;$B21)),MAX(INDEX(Accounts!$Q$2:$Q$11,$F21),_xlfn.MAXIFS($C$2:$C$1001,$A$2:$A$1001,$A21,$B$2:$B$1001,"&lt;"&amp;$B21),_xlfn.MAXIFS($D$2:$D$1001,$A$2:$A$1001,$A21,$B$2:$B$1001,"&lt;="&amp;$B21),$C21)))),"")</f>
        <v/>
      </c>
      <c r="H21" s="15">
        <f>IFERROR(IF(G21="","",IF(INDEX(Accounts!$P$2:$P$11,$F21)="static",INDEX(Accounts!$Q$2:$Q$11,$F21)-INDEX(Accounts!$R$2:$R$11,$F21),IF(INDEX(Accounts!$S$2:$S$11,$F21)="NONE",G21-INDEX(Accounts!$R$2:$R$11,$F21),MIN(G21-INDEX(Accounts!$R$2:$R$11,$F21),INDEX(Accounts!$Q$2:$Q$11,$F21)+INDEX(Accounts!$S$2:$S$11,$F21))))),"")</f>
        <v/>
      </c>
      <c r="I21" s="16">
        <f>IF(AND($A21="",$B21="",$C21="",$D21="",$E21=""),"",IF(OR($A21="",$F21=""),"UNKNOWN_ACCOUNT",IF(OR($B21="",$C21=""),"INCOMPLETE",IFERROR(IF(OR(NOT(ISNUMBER($B21)),NOT(ISNUMBER($C21)),IF(C21="",FALSE,IF(ISNUMBER(C21),OR(C21&lt;=0,C21&gt;100000000,ROUND(C21*100,6)&lt;&gt;INT(ROUND(C21*100,6))),TRUE)),IF(D21="",FALSE,IF(ISNUMBER(D21),OR(D21&lt;=0,D21&gt;100000000,ROUND(D21*100,6)&lt;&gt;INT(ROUND(D21*100,6))),TRUE)),IF(E21="",FALSE,IF(ISNUMBER(E21),OR(E21&lt;=0,E21&gt;100000000,ROUND(E21*100,6)&lt;&gt;INT(ROUND(E21*100,6))),TRUE)),AND($D21&lt;&gt;"",$D21&lt;MAX($C21,$E21)),AND($E21&lt;&gt;"",$E21&gt;MIN($C21,IF($D21="",$C21,$D21))),COUNTIFS($A$2:$A$1001,$A21,$B$2:$B$1001,$B21)&gt;1),"INVALID",IFERROR(IF(IF(INDEX(Accounts!$T$2:$T$11,$F21),ROUND(IF($E21="",$C21,MIN($C21,$E21))-(H21),6)&lt;=0,ROUND(IF($E21="",$C21,MIN($C21,$E21))-(H21),6)&lt;0),"BREACHED","OK"),"INCOMPLETE")),"INVALID"))))</f>
        <v/>
      </c>
      <c r="J21" s="33">
        <f>IF(OR(I21="OK",I21="BREACHED"),-INT(ROUND(-(H21)*100,6))/100,I21)</f>
        <v/>
      </c>
    </row>
    <row r="22" ht="18" customHeight="1">
      <c r="A22" s="9" t="n"/>
      <c r="B22" s="32" t="n"/>
      <c r="C22" s="12" t="n"/>
      <c r="D22" s="12" t="n"/>
      <c r="E22" s="12" t="n"/>
      <c r="F22" s="15">
        <f>IFERROR(MATCH($A22,Accounts!$A$2:$A$11,0),"")</f>
        <v/>
      </c>
      <c r="G22" s="14">
        <f>IFERROR(IF(OR($A22="",$F22=""),"",IF(INDEX(Accounts!$P$2:$P$11,$F22)="static",INDEX(Accounts!$Q$2:$Q$11,$F22),IF(INDEX(Accounts!$P$2:$P$11,$F22)="eod_trailing",MAX(INDEX(Accounts!$Q$2:$Q$11,$F22),_xlfn.MAXIFS($C$2:$C$1001,$A$2:$A$1001,$A22,$B$2:$B$1001,"&lt;"&amp;$B22)),MAX(INDEX(Accounts!$Q$2:$Q$11,$F22),_xlfn.MAXIFS($C$2:$C$1001,$A$2:$A$1001,$A22,$B$2:$B$1001,"&lt;"&amp;$B22),_xlfn.MAXIFS($D$2:$D$1001,$A$2:$A$1001,$A22,$B$2:$B$1001,"&lt;="&amp;$B22),$C22)))),"")</f>
        <v/>
      </c>
      <c r="H22" s="15">
        <f>IFERROR(IF(G22="","",IF(INDEX(Accounts!$P$2:$P$11,$F22)="static",INDEX(Accounts!$Q$2:$Q$11,$F22)-INDEX(Accounts!$R$2:$R$11,$F22),IF(INDEX(Accounts!$S$2:$S$11,$F22)="NONE",G22-INDEX(Accounts!$R$2:$R$11,$F22),MIN(G22-INDEX(Accounts!$R$2:$R$11,$F22),INDEX(Accounts!$Q$2:$Q$11,$F22)+INDEX(Accounts!$S$2:$S$11,$F22))))),"")</f>
        <v/>
      </c>
      <c r="I22" s="16">
        <f>IF(AND($A22="",$B22="",$C22="",$D22="",$E22=""),"",IF(OR($A22="",$F22=""),"UNKNOWN_ACCOUNT",IF(OR($B22="",$C22=""),"INCOMPLETE",IFERROR(IF(OR(NOT(ISNUMBER($B22)),NOT(ISNUMBER($C22)),IF(C22="",FALSE,IF(ISNUMBER(C22),OR(C22&lt;=0,C22&gt;100000000,ROUND(C22*100,6)&lt;&gt;INT(ROUND(C22*100,6))),TRUE)),IF(D22="",FALSE,IF(ISNUMBER(D22),OR(D22&lt;=0,D22&gt;100000000,ROUND(D22*100,6)&lt;&gt;INT(ROUND(D22*100,6))),TRUE)),IF(E22="",FALSE,IF(ISNUMBER(E22),OR(E22&lt;=0,E22&gt;100000000,ROUND(E22*100,6)&lt;&gt;INT(ROUND(E22*100,6))),TRUE)),AND($D22&lt;&gt;"",$D22&lt;MAX($C22,$E22)),AND($E22&lt;&gt;"",$E22&gt;MIN($C22,IF($D22="",$C22,$D22))),COUNTIFS($A$2:$A$1001,$A22,$B$2:$B$1001,$B22)&gt;1),"INVALID",IFERROR(IF(IF(INDEX(Accounts!$T$2:$T$11,$F22),ROUND(IF($E22="",$C22,MIN($C22,$E22))-(H22),6)&lt;=0,ROUND(IF($E22="",$C22,MIN($C22,$E22))-(H22),6)&lt;0),"BREACHED","OK"),"INCOMPLETE")),"INVALID"))))</f>
        <v/>
      </c>
      <c r="J22" s="33">
        <f>IF(OR(I22="OK",I22="BREACHED"),-INT(ROUND(-(H22)*100,6))/100,I22)</f>
        <v/>
      </c>
    </row>
    <row r="23" ht="18" customHeight="1">
      <c r="A23" s="9" t="n"/>
      <c r="B23" s="32" t="n"/>
      <c r="C23" s="12" t="n"/>
      <c r="D23" s="12" t="n"/>
      <c r="E23" s="12" t="n"/>
      <c r="F23" s="15">
        <f>IFERROR(MATCH($A23,Accounts!$A$2:$A$11,0),"")</f>
        <v/>
      </c>
      <c r="G23" s="14">
        <f>IFERROR(IF(OR($A23="",$F23=""),"",IF(INDEX(Accounts!$P$2:$P$11,$F23)="static",INDEX(Accounts!$Q$2:$Q$11,$F23),IF(INDEX(Accounts!$P$2:$P$11,$F23)="eod_trailing",MAX(INDEX(Accounts!$Q$2:$Q$11,$F23),_xlfn.MAXIFS($C$2:$C$1001,$A$2:$A$1001,$A23,$B$2:$B$1001,"&lt;"&amp;$B23)),MAX(INDEX(Accounts!$Q$2:$Q$11,$F23),_xlfn.MAXIFS($C$2:$C$1001,$A$2:$A$1001,$A23,$B$2:$B$1001,"&lt;"&amp;$B23),_xlfn.MAXIFS($D$2:$D$1001,$A$2:$A$1001,$A23,$B$2:$B$1001,"&lt;="&amp;$B23),$C23)))),"")</f>
        <v/>
      </c>
      <c r="H23" s="15">
        <f>IFERROR(IF(G23="","",IF(INDEX(Accounts!$P$2:$P$11,$F23)="static",INDEX(Accounts!$Q$2:$Q$11,$F23)-INDEX(Accounts!$R$2:$R$11,$F23),IF(INDEX(Accounts!$S$2:$S$11,$F23)="NONE",G23-INDEX(Accounts!$R$2:$R$11,$F23),MIN(G23-INDEX(Accounts!$R$2:$R$11,$F23),INDEX(Accounts!$Q$2:$Q$11,$F23)+INDEX(Accounts!$S$2:$S$11,$F23))))),"")</f>
        <v/>
      </c>
      <c r="I23" s="16">
        <f>IF(AND($A23="",$B23="",$C23="",$D23="",$E23=""),"",IF(OR($A23="",$F23=""),"UNKNOWN_ACCOUNT",IF(OR($B23="",$C23=""),"INCOMPLETE",IFERROR(IF(OR(NOT(ISNUMBER($B23)),NOT(ISNUMBER($C23)),IF(C23="",FALSE,IF(ISNUMBER(C23),OR(C23&lt;=0,C23&gt;100000000,ROUND(C23*100,6)&lt;&gt;INT(ROUND(C23*100,6))),TRUE)),IF(D23="",FALSE,IF(ISNUMBER(D23),OR(D23&lt;=0,D23&gt;100000000,ROUND(D23*100,6)&lt;&gt;INT(ROUND(D23*100,6))),TRUE)),IF(E23="",FALSE,IF(ISNUMBER(E23),OR(E23&lt;=0,E23&gt;100000000,ROUND(E23*100,6)&lt;&gt;INT(ROUND(E23*100,6))),TRUE)),AND($D23&lt;&gt;"",$D23&lt;MAX($C23,$E23)),AND($E23&lt;&gt;"",$E23&gt;MIN($C23,IF($D23="",$C23,$D23))),COUNTIFS($A$2:$A$1001,$A23,$B$2:$B$1001,$B23)&gt;1),"INVALID",IFERROR(IF(IF(INDEX(Accounts!$T$2:$T$11,$F23),ROUND(IF($E23="",$C23,MIN($C23,$E23))-(H23),6)&lt;=0,ROUND(IF($E23="",$C23,MIN($C23,$E23))-(H23),6)&lt;0),"BREACHED","OK"),"INCOMPLETE")),"INVALID"))))</f>
        <v/>
      </c>
      <c r="J23" s="33">
        <f>IF(OR(I23="OK",I23="BREACHED"),-INT(ROUND(-(H23)*100,6))/100,I23)</f>
        <v/>
      </c>
    </row>
    <row r="24" ht="18" customHeight="1">
      <c r="A24" s="9" t="n"/>
      <c r="B24" s="32" t="n"/>
      <c r="C24" s="12" t="n"/>
      <c r="D24" s="12" t="n"/>
      <c r="E24" s="12" t="n"/>
      <c r="F24" s="15">
        <f>IFERROR(MATCH($A24,Accounts!$A$2:$A$11,0),"")</f>
        <v/>
      </c>
      <c r="G24" s="14">
        <f>IFERROR(IF(OR($A24="",$F24=""),"",IF(INDEX(Accounts!$P$2:$P$11,$F24)="static",INDEX(Accounts!$Q$2:$Q$11,$F24),IF(INDEX(Accounts!$P$2:$P$11,$F24)="eod_trailing",MAX(INDEX(Accounts!$Q$2:$Q$11,$F24),_xlfn.MAXIFS($C$2:$C$1001,$A$2:$A$1001,$A24,$B$2:$B$1001,"&lt;"&amp;$B24)),MAX(INDEX(Accounts!$Q$2:$Q$11,$F24),_xlfn.MAXIFS($C$2:$C$1001,$A$2:$A$1001,$A24,$B$2:$B$1001,"&lt;"&amp;$B24),_xlfn.MAXIFS($D$2:$D$1001,$A$2:$A$1001,$A24,$B$2:$B$1001,"&lt;="&amp;$B24),$C24)))),"")</f>
        <v/>
      </c>
      <c r="H24" s="15">
        <f>IFERROR(IF(G24="","",IF(INDEX(Accounts!$P$2:$P$11,$F24)="static",INDEX(Accounts!$Q$2:$Q$11,$F24)-INDEX(Accounts!$R$2:$R$11,$F24),IF(INDEX(Accounts!$S$2:$S$11,$F24)="NONE",G24-INDEX(Accounts!$R$2:$R$11,$F24),MIN(G24-INDEX(Accounts!$R$2:$R$11,$F24),INDEX(Accounts!$Q$2:$Q$11,$F24)+INDEX(Accounts!$S$2:$S$11,$F24))))),"")</f>
        <v/>
      </c>
      <c r="I24" s="16">
        <f>IF(AND($A24="",$B24="",$C24="",$D24="",$E24=""),"",IF(OR($A24="",$F24=""),"UNKNOWN_ACCOUNT",IF(OR($B24="",$C24=""),"INCOMPLETE",IFERROR(IF(OR(NOT(ISNUMBER($B24)),NOT(ISNUMBER($C24)),IF(C24="",FALSE,IF(ISNUMBER(C24),OR(C24&lt;=0,C24&gt;100000000,ROUND(C24*100,6)&lt;&gt;INT(ROUND(C24*100,6))),TRUE)),IF(D24="",FALSE,IF(ISNUMBER(D24),OR(D24&lt;=0,D24&gt;100000000,ROUND(D24*100,6)&lt;&gt;INT(ROUND(D24*100,6))),TRUE)),IF(E24="",FALSE,IF(ISNUMBER(E24),OR(E24&lt;=0,E24&gt;100000000,ROUND(E24*100,6)&lt;&gt;INT(ROUND(E24*100,6))),TRUE)),AND($D24&lt;&gt;"",$D24&lt;MAX($C24,$E24)),AND($E24&lt;&gt;"",$E24&gt;MIN($C24,IF($D24="",$C24,$D24))),COUNTIFS($A$2:$A$1001,$A24,$B$2:$B$1001,$B24)&gt;1),"INVALID",IFERROR(IF(IF(INDEX(Accounts!$T$2:$T$11,$F24),ROUND(IF($E24="",$C24,MIN($C24,$E24))-(H24),6)&lt;=0,ROUND(IF($E24="",$C24,MIN($C24,$E24))-(H24),6)&lt;0),"BREACHED","OK"),"INCOMPLETE")),"INVALID"))))</f>
        <v/>
      </c>
      <c r="J24" s="33">
        <f>IF(OR(I24="OK",I24="BREACHED"),-INT(ROUND(-(H24)*100,6))/100,I24)</f>
        <v/>
      </c>
    </row>
    <row r="25" ht="18" customHeight="1">
      <c r="A25" s="9" t="n"/>
      <c r="B25" s="32" t="n"/>
      <c r="C25" s="12" t="n"/>
      <c r="D25" s="12" t="n"/>
      <c r="E25" s="12" t="n"/>
      <c r="F25" s="15">
        <f>IFERROR(MATCH($A25,Accounts!$A$2:$A$11,0),"")</f>
        <v/>
      </c>
      <c r="G25" s="14">
        <f>IFERROR(IF(OR($A25="",$F25=""),"",IF(INDEX(Accounts!$P$2:$P$11,$F25)="static",INDEX(Accounts!$Q$2:$Q$11,$F25),IF(INDEX(Accounts!$P$2:$P$11,$F25)="eod_trailing",MAX(INDEX(Accounts!$Q$2:$Q$11,$F25),_xlfn.MAXIFS($C$2:$C$1001,$A$2:$A$1001,$A25,$B$2:$B$1001,"&lt;"&amp;$B25)),MAX(INDEX(Accounts!$Q$2:$Q$11,$F25),_xlfn.MAXIFS($C$2:$C$1001,$A$2:$A$1001,$A25,$B$2:$B$1001,"&lt;"&amp;$B25),_xlfn.MAXIFS($D$2:$D$1001,$A$2:$A$1001,$A25,$B$2:$B$1001,"&lt;="&amp;$B25),$C25)))),"")</f>
        <v/>
      </c>
      <c r="H25" s="15">
        <f>IFERROR(IF(G25="","",IF(INDEX(Accounts!$P$2:$P$11,$F25)="static",INDEX(Accounts!$Q$2:$Q$11,$F25)-INDEX(Accounts!$R$2:$R$11,$F25),IF(INDEX(Accounts!$S$2:$S$11,$F25)="NONE",G25-INDEX(Accounts!$R$2:$R$11,$F25),MIN(G25-INDEX(Accounts!$R$2:$R$11,$F25),INDEX(Accounts!$Q$2:$Q$11,$F25)+INDEX(Accounts!$S$2:$S$11,$F25))))),"")</f>
        <v/>
      </c>
      <c r="I25" s="16">
        <f>IF(AND($A25="",$B25="",$C25="",$D25="",$E25=""),"",IF(OR($A25="",$F25=""),"UNKNOWN_ACCOUNT",IF(OR($B25="",$C25=""),"INCOMPLETE",IFERROR(IF(OR(NOT(ISNUMBER($B25)),NOT(ISNUMBER($C25)),IF(C25="",FALSE,IF(ISNUMBER(C25),OR(C25&lt;=0,C25&gt;100000000,ROUND(C25*100,6)&lt;&gt;INT(ROUND(C25*100,6))),TRUE)),IF(D25="",FALSE,IF(ISNUMBER(D25),OR(D25&lt;=0,D25&gt;100000000,ROUND(D25*100,6)&lt;&gt;INT(ROUND(D25*100,6))),TRUE)),IF(E25="",FALSE,IF(ISNUMBER(E25),OR(E25&lt;=0,E25&gt;100000000,ROUND(E25*100,6)&lt;&gt;INT(ROUND(E25*100,6))),TRUE)),AND($D25&lt;&gt;"",$D25&lt;MAX($C25,$E25)),AND($E25&lt;&gt;"",$E25&gt;MIN($C25,IF($D25="",$C25,$D25))),COUNTIFS($A$2:$A$1001,$A25,$B$2:$B$1001,$B25)&gt;1),"INVALID",IFERROR(IF(IF(INDEX(Accounts!$T$2:$T$11,$F25),ROUND(IF($E25="",$C25,MIN($C25,$E25))-(H25),6)&lt;=0,ROUND(IF($E25="",$C25,MIN($C25,$E25))-(H25),6)&lt;0),"BREACHED","OK"),"INCOMPLETE")),"INVALID"))))</f>
        <v/>
      </c>
      <c r="J25" s="33">
        <f>IF(OR(I25="OK",I25="BREACHED"),-INT(ROUND(-(H25)*100,6))/100,I25)</f>
        <v/>
      </c>
    </row>
    <row r="26" ht="18" customHeight="1">
      <c r="A26" s="9" t="n"/>
      <c r="B26" s="32" t="n"/>
      <c r="C26" s="12" t="n"/>
      <c r="D26" s="12" t="n"/>
      <c r="E26" s="12" t="n"/>
      <c r="F26" s="15">
        <f>IFERROR(MATCH($A26,Accounts!$A$2:$A$11,0),"")</f>
        <v/>
      </c>
      <c r="G26" s="14">
        <f>IFERROR(IF(OR($A26="",$F26=""),"",IF(INDEX(Accounts!$P$2:$P$11,$F26)="static",INDEX(Accounts!$Q$2:$Q$11,$F26),IF(INDEX(Accounts!$P$2:$P$11,$F26)="eod_trailing",MAX(INDEX(Accounts!$Q$2:$Q$11,$F26),_xlfn.MAXIFS($C$2:$C$1001,$A$2:$A$1001,$A26,$B$2:$B$1001,"&lt;"&amp;$B26)),MAX(INDEX(Accounts!$Q$2:$Q$11,$F26),_xlfn.MAXIFS($C$2:$C$1001,$A$2:$A$1001,$A26,$B$2:$B$1001,"&lt;"&amp;$B26),_xlfn.MAXIFS($D$2:$D$1001,$A$2:$A$1001,$A26,$B$2:$B$1001,"&lt;="&amp;$B26),$C26)))),"")</f>
        <v/>
      </c>
      <c r="H26" s="15">
        <f>IFERROR(IF(G26="","",IF(INDEX(Accounts!$P$2:$P$11,$F26)="static",INDEX(Accounts!$Q$2:$Q$11,$F26)-INDEX(Accounts!$R$2:$R$11,$F26),IF(INDEX(Accounts!$S$2:$S$11,$F26)="NONE",G26-INDEX(Accounts!$R$2:$R$11,$F26),MIN(G26-INDEX(Accounts!$R$2:$R$11,$F26),INDEX(Accounts!$Q$2:$Q$11,$F26)+INDEX(Accounts!$S$2:$S$11,$F26))))),"")</f>
        <v/>
      </c>
      <c r="I26" s="16">
        <f>IF(AND($A26="",$B26="",$C26="",$D26="",$E26=""),"",IF(OR($A26="",$F26=""),"UNKNOWN_ACCOUNT",IF(OR($B26="",$C26=""),"INCOMPLETE",IFERROR(IF(OR(NOT(ISNUMBER($B26)),NOT(ISNUMBER($C26)),IF(C26="",FALSE,IF(ISNUMBER(C26),OR(C26&lt;=0,C26&gt;100000000,ROUND(C26*100,6)&lt;&gt;INT(ROUND(C26*100,6))),TRUE)),IF(D26="",FALSE,IF(ISNUMBER(D26),OR(D26&lt;=0,D26&gt;100000000,ROUND(D26*100,6)&lt;&gt;INT(ROUND(D26*100,6))),TRUE)),IF(E26="",FALSE,IF(ISNUMBER(E26),OR(E26&lt;=0,E26&gt;100000000,ROUND(E26*100,6)&lt;&gt;INT(ROUND(E26*100,6))),TRUE)),AND($D26&lt;&gt;"",$D26&lt;MAX($C26,$E26)),AND($E26&lt;&gt;"",$E26&gt;MIN($C26,IF($D26="",$C26,$D26))),COUNTIFS($A$2:$A$1001,$A26,$B$2:$B$1001,$B26)&gt;1),"INVALID",IFERROR(IF(IF(INDEX(Accounts!$T$2:$T$11,$F26),ROUND(IF($E26="",$C26,MIN($C26,$E26))-(H26),6)&lt;=0,ROUND(IF($E26="",$C26,MIN($C26,$E26))-(H26),6)&lt;0),"BREACHED","OK"),"INCOMPLETE")),"INVALID"))))</f>
        <v/>
      </c>
      <c r="J26" s="33">
        <f>IF(OR(I26="OK",I26="BREACHED"),-INT(ROUND(-(H26)*100,6))/100,I26)</f>
        <v/>
      </c>
    </row>
    <row r="27" ht="18" customHeight="1">
      <c r="A27" s="9" t="n"/>
      <c r="B27" s="32" t="n"/>
      <c r="C27" s="12" t="n"/>
      <c r="D27" s="12" t="n"/>
      <c r="E27" s="12" t="n"/>
      <c r="F27" s="15">
        <f>IFERROR(MATCH($A27,Accounts!$A$2:$A$11,0),"")</f>
        <v/>
      </c>
      <c r="G27" s="14">
        <f>IFERROR(IF(OR($A27="",$F27=""),"",IF(INDEX(Accounts!$P$2:$P$11,$F27)="static",INDEX(Accounts!$Q$2:$Q$11,$F27),IF(INDEX(Accounts!$P$2:$P$11,$F27)="eod_trailing",MAX(INDEX(Accounts!$Q$2:$Q$11,$F27),_xlfn.MAXIFS($C$2:$C$1001,$A$2:$A$1001,$A27,$B$2:$B$1001,"&lt;"&amp;$B27)),MAX(INDEX(Accounts!$Q$2:$Q$11,$F27),_xlfn.MAXIFS($C$2:$C$1001,$A$2:$A$1001,$A27,$B$2:$B$1001,"&lt;"&amp;$B27),_xlfn.MAXIFS($D$2:$D$1001,$A$2:$A$1001,$A27,$B$2:$B$1001,"&lt;="&amp;$B27),$C27)))),"")</f>
        <v/>
      </c>
      <c r="H27" s="15">
        <f>IFERROR(IF(G27="","",IF(INDEX(Accounts!$P$2:$P$11,$F27)="static",INDEX(Accounts!$Q$2:$Q$11,$F27)-INDEX(Accounts!$R$2:$R$11,$F27),IF(INDEX(Accounts!$S$2:$S$11,$F27)="NONE",G27-INDEX(Accounts!$R$2:$R$11,$F27),MIN(G27-INDEX(Accounts!$R$2:$R$11,$F27),INDEX(Accounts!$Q$2:$Q$11,$F27)+INDEX(Accounts!$S$2:$S$11,$F27))))),"")</f>
        <v/>
      </c>
      <c r="I27" s="16">
        <f>IF(AND($A27="",$B27="",$C27="",$D27="",$E27=""),"",IF(OR($A27="",$F27=""),"UNKNOWN_ACCOUNT",IF(OR($B27="",$C27=""),"INCOMPLETE",IFERROR(IF(OR(NOT(ISNUMBER($B27)),NOT(ISNUMBER($C27)),IF(C27="",FALSE,IF(ISNUMBER(C27),OR(C27&lt;=0,C27&gt;100000000,ROUND(C27*100,6)&lt;&gt;INT(ROUND(C27*100,6))),TRUE)),IF(D27="",FALSE,IF(ISNUMBER(D27),OR(D27&lt;=0,D27&gt;100000000,ROUND(D27*100,6)&lt;&gt;INT(ROUND(D27*100,6))),TRUE)),IF(E27="",FALSE,IF(ISNUMBER(E27),OR(E27&lt;=0,E27&gt;100000000,ROUND(E27*100,6)&lt;&gt;INT(ROUND(E27*100,6))),TRUE)),AND($D27&lt;&gt;"",$D27&lt;MAX($C27,$E27)),AND($E27&lt;&gt;"",$E27&gt;MIN($C27,IF($D27="",$C27,$D27))),COUNTIFS($A$2:$A$1001,$A27,$B$2:$B$1001,$B27)&gt;1),"INVALID",IFERROR(IF(IF(INDEX(Accounts!$T$2:$T$11,$F27),ROUND(IF($E27="",$C27,MIN($C27,$E27))-(H27),6)&lt;=0,ROUND(IF($E27="",$C27,MIN($C27,$E27))-(H27),6)&lt;0),"BREACHED","OK"),"INCOMPLETE")),"INVALID"))))</f>
        <v/>
      </c>
      <c r="J27" s="33">
        <f>IF(OR(I27="OK",I27="BREACHED"),-INT(ROUND(-(H27)*100,6))/100,I27)</f>
        <v/>
      </c>
    </row>
    <row r="28" ht="18" customHeight="1">
      <c r="A28" s="9" t="n"/>
      <c r="B28" s="32" t="n"/>
      <c r="C28" s="12" t="n"/>
      <c r="D28" s="12" t="n"/>
      <c r="E28" s="12" t="n"/>
      <c r="F28" s="15">
        <f>IFERROR(MATCH($A28,Accounts!$A$2:$A$11,0),"")</f>
        <v/>
      </c>
      <c r="G28" s="14">
        <f>IFERROR(IF(OR($A28="",$F28=""),"",IF(INDEX(Accounts!$P$2:$P$11,$F28)="static",INDEX(Accounts!$Q$2:$Q$11,$F28),IF(INDEX(Accounts!$P$2:$P$11,$F28)="eod_trailing",MAX(INDEX(Accounts!$Q$2:$Q$11,$F28),_xlfn.MAXIFS($C$2:$C$1001,$A$2:$A$1001,$A28,$B$2:$B$1001,"&lt;"&amp;$B28)),MAX(INDEX(Accounts!$Q$2:$Q$11,$F28),_xlfn.MAXIFS($C$2:$C$1001,$A$2:$A$1001,$A28,$B$2:$B$1001,"&lt;"&amp;$B28),_xlfn.MAXIFS($D$2:$D$1001,$A$2:$A$1001,$A28,$B$2:$B$1001,"&lt;="&amp;$B28),$C28)))),"")</f>
        <v/>
      </c>
      <c r="H28" s="15">
        <f>IFERROR(IF(G28="","",IF(INDEX(Accounts!$P$2:$P$11,$F28)="static",INDEX(Accounts!$Q$2:$Q$11,$F28)-INDEX(Accounts!$R$2:$R$11,$F28),IF(INDEX(Accounts!$S$2:$S$11,$F28)="NONE",G28-INDEX(Accounts!$R$2:$R$11,$F28),MIN(G28-INDEX(Accounts!$R$2:$R$11,$F28),INDEX(Accounts!$Q$2:$Q$11,$F28)+INDEX(Accounts!$S$2:$S$11,$F28))))),"")</f>
        <v/>
      </c>
      <c r="I28" s="16">
        <f>IF(AND($A28="",$B28="",$C28="",$D28="",$E28=""),"",IF(OR($A28="",$F28=""),"UNKNOWN_ACCOUNT",IF(OR($B28="",$C28=""),"INCOMPLETE",IFERROR(IF(OR(NOT(ISNUMBER($B28)),NOT(ISNUMBER($C28)),IF(C28="",FALSE,IF(ISNUMBER(C28),OR(C28&lt;=0,C28&gt;100000000,ROUND(C28*100,6)&lt;&gt;INT(ROUND(C28*100,6))),TRUE)),IF(D28="",FALSE,IF(ISNUMBER(D28),OR(D28&lt;=0,D28&gt;100000000,ROUND(D28*100,6)&lt;&gt;INT(ROUND(D28*100,6))),TRUE)),IF(E28="",FALSE,IF(ISNUMBER(E28),OR(E28&lt;=0,E28&gt;100000000,ROUND(E28*100,6)&lt;&gt;INT(ROUND(E28*100,6))),TRUE)),AND($D28&lt;&gt;"",$D28&lt;MAX($C28,$E28)),AND($E28&lt;&gt;"",$E28&gt;MIN($C28,IF($D28="",$C28,$D28))),COUNTIFS($A$2:$A$1001,$A28,$B$2:$B$1001,$B28)&gt;1),"INVALID",IFERROR(IF(IF(INDEX(Accounts!$T$2:$T$11,$F28),ROUND(IF($E28="",$C28,MIN($C28,$E28))-(H28),6)&lt;=0,ROUND(IF($E28="",$C28,MIN($C28,$E28))-(H28),6)&lt;0),"BREACHED","OK"),"INCOMPLETE")),"INVALID"))))</f>
        <v/>
      </c>
      <c r="J28" s="33">
        <f>IF(OR(I28="OK",I28="BREACHED"),-INT(ROUND(-(H28)*100,6))/100,I28)</f>
        <v/>
      </c>
    </row>
    <row r="29" ht="18" customHeight="1">
      <c r="A29" s="9" t="n"/>
      <c r="B29" s="32" t="n"/>
      <c r="C29" s="12" t="n"/>
      <c r="D29" s="12" t="n"/>
      <c r="E29" s="12" t="n"/>
      <c r="F29" s="15">
        <f>IFERROR(MATCH($A29,Accounts!$A$2:$A$11,0),"")</f>
        <v/>
      </c>
      <c r="G29" s="14">
        <f>IFERROR(IF(OR($A29="",$F29=""),"",IF(INDEX(Accounts!$P$2:$P$11,$F29)="static",INDEX(Accounts!$Q$2:$Q$11,$F29),IF(INDEX(Accounts!$P$2:$P$11,$F29)="eod_trailing",MAX(INDEX(Accounts!$Q$2:$Q$11,$F29),_xlfn.MAXIFS($C$2:$C$1001,$A$2:$A$1001,$A29,$B$2:$B$1001,"&lt;"&amp;$B29)),MAX(INDEX(Accounts!$Q$2:$Q$11,$F29),_xlfn.MAXIFS($C$2:$C$1001,$A$2:$A$1001,$A29,$B$2:$B$1001,"&lt;"&amp;$B29),_xlfn.MAXIFS($D$2:$D$1001,$A$2:$A$1001,$A29,$B$2:$B$1001,"&lt;="&amp;$B29),$C29)))),"")</f>
        <v/>
      </c>
      <c r="H29" s="15">
        <f>IFERROR(IF(G29="","",IF(INDEX(Accounts!$P$2:$P$11,$F29)="static",INDEX(Accounts!$Q$2:$Q$11,$F29)-INDEX(Accounts!$R$2:$R$11,$F29),IF(INDEX(Accounts!$S$2:$S$11,$F29)="NONE",G29-INDEX(Accounts!$R$2:$R$11,$F29),MIN(G29-INDEX(Accounts!$R$2:$R$11,$F29),INDEX(Accounts!$Q$2:$Q$11,$F29)+INDEX(Accounts!$S$2:$S$11,$F29))))),"")</f>
        <v/>
      </c>
      <c r="I29" s="16">
        <f>IF(AND($A29="",$B29="",$C29="",$D29="",$E29=""),"",IF(OR($A29="",$F29=""),"UNKNOWN_ACCOUNT",IF(OR($B29="",$C29=""),"INCOMPLETE",IFERROR(IF(OR(NOT(ISNUMBER($B29)),NOT(ISNUMBER($C29)),IF(C29="",FALSE,IF(ISNUMBER(C29),OR(C29&lt;=0,C29&gt;100000000,ROUND(C29*100,6)&lt;&gt;INT(ROUND(C29*100,6))),TRUE)),IF(D29="",FALSE,IF(ISNUMBER(D29),OR(D29&lt;=0,D29&gt;100000000,ROUND(D29*100,6)&lt;&gt;INT(ROUND(D29*100,6))),TRUE)),IF(E29="",FALSE,IF(ISNUMBER(E29),OR(E29&lt;=0,E29&gt;100000000,ROUND(E29*100,6)&lt;&gt;INT(ROUND(E29*100,6))),TRUE)),AND($D29&lt;&gt;"",$D29&lt;MAX($C29,$E29)),AND($E29&lt;&gt;"",$E29&gt;MIN($C29,IF($D29="",$C29,$D29))),COUNTIFS($A$2:$A$1001,$A29,$B$2:$B$1001,$B29)&gt;1),"INVALID",IFERROR(IF(IF(INDEX(Accounts!$T$2:$T$11,$F29),ROUND(IF($E29="",$C29,MIN($C29,$E29))-(H29),6)&lt;=0,ROUND(IF($E29="",$C29,MIN($C29,$E29))-(H29),6)&lt;0),"BREACHED","OK"),"INCOMPLETE")),"INVALID"))))</f>
        <v/>
      </c>
      <c r="J29" s="33">
        <f>IF(OR(I29="OK",I29="BREACHED"),-INT(ROUND(-(H29)*100,6))/100,I29)</f>
        <v/>
      </c>
    </row>
    <row r="30" ht="18" customHeight="1">
      <c r="A30" s="9" t="n"/>
      <c r="B30" s="32" t="n"/>
      <c r="C30" s="12" t="n"/>
      <c r="D30" s="12" t="n"/>
      <c r="E30" s="12" t="n"/>
      <c r="F30" s="15">
        <f>IFERROR(MATCH($A30,Accounts!$A$2:$A$11,0),"")</f>
        <v/>
      </c>
      <c r="G30" s="14">
        <f>IFERROR(IF(OR($A30="",$F30=""),"",IF(INDEX(Accounts!$P$2:$P$11,$F30)="static",INDEX(Accounts!$Q$2:$Q$11,$F30),IF(INDEX(Accounts!$P$2:$P$11,$F30)="eod_trailing",MAX(INDEX(Accounts!$Q$2:$Q$11,$F30),_xlfn.MAXIFS($C$2:$C$1001,$A$2:$A$1001,$A30,$B$2:$B$1001,"&lt;"&amp;$B30)),MAX(INDEX(Accounts!$Q$2:$Q$11,$F30),_xlfn.MAXIFS($C$2:$C$1001,$A$2:$A$1001,$A30,$B$2:$B$1001,"&lt;"&amp;$B30),_xlfn.MAXIFS($D$2:$D$1001,$A$2:$A$1001,$A30,$B$2:$B$1001,"&lt;="&amp;$B30),$C30)))),"")</f>
        <v/>
      </c>
      <c r="H30" s="15">
        <f>IFERROR(IF(G30="","",IF(INDEX(Accounts!$P$2:$P$11,$F30)="static",INDEX(Accounts!$Q$2:$Q$11,$F30)-INDEX(Accounts!$R$2:$R$11,$F30),IF(INDEX(Accounts!$S$2:$S$11,$F30)="NONE",G30-INDEX(Accounts!$R$2:$R$11,$F30),MIN(G30-INDEX(Accounts!$R$2:$R$11,$F30),INDEX(Accounts!$Q$2:$Q$11,$F30)+INDEX(Accounts!$S$2:$S$11,$F30))))),"")</f>
        <v/>
      </c>
      <c r="I30" s="16">
        <f>IF(AND($A30="",$B30="",$C30="",$D30="",$E30=""),"",IF(OR($A30="",$F30=""),"UNKNOWN_ACCOUNT",IF(OR($B30="",$C30=""),"INCOMPLETE",IFERROR(IF(OR(NOT(ISNUMBER($B30)),NOT(ISNUMBER($C30)),IF(C30="",FALSE,IF(ISNUMBER(C30),OR(C30&lt;=0,C30&gt;100000000,ROUND(C30*100,6)&lt;&gt;INT(ROUND(C30*100,6))),TRUE)),IF(D30="",FALSE,IF(ISNUMBER(D30),OR(D30&lt;=0,D30&gt;100000000,ROUND(D30*100,6)&lt;&gt;INT(ROUND(D30*100,6))),TRUE)),IF(E30="",FALSE,IF(ISNUMBER(E30),OR(E30&lt;=0,E30&gt;100000000,ROUND(E30*100,6)&lt;&gt;INT(ROUND(E30*100,6))),TRUE)),AND($D30&lt;&gt;"",$D30&lt;MAX($C30,$E30)),AND($E30&lt;&gt;"",$E30&gt;MIN($C30,IF($D30="",$C30,$D30))),COUNTIFS($A$2:$A$1001,$A30,$B$2:$B$1001,$B30)&gt;1),"INVALID",IFERROR(IF(IF(INDEX(Accounts!$T$2:$T$11,$F30),ROUND(IF($E30="",$C30,MIN($C30,$E30))-(H30),6)&lt;=0,ROUND(IF($E30="",$C30,MIN($C30,$E30))-(H30),6)&lt;0),"BREACHED","OK"),"INCOMPLETE")),"INVALID"))))</f>
        <v/>
      </c>
      <c r="J30" s="33">
        <f>IF(OR(I30="OK",I30="BREACHED"),-INT(ROUND(-(H30)*100,6))/100,I30)</f>
        <v/>
      </c>
    </row>
    <row r="31" ht="18" customHeight="1">
      <c r="A31" s="9" t="n"/>
      <c r="B31" s="32" t="n"/>
      <c r="C31" s="12" t="n"/>
      <c r="D31" s="12" t="n"/>
      <c r="E31" s="12" t="n"/>
      <c r="F31" s="15">
        <f>IFERROR(MATCH($A31,Accounts!$A$2:$A$11,0),"")</f>
        <v/>
      </c>
      <c r="G31" s="14">
        <f>IFERROR(IF(OR($A31="",$F31=""),"",IF(INDEX(Accounts!$P$2:$P$11,$F31)="static",INDEX(Accounts!$Q$2:$Q$11,$F31),IF(INDEX(Accounts!$P$2:$P$11,$F31)="eod_trailing",MAX(INDEX(Accounts!$Q$2:$Q$11,$F31),_xlfn.MAXIFS($C$2:$C$1001,$A$2:$A$1001,$A31,$B$2:$B$1001,"&lt;"&amp;$B31)),MAX(INDEX(Accounts!$Q$2:$Q$11,$F31),_xlfn.MAXIFS($C$2:$C$1001,$A$2:$A$1001,$A31,$B$2:$B$1001,"&lt;"&amp;$B31),_xlfn.MAXIFS($D$2:$D$1001,$A$2:$A$1001,$A31,$B$2:$B$1001,"&lt;="&amp;$B31),$C31)))),"")</f>
        <v/>
      </c>
      <c r="H31" s="15">
        <f>IFERROR(IF(G31="","",IF(INDEX(Accounts!$P$2:$P$11,$F31)="static",INDEX(Accounts!$Q$2:$Q$11,$F31)-INDEX(Accounts!$R$2:$R$11,$F31),IF(INDEX(Accounts!$S$2:$S$11,$F31)="NONE",G31-INDEX(Accounts!$R$2:$R$11,$F31),MIN(G31-INDEX(Accounts!$R$2:$R$11,$F31),INDEX(Accounts!$Q$2:$Q$11,$F31)+INDEX(Accounts!$S$2:$S$11,$F31))))),"")</f>
        <v/>
      </c>
      <c r="I31" s="16">
        <f>IF(AND($A31="",$B31="",$C31="",$D31="",$E31=""),"",IF(OR($A31="",$F31=""),"UNKNOWN_ACCOUNT",IF(OR($B31="",$C31=""),"INCOMPLETE",IFERROR(IF(OR(NOT(ISNUMBER($B31)),NOT(ISNUMBER($C31)),IF(C31="",FALSE,IF(ISNUMBER(C31),OR(C31&lt;=0,C31&gt;100000000,ROUND(C31*100,6)&lt;&gt;INT(ROUND(C31*100,6))),TRUE)),IF(D31="",FALSE,IF(ISNUMBER(D31),OR(D31&lt;=0,D31&gt;100000000,ROUND(D31*100,6)&lt;&gt;INT(ROUND(D31*100,6))),TRUE)),IF(E31="",FALSE,IF(ISNUMBER(E31),OR(E31&lt;=0,E31&gt;100000000,ROUND(E31*100,6)&lt;&gt;INT(ROUND(E31*100,6))),TRUE)),AND($D31&lt;&gt;"",$D31&lt;MAX($C31,$E31)),AND($E31&lt;&gt;"",$E31&gt;MIN($C31,IF($D31="",$C31,$D31))),COUNTIFS($A$2:$A$1001,$A31,$B$2:$B$1001,$B31)&gt;1),"INVALID",IFERROR(IF(IF(INDEX(Accounts!$T$2:$T$11,$F31),ROUND(IF($E31="",$C31,MIN($C31,$E31))-(H31),6)&lt;=0,ROUND(IF($E31="",$C31,MIN($C31,$E31))-(H31),6)&lt;0),"BREACHED","OK"),"INCOMPLETE")),"INVALID"))))</f>
        <v/>
      </c>
      <c r="J31" s="33">
        <f>IF(OR(I31="OK",I31="BREACHED"),-INT(ROUND(-(H31)*100,6))/100,I31)</f>
        <v/>
      </c>
    </row>
    <row r="32" ht="18" customHeight="1">
      <c r="A32" s="9" t="n"/>
      <c r="B32" s="32" t="n"/>
      <c r="C32" s="12" t="n"/>
      <c r="D32" s="12" t="n"/>
      <c r="E32" s="12" t="n"/>
      <c r="F32" s="15">
        <f>IFERROR(MATCH($A32,Accounts!$A$2:$A$11,0),"")</f>
        <v/>
      </c>
      <c r="G32" s="14">
        <f>IFERROR(IF(OR($A32="",$F32=""),"",IF(INDEX(Accounts!$P$2:$P$11,$F32)="static",INDEX(Accounts!$Q$2:$Q$11,$F32),IF(INDEX(Accounts!$P$2:$P$11,$F32)="eod_trailing",MAX(INDEX(Accounts!$Q$2:$Q$11,$F32),_xlfn.MAXIFS($C$2:$C$1001,$A$2:$A$1001,$A32,$B$2:$B$1001,"&lt;"&amp;$B32)),MAX(INDEX(Accounts!$Q$2:$Q$11,$F32),_xlfn.MAXIFS($C$2:$C$1001,$A$2:$A$1001,$A32,$B$2:$B$1001,"&lt;"&amp;$B32),_xlfn.MAXIFS($D$2:$D$1001,$A$2:$A$1001,$A32,$B$2:$B$1001,"&lt;="&amp;$B32),$C32)))),"")</f>
        <v/>
      </c>
      <c r="H32" s="15">
        <f>IFERROR(IF(G32="","",IF(INDEX(Accounts!$P$2:$P$11,$F32)="static",INDEX(Accounts!$Q$2:$Q$11,$F32)-INDEX(Accounts!$R$2:$R$11,$F32),IF(INDEX(Accounts!$S$2:$S$11,$F32)="NONE",G32-INDEX(Accounts!$R$2:$R$11,$F32),MIN(G32-INDEX(Accounts!$R$2:$R$11,$F32),INDEX(Accounts!$Q$2:$Q$11,$F32)+INDEX(Accounts!$S$2:$S$11,$F32))))),"")</f>
        <v/>
      </c>
      <c r="I32" s="16">
        <f>IF(AND($A32="",$B32="",$C32="",$D32="",$E32=""),"",IF(OR($A32="",$F32=""),"UNKNOWN_ACCOUNT",IF(OR($B32="",$C32=""),"INCOMPLETE",IFERROR(IF(OR(NOT(ISNUMBER($B32)),NOT(ISNUMBER($C32)),IF(C32="",FALSE,IF(ISNUMBER(C32),OR(C32&lt;=0,C32&gt;100000000,ROUND(C32*100,6)&lt;&gt;INT(ROUND(C32*100,6))),TRUE)),IF(D32="",FALSE,IF(ISNUMBER(D32),OR(D32&lt;=0,D32&gt;100000000,ROUND(D32*100,6)&lt;&gt;INT(ROUND(D32*100,6))),TRUE)),IF(E32="",FALSE,IF(ISNUMBER(E32),OR(E32&lt;=0,E32&gt;100000000,ROUND(E32*100,6)&lt;&gt;INT(ROUND(E32*100,6))),TRUE)),AND($D32&lt;&gt;"",$D32&lt;MAX($C32,$E32)),AND($E32&lt;&gt;"",$E32&gt;MIN($C32,IF($D32="",$C32,$D32))),COUNTIFS($A$2:$A$1001,$A32,$B$2:$B$1001,$B32)&gt;1),"INVALID",IFERROR(IF(IF(INDEX(Accounts!$T$2:$T$11,$F32),ROUND(IF($E32="",$C32,MIN($C32,$E32))-(H32),6)&lt;=0,ROUND(IF($E32="",$C32,MIN($C32,$E32))-(H32),6)&lt;0),"BREACHED","OK"),"INCOMPLETE")),"INVALID"))))</f>
        <v/>
      </c>
      <c r="J32" s="33">
        <f>IF(OR(I32="OK",I32="BREACHED"),-INT(ROUND(-(H32)*100,6))/100,I32)</f>
        <v/>
      </c>
    </row>
    <row r="33" ht="18" customHeight="1">
      <c r="A33" s="9" t="n"/>
      <c r="B33" s="32" t="n"/>
      <c r="C33" s="12" t="n"/>
      <c r="D33" s="12" t="n"/>
      <c r="E33" s="12" t="n"/>
      <c r="F33" s="15">
        <f>IFERROR(MATCH($A33,Accounts!$A$2:$A$11,0),"")</f>
        <v/>
      </c>
      <c r="G33" s="14">
        <f>IFERROR(IF(OR($A33="",$F33=""),"",IF(INDEX(Accounts!$P$2:$P$11,$F33)="static",INDEX(Accounts!$Q$2:$Q$11,$F33),IF(INDEX(Accounts!$P$2:$P$11,$F33)="eod_trailing",MAX(INDEX(Accounts!$Q$2:$Q$11,$F33),_xlfn.MAXIFS($C$2:$C$1001,$A$2:$A$1001,$A33,$B$2:$B$1001,"&lt;"&amp;$B33)),MAX(INDEX(Accounts!$Q$2:$Q$11,$F33),_xlfn.MAXIFS($C$2:$C$1001,$A$2:$A$1001,$A33,$B$2:$B$1001,"&lt;"&amp;$B33),_xlfn.MAXIFS($D$2:$D$1001,$A$2:$A$1001,$A33,$B$2:$B$1001,"&lt;="&amp;$B33),$C33)))),"")</f>
        <v/>
      </c>
      <c r="H33" s="15">
        <f>IFERROR(IF(G33="","",IF(INDEX(Accounts!$P$2:$P$11,$F33)="static",INDEX(Accounts!$Q$2:$Q$11,$F33)-INDEX(Accounts!$R$2:$R$11,$F33),IF(INDEX(Accounts!$S$2:$S$11,$F33)="NONE",G33-INDEX(Accounts!$R$2:$R$11,$F33),MIN(G33-INDEX(Accounts!$R$2:$R$11,$F33),INDEX(Accounts!$Q$2:$Q$11,$F33)+INDEX(Accounts!$S$2:$S$11,$F33))))),"")</f>
        <v/>
      </c>
      <c r="I33" s="16">
        <f>IF(AND($A33="",$B33="",$C33="",$D33="",$E33=""),"",IF(OR($A33="",$F33=""),"UNKNOWN_ACCOUNT",IF(OR($B33="",$C33=""),"INCOMPLETE",IFERROR(IF(OR(NOT(ISNUMBER($B33)),NOT(ISNUMBER($C33)),IF(C33="",FALSE,IF(ISNUMBER(C33),OR(C33&lt;=0,C33&gt;100000000,ROUND(C33*100,6)&lt;&gt;INT(ROUND(C33*100,6))),TRUE)),IF(D33="",FALSE,IF(ISNUMBER(D33),OR(D33&lt;=0,D33&gt;100000000,ROUND(D33*100,6)&lt;&gt;INT(ROUND(D33*100,6))),TRUE)),IF(E33="",FALSE,IF(ISNUMBER(E33),OR(E33&lt;=0,E33&gt;100000000,ROUND(E33*100,6)&lt;&gt;INT(ROUND(E33*100,6))),TRUE)),AND($D33&lt;&gt;"",$D33&lt;MAX($C33,$E33)),AND($E33&lt;&gt;"",$E33&gt;MIN($C33,IF($D33="",$C33,$D33))),COUNTIFS($A$2:$A$1001,$A33,$B$2:$B$1001,$B33)&gt;1),"INVALID",IFERROR(IF(IF(INDEX(Accounts!$T$2:$T$11,$F33),ROUND(IF($E33="",$C33,MIN($C33,$E33))-(H33),6)&lt;=0,ROUND(IF($E33="",$C33,MIN($C33,$E33))-(H33),6)&lt;0),"BREACHED","OK"),"INCOMPLETE")),"INVALID"))))</f>
        <v/>
      </c>
      <c r="J33" s="33">
        <f>IF(OR(I33="OK",I33="BREACHED"),-INT(ROUND(-(H33)*100,6))/100,I33)</f>
        <v/>
      </c>
    </row>
    <row r="34" ht="18" customHeight="1">
      <c r="A34" s="9" t="n"/>
      <c r="B34" s="32" t="n"/>
      <c r="C34" s="12" t="n"/>
      <c r="D34" s="12" t="n"/>
      <c r="E34" s="12" t="n"/>
      <c r="F34" s="15">
        <f>IFERROR(MATCH($A34,Accounts!$A$2:$A$11,0),"")</f>
        <v/>
      </c>
      <c r="G34" s="14">
        <f>IFERROR(IF(OR($A34="",$F34=""),"",IF(INDEX(Accounts!$P$2:$P$11,$F34)="static",INDEX(Accounts!$Q$2:$Q$11,$F34),IF(INDEX(Accounts!$P$2:$P$11,$F34)="eod_trailing",MAX(INDEX(Accounts!$Q$2:$Q$11,$F34),_xlfn.MAXIFS($C$2:$C$1001,$A$2:$A$1001,$A34,$B$2:$B$1001,"&lt;"&amp;$B34)),MAX(INDEX(Accounts!$Q$2:$Q$11,$F34),_xlfn.MAXIFS($C$2:$C$1001,$A$2:$A$1001,$A34,$B$2:$B$1001,"&lt;"&amp;$B34),_xlfn.MAXIFS($D$2:$D$1001,$A$2:$A$1001,$A34,$B$2:$B$1001,"&lt;="&amp;$B34),$C34)))),"")</f>
        <v/>
      </c>
      <c r="H34" s="15">
        <f>IFERROR(IF(G34="","",IF(INDEX(Accounts!$P$2:$P$11,$F34)="static",INDEX(Accounts!$Q$2:$Q$11,$F34)-INDEX(Accounts!$R$2:$R$11,$F34),IF(INDEX(Accounts!$S$2:$S$11,$F34)="NONE",G34-INDEX(Accounts!$R$2:$R$11,$F34),MIN(G34-INDEX(Accounts!$R$2:$R$11,$F34),INDEX(Accounts!$Q$2:$Q$11,$F34)+INDEX(Accounts!$S$2:$S$11,$F34))))),"")</f>
        <v/>
      </c>
      <c r="I34" s="16">
        <f>IF(AND($A34="",$B34="",$C34="",$D34="",$E34=""),"",IF(OR($A34="",$F34=""),"UNKNOWN_ACCOUNT",IF(OR($B34="",$C34=""),"INCOMPLETE",IFERROR(IF(OR(NOT(ISNUMBER($B34)),NOT(ISNUMBER($C34)),IF(C34="",FALSE,IF(ISNUMBER(C34),OR(C34&lt;=0,C34&gt;100000000,ROUND(C34*100,6)&lt;&gt;INT(ROUND(C34*100,6))),TRUE)),IF(D34="",FALSE,IF(ISNUMBER(D34),OR(D34&lt;=0,D34&gt;100000000,ROUND(D34*100,6)&lt;&gt;INT(ROUND(D34*100,6))),TRUE)),IF(E34="",FALSE,IF(ISNUMBER(E34),OR(E34&lt;=0,E34&gt;100000000,ROUND(E34*100,6)&lt;&gt;INT(ROUND(E34*100,6))),TRUE)),AND($D34&lt;&gt;"",$D34&lt;MAX($C34,$E34)),AND($E34&lt;&gt;"",$E34&gt;MIN($C34,IF($D34="",$C34,$D34))),COUNTIFS($A$2:$A$1001,$A34,$B$2:$B$1001,$B34)&gt;1),"INVALID",IFERROR(IF(IF(INDEX(Accounts!$T$2:$T$11,$F34),ROUND(IF($E34="",$C34,MIN($C34,$E34))-(H34),6)&lt;=0,ROUND(IF($E34="",$C34,MIN($C34,$E34))-(H34),6)&lt;0),"BREACHED","OK"),"INCOMPLETE")),"INVALID"))))</f>
        <v/>
      </c>
      <c r="J34" s="33">
        <f>IF(OR(I34="OK",I34="BREACHED"),-INT(ROUND(-(H34)*100,6))/100,I34)</f>
        <v/>
      </c>
    </row>
    <row r="35" ht="18" customHeight="1">
      <c r="A35" s="9" t="n"/>
      <c r="B35" s="32" t="n"/>
      <c r="C35" s="12" t="n"/>
      <c r="D35" s="12" t="n"/>
      <c r="E35" s="12" t="n"/>
      <c r="F35" s="15">
        <f>IFERROR(MATCH($A35,Accounts!$A$2:$A$11,0),"")</f>
        <v/>
      </c>
      <c r="G35" s="14">
        <f>IFERROR(IF(OR($A35="",$F35=""),"",IF(INDEX(Accounts!$P$2:$P$11,$F35)="static",INDEX(Accounts!$Q$2:$Q$11,$F35),IF(INDEX(Accounts!$P$2:$P$11,$F35)="eod_trailing",MAX(INDEX(Accounts!$Q$2:$Q$11,$F35),_xlfn.MAXIFS($C$2:$C$1001,$A$2:$A$1001,$A35,$B$2:$B$1001,"&lt;"&amp;$B35)),MAX(INDEX(Accounts!$Q$2:$Q$11,$F35),_xlfn.MAXIFS($C$2:$C$1001,$A$2:$A$1001,$A35,$B$2:$B$1001,"&lt;"&amp;$B35),_xlfn.MAXIFS($D$2:$D$1001,$A$2:$A$1001,$A35,$B$2:$B$1001,"&lt;="&amp;$B35),$C35)))),"")</f>
        <v/>
      </c>
      <c r="H35" s="15">
        <f>IFERROR(IF(G35="","",IF(INDEX(Accounts!$P$2:$P$11,$F35)="static",INDEX(Accounts!$Q$2:$Q$11,$F35)-INDEX(Accounts!$R$2:$R$11,$F35),IF(INDEX(Accounts!$S$2:$S$11,$F35)="NONE",G35-INDEX(Accounts!$R$2:$R$11,$F35),MIN(G35-INDEX(Accounts!$R$2:$R$11,$F35),INDEX(Accounts!$Q$2:$Q$11,$F35)+INDEX(Accounts!$S$2:$S$11,$F35))))),"")</f>
        <v/>
      </c>
      <c r="I35" s="16">
        <f>IF(AND($A35="",$B35="",$C35="",$D35="",$E35=""),"",IF(OR($A35="",$F35=""),"UNKNOWN_ACCOUNT",IF(OR($B35="",$C35=""),"INCOMPLETE",IFERROR(IF(OR(NOT(ISNUMBER($B35)),NOT(ISNUMBER($C35)),IF(C35="",FALSE,IF(ISNUMBER(C35),OR(C35&lt;=0,C35&gt;100000000,ROUND(C35*100,6)&lt;&gt;INT(ROUND(C35*100,6))),TRUE)),IF(D35="",FALSE,IF(ISNUMBER(D35),OR(D35&lt;=0,D35&gt;100000000,ROUND(D35*100,6)&lt;&gt;INT(ROUND(D35*100,6))),TRUE)),IF(E35="",FALSE,IF(ISNUMBER(E35),OR(E35&lt;=0,E35&gt;100000000,ROUND(E35*100,6)&lt;&gt;INT(ROUND(E35*100,6))),TRUE)),AND($D35&lt;&gt;"",$D35&lt;MAX($C35,$E35)),AND($E35&lt;&gt;"",$E35&gt;MIN($C35,IF($D35="",$C35,$D35))),COUNTIFS($A$2:$A$1001,$A35,$B$2:$B$1001,$B35)&gt;1),"INVALID",IFERROR(IF(IF(INDEX(Accounts!$T$2:$T$11,$F35),ROUND(IF($E35="",$C35,MIN($C35,$E35))-(H35),6)&lt;=0,ROUND(IF($E35="",$C35,MIN($C35,$E35))-(H35),6)&lt;0),"BREACHED","OK"),"INCOMPLETE")),"INVALID"))))</f>
        <v/>
      </c>
      <c r="J35" s="33">
        <f>IF(OR(I35="OK",I35="BREACHED"),-INT(ROUND(-(H35)*100,6))/100,I35)</f>
        <v/>
      </c>
    </row>
    <row r="36" ht="18" customHeight="1">
      <c r="A36" s="9" t="n"/>
      <c r="B36" s="32" t="n"/>
      <c r="C36" s="12" t="n"/>
      <c r="D36" s="12" t="n"/>
      <c r="E36" s="12" t="n"/>
      <c r="F36" s="15">
        <f>IFERROR(MATCH($A36,Accounts!$A$2:$A$11,0),"")</f>
        <v/>
      </c>
      <c r="G36" s="14">
        <f>IFERROR(IF(OR($A36="",$F36=""),"",IF(INDEX(Accounts!$P$2:$P$11,$F36)="static",INDEX(Accounts!$Q$2:$Q$11,$F36),IF(INDEX(Accounts!$P$2:$P$11,$F36)="eod_trailing",MAX(INDEX(Accounts!$Q$2:$Q$11,$F36),_xlfn.MAXIFS($C$2:$C$1001,$A$2:$A$1001,$A36,$B$2:$B$1001,"&lt;"&amp;$B36)),MAX(INDEX(Accounts!$Q$2:$Q$11,$F36),_xlfn.MAXIFS($C$2:$C$1001,$A$2:$A$1001,$A36,$B$2:$B$1001,"&lt;"&amp;$B36),_xlfn.MAXIFS($D$2:$D$1001,$A$2:$A$1001,$A36,$B$2:$B$1001,"&lt;="&amp;$B36),$C36)))),"")</f>
        <v/>
      </c>
      <c r="H36" s="15">
        <f>IFERROR(IF(G36="","",IF(INDEX(Accounts!$P$2:$P$11,$F36)="static",INDEX(Accounts!$Q$2:$Q$11,$F36)-INDEX(Accounts!$R$2:$R$11,$F36),IF(INDEX(Accounts!$S$2:$S$11,$F36)="NONE",G36-INDEX(Accounts!$R$2:$R$11,$F36),MIN(G36-INDEX(Accounts!$R$2:$R$11,$F36),INDEX(Accounts!$Q$2:$Q$11,$F36)+INDEX(Accounts!$S$2:$S$11,$F36))))),"")</f>
        <v/>
      </c>
      <c r="I36" s="16">
        <f>IF(AND($A36="",$B36="",$C36="",$D36="",$E36=""),"",IF(OR($A36="",$F36=""),"UNKNOWN_ACCOUNT",IF(OR($B36="",$C36=""),"INCOMPLETE",IFERROR(IF(OR(NOT(ISNUMBER($B36)),NOT(ISNUMBER($C36)),IF(C36="",FALSE,IF(ISNUMBER(C36),OR(C36&lt;=0,C36&gt;100000000,ROUND(C36*100,6)&lt;&gt;INT(ROUND(C36*100,6))),TRUE)),IF(D36="",FALSE,IF(ISNUMBER(D36),OR(D36&lt;=0,D36&gt;100000000,ROUND(D36*100,6)&lt;&gt;INT(ROUND(D36*100,6))),TRUE)),IF(E36="",FALSE,IF(ISNUMBER(E36),OR(E36&lt;=0,E36&gt;100000000,ROUND(E36*100,6)&lt;&gt;INT(ROUND(E36*100,6))),TRUE)),AND($D36&lt;&gt;"",$D36&lt;MAX($C36,$E36)),AND($E36&lt;&gt;"",$E36&gt;MIN($C36,IF($D36="",$C36,$D36))),COUNTIFS($A$2:$A$1001,$A36,$B$2:$B$1001,$B36)&gt;1),"INVALID",IFERROR(IF(IF(INDEX(Accounts!$T$2:$T$11,$F36),ROUND(IF($E36="",$C36,MIN($C36,$E36))-(H36),6)&lt;=0,ROUND(IF($E36="",$C36,MIN($C36,$E36))-(H36),6)&lt;0),"BREACHED","OK"),"INCOMPLETE")),"INVALID"))))</f>
        <v/>
      </c>
      <c r="J36" s="33">
        <f>IF(OR(I36="OK",I36="BREACHED"),-INT(ROUND(-(H36)*100,6))/100,I36)</f>
        <v/>
      </c>
    </row>
    <row r="37" ht="18" customHeight="1">
      <c r="A37" s="9" t="n"/>
      <c r="B37" s="32" t="n"/>
      <c r="C37" s="12" t="n"/>
      <c r="D37" s="12" t="n"/>
      <c r="E37" s="12" t="n"/>
      <c r="F37" s="15">
        <f>IFERROR(MATCH($A37,Accounts!$A$2:$A$11,0),"")</f>
        <v/>
      </c>
      <c r="G37" s="14">
        <f>IFERROR(IF(OR($A37="",$F37=""),"",IF(INDEX(Accounts!$P$2:$P$11,$F37)="static",INDEX(Accounts!$Q$2:$Q$11,$F37),IF(INDEX(Accounts!$P$2:$P$11,$F37)="eod_trailing",MAX(INDEX(Accounts!$Q$2:$Q$11,$F37),_xlfn.MAXIFS($C$2:$C$1001,$A$2:$A$1001,$A37,$B$2:$B$1001,"&lt;"&amp;$B37)),MAX(INDEX(Accounts!$Q$2:$Q$11,$F37),_xlfn.MAXIFS($C$2:$C$1001,$A$2:$A$1001,$A37,$B$2:$B$1001,"&lt;"&amp;$B37),_xlfn.MAXIFS($D$2:$D$1001,$A$2:$A$1001,$A37,$B$2:$B$1001,"&lt;="&amp;$B37),$C37)))),"")</f>
        <v/>
      </c>
      <c r="H37" s="15">
        <f>IFERROR(IF(G37="","",IF(INDEX(Accounts!$P$2:$P$11,$F37)="static",INDEX(Accounts!$Q$2:$Q$11,$F37)-INDEX(Accounts!$R$2:$R$11,$F37),IF(INDEX(Accounts!$S$2:$S$11,$F37)="NONE",G37-INDEX(Accounts!$R$2:$R$11,$F37),MIN(G37-INDEX(Accounts!$R$2:$R$11,$F37),INDEX(Accounts!$Q$2:$Q$11,$F37)+INDEX(Accounts!$S$2:$S$11,$F37))))),"")</f>
        <v/>
      </c>
      <c r="I37" s="16">
        <f>IF(AND($A37="",$B37="",$C37="",$D37="",$E37=""),"",IF(OR($A37="",$F37=""),"UNKNOWN_ACCOUNT",IF(OR($B37="",$C37=""),"INCOMPLETE",IFERROR(IF(OR(NOT(ISNUMBER($B37)),NOT(ISNUMBER($C37)),IF(C37="",FALSE,IF(ISNUMBER(C37),OR(C37&lt;=0,C37&gt;100000000,ROUND(C37*100,6)&lt;&gt;INT(ROUND(C37*100,6))),TRUE)),IF(D37="",FALSE,IF(ISNUMBER(D37),OR(D37&lt;=0,D37&gt;100000000,ROUND(D37*100,6)&lt;&gt;INT(ROUND(D37*100,6))),TRUE)),IF(E37="",FALSE,IF(ISNUMBER(E37),OR(E37&lt;=0,E37&gt;100000000,ROUND(E37*100,6)&lt;&gt;INT(ROUND(E37*100,6))),TRUE)),AND($D37&lt;&gt;"",$D37&lt;MAX($C37,$E37)),AND($E37&lt;&gt;"",$E37&gt;MIN($C37,IF($D37="",$C37,$D37))),COUNTIFS($A$2:$A$1001,$A37,$B$2:$B$1001,$B37)&gt;1),"INVALID",IFERROR(IF(IF(INDEX(Accounts!$T$2:$T$11,$F37),ROUND(IF($E37="",$C37,MIN($C37,$E37))-(H37),6)&lt;=0,ROUND(IF($E37="",$C37,MIN($C37,$E37))-(H37),6)&lt;0),"BREACHED","OK"),"INCOMPLETE")),"INVALID"))))</f>
        <v/>
      </c>
      <c r="J37" s="33">
        <f>IF(OR(I37="OK",I37="BREACHED"),-INT(ROUND(-(H37)*100,6))/100,I37)</f>
        <v/>
      </c>
    </row>
    <row r="38" ht="18" customHeight="1">
      <c r="A38" s="9" t="n"/>
      <c r="B38" s="32" t="n"/>
      <c r="C38" s="12" t="n"/>
      <c r="D38" s="12" t="n"/>
      <c r="E38" s="12" t="n"/>
      <c r="F38" s="15">
        <f>IFERROR(MATCH($A38,Accounts!$A$2:$A$11,0),"")</f>
        <v/>
      </c>
      <c r="G38" s="14">
        <f>IFERROR(IF(OR($A38="",$F38=""),"",IF(INDEX(Accounts!$P$2:$P$11,$F38)="static",INDEX(Accounts!$Q$2:$Q$11,$F38),IF(INDEX(Accounts!$P$2:$P$11,$F38)="eod_trailing",MAX(INDEX(Accounts!$Q$2:$Q$11,$F38),_xlfn.MAXIFS($C$2:$C$1001,$A$2:$A$1001,$A38,$B$2:$B$1001,"&lt;"&amp;$B38)),MAX(INDEX(Accounts!$Q$2:$Q$11,$F38),_xlfn.MAXIFS($C$2:$C$1001,$A$2:$A$1001,$A38,$B$2:$B$1001,"&lt;"&amp;$B38),_xlfn.MAXIFS($D$2:$D$1001,$A$2:$A$1001,$A38,$B$2:$B$1001,"&lt;="&amp;$B38),$C38)))),"")</f>
        <v/>
      </c>
      <c r="H38" s="15">
        <f>IFERROR(IF(G38="","",IF(INDEX(Accounts!$P$2:$P$11,$F38)="static",INDEX(Accounts!$Q$2:$Q$11,$F38)-INDEX(Accounts!$R$2:$R$11,$F38),IF(INDEX(Accounts!$S$2:$S$11,$F38)="NONE",G38-INDEX(Accounts!$R$2:$R$11,$F38),MIN(G38-INDEX(Accounts!$R$2:$R$11,$F38),INDEX(Accounts!$Q$2:$Q$11,$F38)+INDEX(Accounts!$S$2:$S$11,$F38))))),"")</f>
        <v/>
      </c>
      <c r="I38" s="16">
        <f>IF(AND($A38="",$B38="",$C38="",$D38="",$E38=""),"",IF(OR($A38="",$F38=""),"UNKNOWN_ACCOUNT",IF(OR($B38="",$C38=""),"INCOMPLETE",IFERROR(IF(OR(NOT(ISNUMBER($B38)),NOT(ISNUMBER($C38)),IF(C38="",FALSE,IF(ISNUMBER(C38),OR(C38&lt;=0,C38&gt;100000000,ROUND(C38*100,6)&lt;&gt;INT(ROUND(C38*100,6))),TRUE)),IF(D38="",FALSE,IF(ISNUMBER(D38),OR(D38&lt;=0,D38&gt;100000000,ROUND(D38*100,6)&lt;&gt;INT(ROUND(D38*100,6))),TRUE)),IF(E38="",FALSE,IF(ISNUMBER(E38),OR(E38&lt;=0,E38&gt;100000000,ROUND(E38*100,6)&lt;&gt;INT(ROUND(E38*100,6))),TRUE)),AND($D38&lt;&gt;"",$D38&lt;MAX($C38,$E38)),AND($E38&lt;&gt;"",$E38&gt;MIN($C38,IF($D38="",$C38,$D38))),COUNTIFS($A$2:$A$1001,$A38,$B$2:$B$1001,$B38)&gt;1),"INVALID",IFERROR(IF(IF(INDEX(Accounts!$T$2:$T$11,$F38),ROUND(IF($E38="",$C38,MIN($C38,$E38))-(H38),6)&lt;=0,ROUND(IF($E38="",$C38,MIN($C38,$E38))-(H38),6)&lt;0),"BREACHED","OK"),"INCOMPLETE")),"INVALID"))))</f>
        <v/>
      </c>
      <c r="J38" s="33">
        <f>IF(OR(I38="OK",I38="BREACHED"),-INT(ROUND(-(H38)*100,6))/100,I38)</f>
        <v/>
      </c>
    </row>
    <row r="39" ht="18" customHeight="1">
      <c r="A39" s="9" t="n"/>
      <c r="B39" s="32" t="n"/>
      <c r="C39" s="12" t="n"/>
      <c r="D39" s="12" t="n"/>
      <c r="E39" s="12" t="n"/>
      <c r="F39" s="15">
        <f>IFERROR(MATCH($A39,Accounts!$A$2:$A$11,0),"")</f>
        <v/>
      </c>
      <c r="G39" s="14">
        <f>IFERROR(IF(OR($A39="",$F39=""),"",IF(INDEX(Accounts!$P$2:$P$11,$F39)="static",INDEX(Accounts!$Q$2:$Q$11,$F39),IF(INDEX(Accounts!$P$2:$P$11,$F39)="eod_trailing",MAX(INDEX(Accounts!$Q$2:$Q$11,$F39),_xlfn.MAXIFS($C$2:$C$1001,$A$2:$A$1001,$A39,$B$2:$B$1001,"&lt;"&amp;$B39)),MAX(INDEX(Accounts!$Q$2:$Q$11,$F39),_xlfn.MAXIFS($C$2:$C$1001,$A$2:$A$1001,$A39,$B$2:$B$1001,"&lt;"&amp;$B39),_xlfn.MAXIFS($D$2:$D$1001,$A$2:$A$1001,$A39,$B$2:$B$1001,"&lt;="&amp;$B39),$C39)))),"")</f>
        <v/>
      </c>
      <c r="H39" s="15">
        <f>IFERROR(IF(G39="","",IF(INDEX(Accounts!$P$2:$P$11,$F39)="static",INDEX(Accounts!$Q$2:$Q$11,$F39)-INDEX(Accounts!$R$2:$R$11,$F39),IF(INDEX(Accounts!$S$2:$S$11,$F39)="NONE",G39-INDEX(Accounts!$R$2:$R$11,$F39),MIN(G39-INDEX(Accounts!$R$2:$R$11,$F39),INDEX(Accounts!$Q$2:$Q$11,$F39)+INDEX(Accounts!$S$2:$S$11,$F39))))),"")</f>
        <v/>
      </c>
      <c r="I39" s="16">
        <f>IF(AND($A39="",$B39="",$C39="",$D39="",$E39=""),"",IF(OR($A39="",$F39=""),"UNKNOWN_ACCOUNT",IF(OR($B39="",$C39=""),"INCOMPLETE",IFERROR(IF(OR(NOT(ISNUMBER($B39)),NOT(ISNUMBER($C39)),IF(C39="",FALSE,IF(ISNUMBER(C39),OR(C39&lt;=0,C39&gt;100000000,ROUND(C39*100,6)&lt;&gt;INT(ROUND(C39*100,6))),TRUE)),IF(D39="",FALSE,IF(ISNUMBER(D39),OR(D39&lt;=0,D39&gt;100000000,ROUND(D39*100,6)&lt;&gt;INT(ROUND(D39*100,6))),TRUE)),IF(E39="",FALSE,IF(ISNUMBER(E39),OR(E39&lt;=0,E39&gt;100000000,ROUND(E39*100,6)&lt;&gt;INT(ROUND(E39*100,6))),TRUE)),AND($D39&lt;&gt;"",$D39&lt;MAX($C39,$E39)),AND($E39&lt;&gt;"",$E39&gt;MIN($C39,IF($D39="",$C39,$D39))),COUNTIFS($A$2:$A$1001,$A39,$B$2:$B$1001,$B39)&gt;1),"INVALID",IFERROR(IF(IF(INDEX(Accounts!$T$2:$T$11,$F39),ROUND(IF($E39="",$C39,MIN($C39,$E39))-(H39),6)&lt;=0,ROUND(IF($E39="",$C39,MIN($C39,$E39))-(H39),6)&lt;0),"BREACHED","OK"),"INCOMPLETE")),"INVALID"))))</f>
        <v/>
      </c>
      <c r="J39" s="33">
        <f>IF(OR(I39="OK",I39="BREACHED"),-INT(ROUND(-(H39)*100,6))/100,I39)</f>
        <v/>
      </c>
    </row>
    <row r="40" ht="18" customHeight="1">
      <c r="A40" s="9" t="n"/>
      <c r="B40" s="32" t="n"/>
      <c r="C40" s="12" t="n"/>
      <c r="D40" s="12" t="n"/>
      <c r="E40" s="12" t="n"/>
      <c r="F40" s="15">
        <f>IFERROR(MATCH($A40,Accounts!$A$2:$A$11,0),"")</f>
        <v/>
      </c>
      <c r="G40" s="14">
        <f>IFERROR(IF(OR($A40="",$F40=""),"",IF(INDEX(Accounts!$P$2:$P$11,$F40)="static",INDEX(Accounts!$Q$2:$Q$11,$F40),IF(INDEX(Accounts!$P$2:$P$11,$F40)="eod_trailing",MAX(INDEX(Accounts!$Q$2:$Q$11,$F40),_xlfn.MAXIFS($C$2:$C$1001,$A$2:$A$1001,$A40,$B$2:$B$1001,"&lt;"&amp;$B40)),MAX(INDEX(Accounts!$Q$2:$Q$11,$F40),_xlfn.MAXIFS($C$2:$C$1001,$A$2:$A$1001,$A40,$B$2:$B$1001,"&lt;"&amp;$B40),_xlfn.MAXIFS($D$2:$D$1001,$A$2:$A$1001,$A40,$B$2:$B$1001,"&lt;="&amp;$B40),$C40)))),"")</f>
        <v/>
      </c>
      <c r="H40" s="15">
        <f>IFERROR(IF(G40="","",IF(INDEX(Accounts!$P$2:$P$11,$F40)="static",INDEX(Accounts!$Q$2:$Q$11,$F40)-INDEX(Accounts!$R$2:$R$11,$F40),IF(INDEX(Accounts!$S$2:$S$11,$F40)="NONE",G40-INDEX(Accounts!$R$2:$R$11,$F40),MIN(G40-INDEX(Accounts!$R$2:$R$11,$F40),INDEX(Accounts!$Q$2:$Q$11,$F40)+INDEX(Accounts!$S$2:$S$11,$F40))))),"")</f>
        <v/>
      </c>
      <c r="I40" s="16">
        <f>IF(AND($A40="",$B40="",$C40="",$D40="",$E40=""),"",IF(OR($A40="",$F40=""),"UNKNOWN_ACCOUNT",IF(OR($B40="",$C40=""),"INCOMPLETE",IFERROR(IF(OR(NOT(ISNUMBER($B40)),NOT(ISNUMBER($C40)),IF(C40="",FALSE,IF(ISNUMBER(C40),OR(C40&lt;=0,C40&gt;100000000,ROUND(C40*100,6)&lt;&gt;INT(ROUND(C40*100,6))),TRUE)),IF(D40="",FALSE,IF(ISNUMBER(D40),OR(D40&lt;=0,D40&gt;100000000,ROUND(D40*100,6)&lt;&gt;INT(ROUND(D40*100,6))),TRUE)),IF(E40="",FALSE,IF(ISNUMBER(E40),OR(E40&lt;=0,E40&gt;100000000,ROUND(E40*100,6)&lt;&gt;INT(ROUND(E40*100,6))),TRUE)),AND($D40&lt;&gt;"",$D40&lt;MAX($C40,$E40)),AND($E40&lt;&gt;"",$E40&gt;MIN($C40,IF($D40="",$C40,$D40))),COUNTIFS($A$2:$A$1001,$A40,$B$2:$B$1001,$B40)&gt;1),"INVALID",IFERROR(IF(IF(INDEX(Accounts!$T$2:$T$11,$F40),ROUND(IF($E40="",$C40,MIN($C40,$E40))-(H40),6)&lt;=0,ROUND(IF($E40="",$C40,MIN($C40,$E40))-(H40),6)&lt;0),"BREACHED","OK"),"INCOMPLETE")),"INVALID"))))</f>
        <v/>
      </c>
      <c r="J40" s="33">
        <f>IF(OR(I40="OK",I40="BREACHED"),-INT(ROUND(-(H40)*100,6))/100,I40)</f>
        <v/>
      </c>
    </row>
    <row r="41" ht="18" customHeight="1">
      <c r="A41" s="9" t="n"/>
      <c r="B41" s="32" t="n"/>
      <c r="C41" s="12" t="n"/>
      <c r="D41" s="12" t="n"/>
      <c r="E41" s="12" t="n"/>
      <c r="F41" s="15">
        <f>IFERROR(MATCH($A41,Accounts!$A$2:$A$11,0),"")</f>
        <v/>
      </c>
      <c r="G41" s="14">
        <f>IFERROR(IF(OR($A41="",$F41=""),"",IF(INDEX(Accounts!$P$2:$P$11,$F41)="static",INDEX(Accounts!$Q$2:$Q$11,$F41),IF(INDEX(Accounts!$P$2:$P$11,$F41)="eod_trailing",MAX(INDEX(Accounts!$Q$2:$Q$11,$F41),_xlfn.MAXIFS($C$2:$C$1001,$A$2:$A$1001,$A41,$B$2:$B$1001,"&lt;"&amp;$B41)),MAX(INDEX(Accounts!$Q$2:$Q$11,$F41),_xlfn.MAXIFS($C$2:$C$1001,$A$2:$A$1001,$A41,$B$2:$B$1001,"&lt;"&amp;$B41),_xlfn.MAXIFS($D$2:$D$1001,$A$2:$A$1001,$A41,$B$2:$B$1001,"&lt;="&amp;$B41),$C41)))),"")</f>
        <v/>
      </c>
      <c r="H41" s="15">
        <f>IFERROR(IF(G41="","",IF(INDEX(Accounts!$P$2:$P$11,$F41)="static",INDEX(Accounts!$Q$2:$Q$11,$F41)-INDEX(Accounts!$R$2:$R$11,$F41),IF(INDEX(Accounts!$S$2:$S$11,$F41)="NONE",G41-INDEX(Accounts!$R$2:$R$11,$F41),MIN(G41-INDEX(Accounts!$R$2:$R$11,$F41),INDEX(Accounts!$Q$2:$Q$11,$F41)+INDEX(Accounts!$S$2:$S$11,$F41))))),"")</f>
        <v/>
      </c>
      <c r="I41" s="16">
        <f>IF(AND($A41="",$B41="",$C41="",$D41="",$E41=""),"",IF(OR($A41="",$F41=""),"UNKNOWN_ACCOUNT",IF(OR($B41="",$C41=""),"INCOMPLETE",IFERROR(IF(OR(NOT(ISNUMBER($B41)),NOT(ISNUMBER($C41)),IF(C41="",FALSE,IF(ISNUMBER(C41),OR(C41&lt;=0,C41&gt;100000000,ROUND(C41*100,6)&lt;&gt;INT(ROUND(C41*100,6))),TRUE)),IF(D41="",FALSE,IF(ISNUMBER(D41),OR(D41&lt;=0,D41&gt;100000000,ROUND(D41*100,6)&lt;&gt;INT(ROUND(D41*100,6))),TRUE)),IF(E41="",FALSE,IF(ISNUMBER(E41),OR(E41&lt;=0,E41&gt;100000000,ROUND(E41*100,6)&lt;&gt;INT(ROUND(E41*100,6))),TRUE)),AND($D41&lt;&gt;"",$D41&lt;MAX($C41,$E41)),AND($E41&lt;&gt;"",$E41&gt;MIN($C41,IF($D41="",$C41,$D41))),COUNTIFS($A$2:$A$1001,$A41,$B$2:$B$1001,$B41)&gt;1),"INVALID",IFERROR(IF(IF(INDEX(Accounts!$T$2:$T$11,$F41),ROUND(IF($E41="",$C41,MIN($C41,$E41))-(H41),6)&lt;=0,ROUND(IF($E41="",$C41,MIN($C41,$E41))-(H41),6)&lt;0),"BREACHED","OK"),"INCOMPLETE")),"INVALID"))))</f>
        <v/>
      </c>
      <c r="J41" s="33">
        <f>IF(OR(I41="OK",I41="BREACHED"),-INT(ROUND(-(H41)*100,6))/100,I41)</f>
        <v/>
      </c>
    </row>
    <row r="42" ht="18" customHeight="1">
      <c r="A42" s="9" t="n"/>
      <c r="B42" s="32" t="n"/>
      <c r="C42" s="12" t="n"/>
      <c r="D42" s="12" t="n"/>
      <c r="E42" s="12" t="n"/>
      <c r="F42" s="15">
        <f>IFERROR(MATCH($A42,Accounts!$A$2:$A$11,0),"")</f>
        <v/>
      </c>
      <c r="G42" s="14">
        <f>IFERROR(IF(OR($A42="",$F42=""),"",IF(INDEX(Accounts!$P$2:$P$11,$F42)="static",INDEX(Accounts!$Q$2:$Q$11,$F42),IF(INDEX(Accounts!$P$2:$P$11,$F42)="eod_trailing",MAX(INDEX(Accounts!$Q$2:$Q$11,$F42),_xlfn.MAXIFS($C$2:$C$1001,$A$2:$A$1001,$A42,$B$2:$B$1001,"&lt;"&amp;$B42)),MAX(INDEX(Accounts!$Q$2:$Q$11,$F42),_xlfn.MAXIFS($C$2:$C$1001,$A$2:$A$1001,$A42,$B$2:$B$1001,"&lt;"&amp;$B42),_xlfn.MAXIFS($D$2:$D$1001,$A$2:$A$1001,$A42,$B$2:$B$1001,"&lt;="&amp;$B42),$C42)))),"")</f>
        <v/>
      </c>
      <c r="H42" s="15">
        <f>IFERROR(IF(G42="","",IF(INDEX(Accounts!$P$2:$P$11,$F42)="static",INDEX(Accounts!$Q$2:$Q$11,$F42)-INDEX(Accounts!$R$2:$R$11,$F42),IF(INDEX(Accounts!$S$2:$S$11,$F42)="NONE",G42-INDEX(Accounts!$R$2:$R$11,$F42),MIN(G42-INDEX(Accounts!$R$2:$R$11,$F42),INDEX(Accounts!$Q$2:$Q$11,$F42)+INDEX(Accounts!$S$2:$S$11,$F42))))),"")</f>
        <v/>
      </c>
      <c r="I42" s="16">
        <f>IF(AND($A42="",$B42="",$C42="",$D42="",$E42=""),"",IF(OR($A42="",$F42=""),"UNKNOWN_ACCOUNT",IF(OR($B42="",$C42=""),"INCOMPLETE",IFERROR(IF(OR(NOT(ISNUMBER($B42)),NOT(ISNUMBER($C42)),IF(C42="",FALSE,IF(ISNUMBER(C42),OR(C42&lt;=0,C42&gt;100000000,ROUND(C42*100,6)&lt;&gt;INT(ROUND(C42*100,6))),TRUE)),IF(D42="",FALSE,IF(ISNUMBER(D42),OR(D42&lt;=0,D42&gt;100000000,ROUND(D42*100,6)&lt;&gt;INT(ROUND(D42*100,6))),TRUE)),IF(E42="",FALSE,IF(ISNUMBER(E42),OR(E42&lt;=0,E42&gt;100000000,ROUND(E42*100,6)&lt;&gt;INT(ROUND(E42*100,6))),TRUE)),AND($D42&lt;&gt;"",$D42&lt;MAX($C42,$E42)),AND($E42&lt;&gt;"",$E42&gt;MIN($C42,IF($D42="",$C42,$D42))),COUNTIFS($A$2:$A$1001,$A42,$B$2:$B$1001,$B42)&gt;1),"INVALID",IFERROR(IF(IF(INDEX(Accounts!$T$2:$T$11,$F42),ROUND(IF($E42="",$C42,MIN($C42,$E42))-(H42),6)&lt;=0,ROUND(IF($E42="",$C42,MIN($C42,$E42))-(H42),6)&lt;0),"BREACHED","OK"),"INCOMPLETE")),"INVALID"))))</f>
        <v/>
      </c>
      <c r="J42" s="33">
        <f>IF(OR(I42="OK",I42="BREACHED"),-INT(ROUND(-(H42)*100,6))/100,I42)</f>
        <v/>
      </c>
    </row>
    <row r="43" ht="18" customHeight="1">
      <c r="A43" s="9" t="n"/>
      <c r="B43" s="32" t="n"/>
      <c r="C43" s="12" t="n"/>
      <c r="D43" s="12" t="n"/>
      <c r="E43" s="12" t="n"/>
      <c r="F43" s="15">
        <f>IFERROR(MATCH($A43,Accounts!$A$2:$A$11,0),"")</f>
        <v/>
      </c>
      <c r="G43" s="14">
        <f>IFERROR(IF(OR($A43="",$F43=""),"",IF(INDEX(Accounts!$P$2:$P$11,$F43)="static",INDEX(Accounts!$Q$2:$Q$11,$F43),IF(INDEX(Accounts!$P$2:$P$11,$F43)="eod_trailing",MAX(INDEX(Accounts!$Q$2:$Q$11,$F43),_xlfn.MAXIFS($C$2:$C$1001,$A$2:$A$1001,$A43,$B$2:$B$1001,"&lt;"&amp;$B43)),MAX(INDEX(Accounts!$Q$2:$Q$11,$F43),_xlfn.MAXIFS($C$2:$C$1001,$A$2:$A$1001,$A43,$B$2:$B$1001,"&lt;"&amp;$B43),_xlfn.MAXIFS($D$2:$D$1001,$A$2:$A$1001,$A43,$B$2:$B$1001,"&lt;="&amp;$B43),$C43)))),"")</f>
        <v/>
      </c>
      <c r="H43" s="15">
        <f>IFERROR(IF(G43="","",IF(INDEX(Accounts!$P$2:$P$11,$F43)="static",INDEX(Accounts!$Q$2:$Q$11,$F43)-INDEX(Accounts!$R$2:$R$11,$F43),IF(INDEX(Accounts!$S$2:$S$11,$F43)="NONE",G43-INDEX(Accounts!$R$2:$R$11,$F43),MIN(G43-INDEX(Accounts!$R$2:$R$11,$F43),INDEX(Accounts!$Q$2:$Q$11,$F43)+INDEX(Accounts!$S$2:$S$11,$F43))))),"")</f>
        <v/>
      </c>
      <c r="I43" s="16">
        <f>IF(AND($A43="",$B43="",$C43="",$D43="",$E43=""),"",IF(OR($A43="",$F43=""),"UNKNOWN_ACCOUNT",IF(OR($B43="",$C43=""),"INCOMPLETE",IFERROR(IF(OR(NOT(ISNUMBER($B43)),NOT(ISNUMBER($C43)),IF(C43="",FALSE,IF(ISNUMBER(C43),OR(C43&lt;=0,C43&gt;100000000,ROUND(C43*100,6)&lt;&gt;INT(ROUND(C43*100,6))),TRUE)),IF(D43="",FALSE,IF(ISNUMBER(D43),OR(D43&lt;=0,D43&gt;100000000,ROUND(D43*100,6)&lt;&gt;INT(ROUND(D43*100,6))),TRUE)),IF(E43="",FALSE,IF(ISNUMBER(E43),OR(E43&lt;=0,E43&gt;100000000,ROUND(E43*100,6)&lt;&gt;INT(ROUND(E43*100,6))),TRUE)),AND($D43&lt;&gt;"",$D43&lt;MAX($C43,$E43)),AND($E43&lt;&gt;"",$E43&gt;MIN($C43,IF($D43="",$C43,$D43))),COUNTIFS($A$2:$A$1001,$A43,$B$2:$B$1001,$B43)&gt;1),"INVALID",IFERROR(IF(IF(INDEX(Accounts!$T$2:$T$11,$F43),ROUND(IF($E43="",$C43,MIN($C43,$E43))-(H43),6)&lt;=0,ROUND(IF($E43="",$C43,MIN($C43,$E43))-(H43),6)&lt;0),"BREACHED","OK"),"INCOMPLETE")),"INVALID"))))</f>
        <v/>
      </c>
      <c r="J43" s="33">
        <f>IF(OR(I43="OK",I43="BREACHED"),-INT(ROUND(-(H43)*100,6))/100,I43)</f>
        <v/>
      </c>
    </row>
    <row r="44" ht="18" customHeight="1">
      <c r="A44" s="9" t="n"/>
      <c r="B44" s="32" t="n"/>
      <c r="C44" s="12" t="n"/>
      <c r="D44" s="12" t="n"/>
      <c r="E44" s="12" t="n"/>
      <c r="F44" s="15">
        <f>IFERROR(MATCH($A44,Accounts!$A$2:$A$11,0),"")</f>
        <v/>
      </c>
      <c r="G44" s="14">
        <f>IFERROR(IF(OR($A44="",$F44=""),"",IF(INDEX(Accounts!$P$2:$P$11,$F44)="static",INDEX(Accounts!$Q$2:$Q$11,$F44),IF(INDEX(Accounts!$P$2:$P$11,$F44)="eod_trailing",MAX(INDEX(Accounts!$Q$2:$Q$11,$F44),_xlfn.MAXIFS($C$2:$C$1001,$A$2:$A$1001,$A44,$B$2:$B$1001,"&lt;"&amp;$B44)),MAX(INDEX(Accounts!$Q$2:$Q$11,$F44),_xlfn.MAXIFS($C$2:$C$1001,$A$2:$A$1001,$A44,$B$2:$B$1001,"&lt;"&amp;$B44),_xlfn.MAXIFS($D$2:$D$1001,$A$2:$A$1001,$A44,$B$2:$B$1001,"&lt;="&amp;$B44),$C44)))),"")</f>
        <v/>
      </c>
      <c r="H44" s="15">
        <f>IFERROR(IF(G44="","",IF(INDEX(Accounts!$P$2:$P$11,$F44)="static",INDEX(Accounts!$Q$2:$Q$11,$F44)-INDEX(Accounts!$R$2:$R$11,$F44),IF(INDEX(Accounts!$S$2:$S$11,$F44)="NONE",G44-INDEX(Accounts!$R$2:$R$11,$F44),MIN(G44-INDEX(Accounts!$R$2:$R$11,$F44),INDEX(Accounts!$Q$2:$Q$11,$F44)+INDEX(Accounts!$S$2:$S$11,$F44))))),"")</f>
        <v/>
      </c>
      <c r="I44" s="16">
        <f>IF(AND($A44="",$B44="",$C44="",$D44="",$E44=""),"",IF(OR($A44="",$F44=""),"UNKNOWN_ACCOUNT",IF(OR($B44="",$C44=""),"INCOMPLETE",IFERROR(IF(OR(NOT(ISNUMBER($B44)),NOT(ISNUMBER($C44)),IF(C44="",FALSE,IF(ISNUMBER(C44),OR(C44&lt;=0,C44&gt;100000000,ROUND(C44*100,6)&lt;&gt;INT(ROUND(C44*100,6))),TRUE)),IF(D44="",FALSE,IF(ISNUMBER(D44),OR(D44&lt;=0,D44&gt;100000000,ROUND(D44*100,6)&lt;&gt;INT(ROUND(D44*100,6))),TRUE)),IF(E44="",FALSE,IF(ISNUMBER(E44),OR(E44&lt;=0,E44&gt;100000000,ROUND(E44*100,6)&lt;&gt;INT(ROUND(E44*100,6))),TRUE)),AND($D44&lt;&gt;"",$D44&lt;MAX($C44,$E44)),AND($E44&lt;&gt;"",$E44&gt;MIN($C44,IF($D44="",$C44,$D44))),COUNTIFS($A$2:$A$1001,$A44,$B$2:$B$1001,$B44)&gt;1),"INVALID",IFERROR(IF(IF(INDEX(Accounts!$T$2:$T$11,$F44),ROUND(IF($E44="",$C44,MIN($C44,$E44))-(H44),6)&lt;=0,ROUND(IF($E44="",$C44,MIN($C44,$E44))-(H44),6)&lt;0),"BREACHED","OK"),"INCOMPLETE")),"INVALID"))))</f>
        <v/>
      </c>
      <c r="J44" s="33">
        <f>IF(OR(I44="OK",I44="BREACHED"),-INT(ROUND(-(H44)*100,6))/100,I44)</f>
        <v/>
      </c>
    </row>
    <row r="45" ht="18" customHeight="1">
      <c r="A45" s="9" t="n"/>
      <c r="B45" s="32" t="n"/>
      <c r="C45" s="12" t="n"/>
      <c r="D45" s="12" t="n"/>
      <c r="E45" s="12" t="n"/>
      <c r="F45" s="15">
        <f>IFERROR(MATCH($A45,Accounts!$A$2:$A$11,0),"")</f>
        <v/>
      </c>
      <c r="G45" s="14">
        <f>IFERROR(IF(OR($A45="",$F45=""),"",IF(INDEX(Accounts!$P$2:$P$11,$F45)="static",INDEX(Accounts!$Q$2:$Q$11,$F45),IF(INDEX(Accounts!$P$2:$P$11,$F45)="eod_trailing",MAX(INDEX(Accounts!$Q$2:$Q$11,$F45),_xlfn.MAXIFS($C$2:$C$1001,$A$2:$A$1001,$A45,$B$2:$B$1001,"&lt;"&amp;$B45)),MAX(INDEX(Accounts!$Q$2:$Q$11,$F45),_xlfn.MAXIFS($C$2:$C$1001,$A$2:$A$1001,$A45,$B$2:$B$1001,"&lt;"&amp;$B45),_xlfn.MAXIFS($D$2:$D$1001,$A$2:$A$1001,$A45,$B$2:$B$1001,"&lt;="&amp;$B45),$C45)))),"")</f>
        <v/>
      </c>
      <c r="H45" s="15">
        <f>IFERROR(IF(G45="","",IF(INDEX(Accounts!$P$2:$P$11,$F45)="static",INDEX(Accounts!$Q$2:$Q$11,$F45)-INDEX(Accounts!$R$2:$R$11,$F45),IF(INDEX(Accounts!$S$2:$S$11,$F45)="NONE",G45-INDEX(Accounts!$R$2:$R$11,$F45),MIN(G45-INDEX(Accounts!$R$2:$R$11,$F45),INDEX(Accounts!$Q$2:$Q$11,$F45)+INDEX(Accounts!$S$2:$S$11,$F45))))),"")</f>
        <v/>
      </c>
      <c r="I45" s="16">
        <f>IF(AND($A45="",$B45="",$C45="",$D45="",$E45=""),"",IF(OR($A45="",$F45=""),"UNKNOWN_ACCOUNT",IF(OR($B45="",$C45=""),"INCOMPLETE",IFERROR(IF(OR(NOT(ISNUMBER($B45)),NOT(ISNUMBER($C45)),IF(C45="",FALSE,IF(ISNUMBER(C45),OR(C45&lt;=0,C45&gt;100000000,ROUND(C45*100,6)&lt;&gt;INT(ROUND(C45*100,6))),TRUE)),IF(D45="",FALSE,IF(ISNUMBER(D45),OR(D45&lt;=0,D45&gt;100000000,ROUND(D45*100,6)&lt;&gt;INT(ROUND(D45*100,6))),TRUE)),IF(E45="",FALSE,IF(ISNUMBER(E45),OR(E45&lt;=0,E45&gt;100000000,ROUND(E45*100,6)&lt;&gt;INT(ROUND(E45*100,6))),TRUE)),AND($D45&lt;&gt;"",$D45&lt;MAX($C45,$E45)),AND($E45&lt;&gt;"",$E45&gt;MIN($C45,IF($D45="",$C45,$D45))),COUNTIFS($A$2:$A$1001,$A45,$B$2:$B$1001,$B45)&gt;1),"INVALID",IFERROR(IF(IF(INDEX(Accounts!$T$2:$T$11,$F45),ROUND(IF($E45="",$C45,MIN($C45,$E45))-(H45),6)&lt;=0,ROUND(IF($E45="",$C45,MIN($C45,$E45))-(H45),6)&lt;0),"BREACHED","OK"),"INCOMPLETE")),"INVALID"))))</f>
        <v/>
      </c>
      <c r="J45" s="33">
        <f>IF(OR(I45="OK",I45="BREACHED"),-INT(ROUND(-(H45)*100,6))/100,I45)</f>
        <v/>
      </c>
    </row>
    <row r="46" ht="18" customHeight="1">
      <c r="A46" s="9" t="n"/>
      <c r="B46" s="32" t="n"/>
      <c r="C46" s="12" t="n"/>
      <c r="D46" s="12" t="n"/>
      <c r="E46" s="12" t="n"/>
      <c r="F46" s="15">
        <f>IFERROR(MATCH($A46,Accounts!$A$2:$A$11,0),"")</f>
        <v/>
      </c>
      <c r="G46" s="14">
        <f>IFERROR(IF(OR($A46="",$F46=""),"",IF(INDEX(Accounts!$P$2:$P$11,$F46)="static",INDEX(Accounts!$Q$2:$Q$11,$F46),IF(INDEX(Accounts!$P$2:$P$11,$F46)="eod_trailing",MAX(INDEX(Accounts!$Q$2:$Q$11,$F46),_xlfn.MAXIFS($C$2:$C$1001,$A$2:$A$1001,$A46,$B$2:$B$1001,"&lt;"&amp;$B46)),MAX(INDEX(Accounts!$Q$2:$Q$11,$F46),_xlfn.MAXIFS($C$2:$C$1001,$A$2:$A$1001,$A46,$B$2:$B$1001,"&lt;"&amp;$B46),_xlfn.MAXIFS($D$2:$D$1001,$A$2:$A$1001,$A46,$B$2:$B$1001,"&lt;="&amp;$B46),$C46)))),"")</f>
        <v/>
      </c>
      <c r="H46" s="15">
        <f>IFERROR(IF(G46="","",IF(INDEX(Accounts!$P$2:$P$11,$F46)="static",INDEX(Accounts!$Q$2:$Q$11,$F46)-INDEX(Accounts!$R$2:$R$11,$F46),IF(INDEX(Accounts!$S$2:$S$11,$F46)="NONE",G46-INDEX(Accounts!$R$2:$R$11,$F46),MIN(G46-INDEX(Accounts!$R$2:$R$11,$F46),INDEX(Accounts!$Q$2:$Q$11,$F46)+INDEX(Accounts!$S$2:$S$11,$F46))))),"")</f>
        <v/>
      </c>
      <c r="I46" s="16">
        <f>IF(AND($A46="",$B46="",$C46="",$D46="",$E46=""),"",IF(OR($A46="",$F46=""),"UNKNOWN_ACCOUNT",IF(OR($B46="",$C46=""),"INCOMPLETE",IFERROR(IF(OR(NOT(ISNUMBER($B46)),NOT(ISNUMBER($C46)),IF(C46="",FALSE,IF(ISNUMBER(C46),OR(C46&lt;=0,C46&gt;100000000,ROUND(C46*100,6)&lt;&gt;INT(ROUND(C46*100,6))),TRUE)),IF(D46="",FALSE,IF(ISNUMBER(D46),OR(D46&lt;=0,D46&gt;100000000,ROUND(D46*100,6)&lt;&gt;INT(ROUND(D46*100,6))),TRUE)),IF(E46="",FALSE,IF(ISNUMBER(E46),OR(E46&lt;=0,E46&gt;100000000,ROUND(E46*100,6)&lt;&gt;INT(ROUND(E46*100,6))),TRUE)),AND($D46&lt;&gt;"",$D46&lt;MAX($C46,$E46)),AND($E46&lt;&gt;"",$E46&gt;MIN($C46,IF($D46="",$C46,$D46))),COUNTIFS($A$2:$A$1001,$A46,$B$2:$B$1001,$B46)&gt;1),"INVALID",IFERROR(IF(IF(INDEX(Accounts!$T$2:$T$11,$F46),ROUND(IF($E46="",$C46,MIN($C46,$E46))-(H46),6)&lt;=0,ROUND(IF($E46="",$C46,MIN($C46,$E46))-(H46),6)&lt;0),"BREACHED","OK"),"INCOMPLETE")),"INVALID"))))</f>
        <v/>
      </c>
      <c r="J46" s="33">
        <f>IF(OR(I46="OK",I46="BREACHED"),-INT(ROUND(-(H46)*100,6))/100,I46)</f>
        <v/>
      </c>
    </row>
    <row r="47" ht="18" customHeight="1">
      <c r="A47" s="9" t="n"/>
      <c r="B47" s="32" t="n"/>
      <c r="C47" s="12" t="n"/>
      <c r="D47" s="12" t="n"/>
      <c r="E47" s="12" t="n"/>
      <c r="F47" s="15">
        <f>IFERROR(MATCH($A47,Accounts!$A$2:$A$11,0),"")</f>
        <v/>
      </c>
      <c r="G47" s="14">
        <f>IFERROR(IF(OR($A47="",$F47=""),"",IF(INDEX(Accounts!$P$2:$P$11,$F47)="static",INDEX(Accounts!$Q$2:$Q$11,$F47),IF(INDEX(Accounts!$P$2:$P$11,$F47)="eod_trailing",MAX(INDEX(Accounts!$Q$2:$Q$11,$F47),_xlfn.MAXIFS($C$2:$C$1001,$A$2:$A$1001,$A47,$B$2:$B$1001,"&lt;"&amp;$B47)),MAX(INDEX(Accounts!$Q$2:$Q$11,$F47),_xlfn.MAXIFS($C$2:$C$1001,$A$2:$A$1001,$A47,$B$2:$B$1001,"&lt;"&amp;$B47),_xlfn.MAXIFS($D$2:$D$1001,$A$2:$A$1001,$A47,$B$2:$B$1001,"&lt;="&amp;$B47),$C47)))),"")</f>
        <v/>
      </c>
      <c r="H47" s="15">
        <f>IFERROR(IF(G47="","",IF(INDEX(Accounts!$P$2:$P$11,$F47)="static",INDEX(Accounts!$Q$2:$Q$11,$F47)-INDEX(Accounts!$R$2:$R$11,$F47),IF(INDEX(Accounts!$S$2:$S$11,$F47)="NONE",G47-INDEX(Accounts!$R$2:$R$11,$F47),MIN(G47-INDEX(Accounts!$R$2:$R$11,$F47),INDEX(Accounts!$Q$2:$Q$11,$F47)+INDEX(Accounts!$S$2:$S$11,$F47))))),"")</f>
        <v/>
      </c>
      <c r="I47" s="16">
        <f>IF(AND($A47="",$B47="",$C47="",$D47="",$E47=""),"",IF(OR($A47="",$F47=""),"UNKNOWN_ACCOUNT",IF(OR($B47="",$C47=""),"INCOMPLETE",IFERROR(IF(OR(NOT(ISNUMBER($B47)),NOT(ISNUMBER($C47)),IF(C47="",FALSE,IF(ISNUMBER(C47),OR(C47&lt;=0,C47&gt;100000000,ROUND(C47*100,6)&lt;&gt;INT(ROUND(C47*100,6))),TRUE)),IF(D47="",FALSE,IF(ISNUMBER(D47),OR(D47&lt;=0,D47&gt;100000000,ROUND(D47*100,6)&lt;&gt;INT(ROUND(D47*100,6))),TRUE)),IF(E47="",FALSE,IF(ISNUMBER(E47),OR(E47&lt;=0,E47&gt;100000000,ROUND(E47*100,6)&lt;&gt;INT(ROUND(E47*100,6))),TRUE)),AND($D47&lt;&gt;"",$D47&lt;MAX($C47,$E47)),AND($E47&lt;&gt;"",$E47&gt;MIN($C47,IF($D47="",$C47,$D47))),COUNTIFS($A$2:$A$1001,$A47,$B$2:$B$1001,$B47)&gt;1),"INVALID",IFERROR(IF(IF(INDEX(Accounts!$T$2:$T$11,$F47),ROUND(IF($E47="",$C47,MIN($C47,$E47))-(H47),6)&lt;=0,ROUND(IF($E47="",$C47,MIN($C47,$E47))-(H47),6)&lt;0),"BREACHED","OK"),"INCOMPLETE")),"INVALID"))))</f>
        <v/>
      </c>
      <c r="J47" s="33">
        <f>IF(OR(I47="OK",I47="BREACHED"),-INT(ROUND(-(H47)*100,6))/100,I47)</f>
        <v/>
      </c>
    </row>
    <row r="48" ht="18" customHeight="1">
      <c r="A48" s="9" t="n"/>
      <c r="B48" s="32" t="n"/>
      <c r="C48" s="12" t="n"/>
      <c r="D48" s="12" t="n"/>
      <c r="E48" s="12" t="n"/>
      <c r="F48" s="15">
        <f>IFERROR(MATCH($A48,Accounts!$A$2:$A$11,0),"")</f>
        <v/>
      </c>
      <c r="G48" s="14">
        <f>IFERROR(IF(OR($A48="",$F48=""),"",IF(INDEX(Accounts!$P$2:$P$11,$F48)="static",INDEX(Accounts!$Q$2:$Q$11,$F48),IF(INDEX(Accounts!$P$2:$P$11,$F48)="eod_trailing",MAX(INDEX(Accounts!$Q$2:$Q$11,$F48),_xlfn.MAXIFS($C$2:$C$1001,$A$2:$A$1001,$A48,$B$2:$B$1001,"&lt;"&amp;$B48)),MAX(INDEX(Accounts!$Q$2:$Q$11,$F48),_xlfn.MAXIFS($C$2:$C$1001,$A$2:$A$1001,$A48,$B$2:$B$1001,"&lt;"&amp;$B48),_xlfn.MAXIFS($D$2:$D$1001,$A$2:$A$1001,$A48,$B$2:$B$1001,"&lt;="&amp;$B48),$C48)))),"")</f>
        <v/>
      </c>
      <c r="H48" s="15">
        <f>IFERROR(IF(G48="","",IF(INDEX(Accounts!$P$2:$P$11,$F48)="static",INDEX(Accounts!$Q$2:$Q$11,$F48)-INDEX(Accounts!$R$2:$R$11,$F48),IF(INDEX(Accounts!$S$2:$S$11,$F48)="NONE",G48-INDEX(Accounts!$R$2:$R$11,$F48),MIN(G48-INDEX(Accounts!$R$2:$R$11,$F48),INDEX(Accounts!$Q$2:$Q$11,$F48)+INDEX(Accounts!$S$2:$S$11,$F48))))),"")</f>
        <v/>
      </c>
      <c r="I48" s="16">
        <f>IF(AND($A48="",$B48="",$C48="",$D48="",$E48=""),"",IF(OR($A48="",$F48=""),"UNKNOWN_ACCOUNT",IF(OR($B48="",$C48=""),"INCOMPLETE",IFERROR(IF(OR(NOT(ISNUMBER($B48)),NOT(ISNUMBER($C48)),IF(C48="",FALSE,IF(ISNUMBER(C48),OR(C48&lt;=0,C48&gt;100000000,ROUND(C48*100,6)&lt;&gt;INT(ROUND(C48*100,6))),TRUE)),IF(D48="",FALSE,IF(ISNUMBER(D48),OR(D48&lt;=0,D48&gt;100000000,ROUND(D48*100,6)&lt;&gt;INT(ROUND(D48*100,6))),TRUE)),IF(E48="",FALSE,IF(ISNUMBER(E48),OR(E48&lt;=0,E48&gt;100000000,ROUND(E48*100,6)&lt;&gt;INT(ROUND(E48*100,6))),TRUE)),AND($D48&lt;&gt;"",$D48&lt;MAX($C48,$E48)),AND($E48&lt;&gt;"",$E48&gt;MIN($C48,IF($D48="",$C48,$D48))),COUNTIFS($A$2:$A$1001,$A48,$B$2:$B$1001,$B48)&gt;1),"INVALID",IFERROR(IF(IF(INDEX(Accounts!$T$2:$T$11,$F48),ROUND(IF($E48="",$C48,MIN($C48,$E48))-(H48),6)&lt;=0,ROUND(IF($E48="",$C48,MIN($C48,$E48))-(H48),6)&lt;0),"BREACHED","OK"),"INCOMPLETE")),"INVALID"))))</f>
        <v/>
      </c>
      <c r="J48" s="33">
        <f>IF(OR(I48="OK",I48="BREACHED"),-INT(ROUND(-(H48)*100,6))/100,I48)</f>
        <v/>
      </c>
    </row>
    <row r="49" ht="18" customHeight="1">
      <c r="A49" s="9" t="n"/>
      <c r="B49" s="32" t="n"/>
      <c r="C49" s="12" t="n"/>
      <c r="D49" s="12" t="n"/>
      <c r="E49" s="12" t="n"/>
      <c r="F49" s="15">
        <f>IFERROR(MATCH($A49,Accounts!$A$2:$A$11,0),"")</f>
        <v/>
      </c>
      <c r="G49" s="14">
        <f>IFERROR(IF(OR($A49="",$F49=""),"",IF(INDEX(Accounts!$P$2:$P$11,$F49)="static",INDEX(Accounts!$Q$2:$Q$11,$F49),IF(INDEX(Accounts!$P$2:$P$11,$F49)="eod_trailing",MAX(INDEX(Accounts!$Q$2:$Q$11,$F49),_xlfn.MAXIFS($C$2:$C$1001,$A$2:$A$1001,$A49,$B$2:$B$1001,"&lt;"&amp;$B49)),MAX(INDEX(Accounts!$Q$2:$Q$11,$F49),_xlfn.MAXIFS($C$2:$C$1001,$A$2:$A$1001,$A49,$B$2:$B$1001,"&lt;"&amp;$B49),_xlfn.MAXIFS($D$2:$D$1001,$A$2:$A$1001,$A49,$B$2:$B$1001,"&lt;="&amp;$B49),$C49)))),"")</f>
        <v/>
      </c>
      <c r="H49" s="15">
        <f>IFERROR(IF(G49="","",IF(INDEX(Accounts!$P$2:$P$11,$F49)="static",INDEX(Accounts!$Q$2:$Q$11,$F49)-INDEX(Accounts!$R$2:$R$11,$F49),IF(INDEX(Accounts!$S$2:$S$11,$F49)="NONE",G49-INDEX(Accounts!$R$2:$R$11,$F49),MIN(G49-INDEX(Accounts!$R$2:$R$11,$F49),INDEX(Accounts!$Q$2:$Q$11,$F49)+INDEX(Accounts!$S$2:$S$11,$F49))))),"")</f>
        <v/>
      </c>
      <c r="I49" s="16">
        <f>IF(AND($A49="",$B49="",$C49="",$D49="",$E49=""),"",IF(OR($A49="",$F49=""),"UNKNOWN_ACCOUNT",IF(OR($B49="",$C49=""),"INCOMPLETE",IFERROR(IF(OR(NOT(ISNUMBER($B49)),NOT(ISNUMBER($C49)),IF(C49="",FALSE,IF(ISNUMBER(C49),OR(C49&lt;=0,C49&gt;100000000,ROUND(C49*100,6)&lt;&gt;INT(ROUND(C49*100,6))),TRUE)),IF(D49="",FALSE,IF(ISNUMBER(D49),OR(D49&lt;=0,D49&gt;100000000,ROUND(D49*100,6)&lt;&gt;INT(ROUND(D49*100,6))),TRUE)),IF(E49="",FALSE,IF(ISNUMBER(E49),OR(E49&lt;=0,E49&gt;100000000,ROUND(E49*100,6)&lt;&gt;INT(ROUND(E49*100,6))),TRUE)),AND($D49&lt;&gt;"",$D49&lt;MAX($C49,$E49)),AND($E49&lt;&gt;"",$E49&gt;MIN($C49,IF($D49="",$C49,$D49))),COUNTIFS($A$2:$A$1001,$A49,$B$2:$B$1001,$B49)&gt;1),"INVALID",IFERROR(IF(IF(INDEX(Accounts!$T$2:$T$11,$F49),ROUND(IF($E49="",$C49,MIN($C49,$E49))-(H49),6)&lt;=0,ROUND(IF($E49="",$C49,MIN($C49,$E49))-(H49),6)&lt;0),"BREACHED","OK"),"INCOMPLETE")),"INVALID"))))</f>
        <v/>
      </c>
      <c r="J49" s="33">
        <f>IF(OR(I49="OK",I49="BREACHED"),-INT(ROUND(-(H49)*100,6))/100,I49)</f>
        <v/>
      </c>
    </row>
    <row r="50" ht="18" customHeight="1">
      <c r="A50" s="9" t="n"/>
      <c r="B50" s="32" t="n"/>
      <c r="C50" s="12" t="n"/>
      <c r="D50" s="12" t="n"/>
      <c r="E50" s="12" t="n"/>
      <c r="F50" s="15">
        <f>IFERROR(MATCH($A50,Accounts!$A$2:$A$11,0),"")</f>
        <v/>
      </c>
      <c r="G50" s="14">
        <f>IFERROR(IF(OR($A50="",$F50=""),"",IF(INDEX(Accounts!$P$2:$P$11,$F50)="static",INDEX(Accounts!$Q$2:$Q$11,$F50),IF(INDEX(Accounts!$P$2:$P$11,$F50)="eod_trailing",MAX(INDEX(Accounts!$Q$2:$Q$11,$F50),_xlfn.MAXIFS($C$2:$C$1001,$A$2:$A$1001,$A50,$B$2:$B$1001,"&lt;"&amp;$B50)),MAX(INDEX(Accounts!$Q$2:$Q$11,$F50),_xlfn.MAXIFS($C$2:$C$1001,$A$2:$A$1001,$A50,$B$2:$B$1001,"&lt;"&amp;$B50),_xlfn.MAXIFS($D$2:$D$1001,$A$2:$A$1001,$A50,$B$2:$B$1001,"&lt;="&amp;$B50),$C50)))),"")</f>
        <v/>
      </c>
      <c r="H50" s="15">
        <f>IFERROR(IF(G50="","",IF(INDEX(Accounts!$P$2:$P$11,$F50)="static",INDEX(Accounts!$Q$2:$Q$11,$F50)-INDEX(Accounts!$R$2:$R$11,$F50),IF(INDEX(Accounts!$S$2:$S$11,$F50)="NONE",G50-INDEX(Accounts!$R$2:$R$11,$F50),MIN(G50-INDEX(Accounts!$R$2:$R$11,$F50),INDEX(Accounts!$Q$2:$Q$11,$F50)+INDEX(Accounts!$S$2:$S$11,$F50))))),"")</f>
        <v/>
      </c>
      <c r="I50" s="16">
        <f>IF(AND($A50="",$B50="",$C50="",$D50="",$E50=""),"",IF(OR($A50="",$F50=""),"UNKNOWN_ACCOUNT",IF(OR($B50="",$C50=""),"INCOMPLETE",IFERROR(IF(OR(NOT(ISNUMBER($B50)),NOT(ISNUMBER($C50)),IF(C50="",FALSE,IF(ISNUMBER(C50),OR(C50&lt;=0,C50&gt;100000000,ROUND(C50*100,6)&lt;&gt;INT(ROUND(C50*100,6))),TRUE)),IF(D50="",FALSE,IF(ISNUMBER(D50),OR(D50&lt;=0,D50&gt;100000000,ROUND(D50*100,6)&lt;&gt;INT(ROUND(D50*100,6))),TRUE)),IF(E50="",FALSE,IF(ISNUMBER(E50),OR(E50&lt;=0,E50&gt;100000000,ROUND(E50*100,6)&lt;&gt;INT(ROUND(E50*100,6))),TRUE)),AND($D50&lt;&gt;"",$D50&lt;MAX($C50,$E50)),AND($E50&lt;&gt;"",$E50&gt;MIN($C50,IF($D50="",$C50,$D50))),COUNTIFS($A$2:$A$1001,$A50,$B$2:$B$1001,$B50)&gt;1),"INVALID",IFERROR(IF(IF(INDEX(Accounts!$T$2:$T$11,$F50),ROUND(IF($E50="",$C50,MIN($C50,$E50))-(H50),6)&lt;=0,ROUND(IF($E50="",$C50,MIN($C50,$E50))-(H50),6)&lt;0),"BREACHED","OK"),"INCOMPLETE")),"INVALID"))))</f>
        <v/>
      </c>
      <c r="J50" s="33">
        <f>IF(OR(I50="OK",I50="BREACHED"),-INT(ROUND(-(H50)*100,6))/100,I50)</f>
        <v/>
      </c>
    </row>
    <row r="51" ht="18" customHeight="1">
      <c r="A51" s="9" t="n"/>
      <c r="B51" s="32" t="n"/>
      <c r="C51" s="12" t="n"/>
      <c r="D51" s="12" t="n"/>
      <c r="E51" s="12" t="n"/>
      <c r="F51" s="15">
        <f>IFERROR(MATCH($A51,Accounts!$A$2:$A$11,0),"")</f>
        <v/>
      </c>
      <c r="G51" s="14">
        <f>IFERROR(IF(OR($A51="",$F51=""),"",IF(INDEX(Accounts!$P$2:$P$11,$F51)="static",INDEX(Accounts!$Q$2:$Q$11,$F51),IF(INDEX(Accounts!$P$2:$P$11,$F51)="eod_trailing",MAX(INDEX(Accounts!$Q$2:$Q$11,$F51),_xlfn.MAXIFS($C$2:$C$1001,$A$2:$A$1001,$A51,$B$2:$B$1001,"&lt;"&amp;$B51)),MAX(INDEX(Accounts!$Q$2:$Q$11,$F51),_xlfn.MAXIFS($C$2:$C$1001,$A$2:$A$1001,$A51,$B$2:$B$1001,"&lt;"&amp;$B51),_xlfn.MAXIFS($D$2:$D$1001,$A$2:$A$1001,$A51,$B$2:$B$1001,"&lt;="&amp;$B51),$C51)))),"")</f>
        <v/>
      </c>
      <c r="H51" s="15">
        <f>IFERROR(IF(G51="","",IF(INDEX(Accounts!$P$2:$P$11,$F51)="static",INDEX(Accounts!$Q$2:$Q$11,$F51)-INDEX(Accounts!$R$2:$R$11,$F51),IF(INDEX(Accounts!$S$2:$S$11,$F51)="NONE",G51-INDEX(Accounts!$R$2:$R$11,$F51),MIN(G51-INDEX(Accounts!$R$2:$R$11,$F51),INDEX(Accounts!$Q$2:$Q$11,$F51)+INDEX(Accounts!$S$2:$S$11,$F51))))),"")</f>
        <v/>
      </c>
      <c r="I51" s="16">
        <f>IF(AND($A51="",$B51="",$C51="",$D51="",$E51=""),"",IF(OR($A51="",$F51=""),"UNKNOWN_ACCOUNT",IF(OR($B51="",$C51=""),"INCOMPLETE",IFERROR(IF(OR(NOT(ISNUMBER($B51)),NOT(ISNUMBER($C51)),IF(C51="",FALSE,IF(ISNUMBER(C51),OR(C51&lt;=0,C51&gt;100000000,ROUND(C51*100,6)&lt;&gt;INT(ROUND(C51*100,6))),TRUE)),IF(D51="",FALSE,IF(ISNUMBER(D51),OR(D51&lt;=0,D51&gt;100000000,ROUND(D51*100,6)&lt;&gt;INT(ROUND(D51*100,6))),TRUE)),IF(E51="",FALSE,IF(ISNUMBER(E51),OR(E51&lt;=0,E51&gt;100000000,ROUND(E51*100,6)&lt;&gt;INT(ROUND(E51*100,6))),TRUE)),AND($D51&lt;&gt;"",$D51&lt;MAX($C51,$E51)),AND($E51&lt;&gt;"",$E51&gt;MIN($C51,IF($D51="",$C51,$D51))),COUNTIFS($A$2:$A$1001,$A51,$B$2:$B$1001,$B51)&gt;1),"INVALID",IFERROR(IF(IF(INDEX(Accounts!$T$2:$T$11,$F51),ROUND(IF($E51="",$C51,MIN($C51,$E51))-(H51),6)&lt;=0,ROUND(IF($E51="",$C51,MIN($C51,$E51))-(H51),6)&lt;0),"BREACHED","OK"),"INCOMPLETE")),"INVALID"))))</f>
        <v/>
      </c>
      <c r="J51" s="33">
        <f>IF(OR(I51="OK",I51="BREACHED"),-INT(ROUND(-(H51)*100,6))/100,I51)</f>
        <v/>
      </c>
    </row>
    <row r="52" ht="18" customHeight="1">
      <c r="A52" s="9" t="n"/>
      <c r="B52" s="32" t="n"/>
      <c r="C52" s="12" t="n"/>
      <c r="D52" s="12" t="n"/>
      <c r="E52" s="12" t="n"/>
      <c r="F52" s="15">
        <f>IFERROR(MATCH($A52,Accounts!$A$2:$A$11,0),"")</f>
        <v/>
      </c>
      <c r="G52" s="14">
        <f>IFERROR(IF(OR($A52="",$F52=""),"",IF(INDEX(Accounts!$P$2:$P$11,$F52)="static",INDEX(Accounts!$Q$2:$Q$11,$F52),IF(INDEX(Accounts!$P$2:$P$11,$F52)="eod_trailing",MAX(INDEX(Accounts!$Q$2:$Q$11,$F52),_xlfn.MAXIFS($C$2:$C$1001,$A$2:$A$1001,$A52,$B$2:$B$1001,"&lt;"&amp;$B52)),MAX(INDEX(Accounts!$Q$2:$Q$11,$F52),_xlfn.MAXIFS($C$2:$C$1001,$A$2:$A$1001,$A52,$B$2:$B$1001,"&lt;"&amp;$B52),_xlfn.MAXIFS($D$2:$D$1001,$A$2:$A$1001,$A52,$B$2:$B$1001,"&lt;="&amp;$B52),$C52)))),"")</f>
        <v/>
      </c>
      <c r="H52" s="15">
        <f>IFERROR(IF(G52="","",IF(INDEX(Accounts!$P$2:$P$11,$F52)="static",INDEX(Accounts!$Q$2:$Q$11,$F52)-INDEX(Accounts!$R$2:$R$11,$F52),IF(INDEX(Accounts!$S$2:$S$11,$F52)="NONE",G52-INDEX(Accounts!$R$2:$R$11,$F52),MIN(G52-INDEX(Accounts!$R$2:$R$11,$F52),INDEX(Accounts!$Q$2:$Q$11,$F52)+INDEX(Accounts!$S$2:$S$11,$F52))))),"")</f>
        <v/>
      </c>
      <c r="I52" s="16">
        <f>IF(AND($A52="",$B52="",$C52="",$D52="",$E52=""),"",IF(OR($A52="",$F52=""),"UNKNOWN_ACCOUNT",IF(OR($B52="",$C52=""),"INCOMPLETE",IFERROR(IF(OR(NOT(ISNUMBER($B52)),NOT(ISNUMBER($C52)),IF(C52="",FALSE,IF(ISNUMBER(C52),OR(C52&lt;=0,C52&gt;100000000,ROUND(C52*100,6)&lt;&gt;INT(ROUND(C52*100,6))),TRUE)),IF(D52="",FALSE,IF(ISNUMBER(D52),OR(D52&lt;=0,D52&gt;100000000,ROUND(D52*100,6)&lt;&gt;INT(ROUND(D52*100,6))),TRUE)),IF(E52="",FALSE,IF(ISNUMBER(E52),OR(E52&lt;=0,E52&gt;100000000,ROUND(E52*100,6)&lt;&gt;INT(ROUND(E52*100,6))),TRUE)),AND($D52&lt;&gt;"",$D52&lt;MAX($C52,$E52)),AND($E52&lt;&gt;"",$E52&gt;MIN($C52,IF($D52="",$C52,$D52))),COUNTIFS($A$2:$A$1001,$A52,$B$2:$B$1001,$B52)&gt;1),"INVALID",IFERROR(IF(IF(INDEX(Accounts!$T$2:$T$11,$F52),ROUND(IF($E52="",$C52,MIN($C52,$E52))-(H52),6)&lt;=0,ROUND(IF($E52="",$C52,MIN($C52,$E52))-(H52),6)&lt;0),"BREACHED","OK"),"INCOMPLETE")),"INVALID"))))</f>
        <v/>
      </c>
      <c r="J52" s="33">
        <f>IF(OR(I52="OK",I52="BREACHED"),-INT(ROUND(-(H52)*100,6))/100,I52)</f>
        <v/>
      </c>
    </row>
    <row r="53" ht="18" customHeight="1">
      <c r="A53" s="9" t="n"/>
      <c r="B53" s="32" t="n"/>
      <c r="C53" s="12" t="n"/>
      <c r="D53" s="12" t="n"/>
      <c r="E53" s="12" t="n"/>
      <c r="F53" s="15">
        <f>IFERROR(MATCH($A53,Accounts!$A$2:$A$11,0),"")</f>
        <v/>
      </c>
      <c r="G53" s="14">
        <f>IFERROR(IF(OR($A53="",$F53=""),"",IF(INDEX(Accounts!$P$2:$P$11,$F53)="static",INDEX(Accounts!$Q$2:$Q$11,$F53),IF(INDEX(Accounts!$P$2:$P$11,$F53)="eod_trailing",MAX(INDEX(Accounts!$Q$2:$Q$11,$F53),_xlfn.MAXIFS($C$2:$C$1001,$A$2:$A$1001,$A53,$B$2:$B$1001,"&lt;"&amp;$B53)),MAX(INDEX(Accounts!$Q$2:$Q$11,$F53),_xlfn.MAXIFS($C$2:$C$1001,$A$2:$A$1001,$A53,$B$2:$B$1001,"&lt;"&amp;$B53),_xlfn.MAXIFS($D$2:$D$1001,$A$2:$A$1001,$A53,$B$2:$B$1001,"&lt;="&amp;$B53),$C53)))),"")</f>
        <v/>
      </c>
      <c r="H53" s="15">
        <f>IFERROR(IF(G53="","",IF(INDEX(Accounts!$P$2:$P$11,$F53)="static",INDEX(Accounts!$Q$2:$Q$11,$F53)-INDEX(Accounts!$R$2:$R$11,$F53),IF(INDEX(Accounts!$S$2:$S$11,$F53)="NONE",G53-INDEX(Accounts!$R$2:$R$11,$F53),MIN(G53-INDEX(Accounts!$R$2:$R$11,$F53),INDEX(Accounts!$Q$2:$Q$11,$F53)+INDEX(Accounts!$S$2:$S$11,$F53))))),"")</f>
        <v/>
      </c>
      <c r="I53" s="16">
        <f>IF(AND($A53="",$B53="",$C53="",$D53="",$E53=""),"",IF(OR($A53="",$F53=""),"UNKNOWN_ACCOUNT",IF(OR($B53="",$C53=""),"INCOMPLETE",IFERROR(IF(OR(NOT(ISNUMBER($B53)),NOT(ISNUMBER($C53)),IF(C53="",FALSE,IF(ISNUMBER(C53),OR(C53&lt;=0,C53&gt;100000000,ROUND(C53*100,6)&lt;&gt;INT(ROUND(C53*100,6))),TRUE)),IF(D53="",FALSE,IF(ISNUMBER(D53),OR(D53&lt;=0,D53&gt;100000000,ROUND(D53*100,6)&lt;&gt;INT(ROUND(D53*100,6))),TRUE)),IF(E53="",FALSE,IF(ISNUMBER(E53),OR(E53&lt;=0,E53&gt;100000000,ROUND(E53*100,6)&lt;&gt;INT(ROUND(E53*100,6))),TRUE)),AND($D53&lt;&gt;"",$D53&lt;MAX($C53,$E53)),AND($E53&lt;&gt;"",$E53&gt;MIN($C53,IF($D53="",$C53,$D53))),COUNTIFS($A$2:$A$1001,$A53,$B$2:$B$1001,$B53)&gt;1),"INVALID",IFERROR(IF(IF(INDEX(Accounts!$T$2:$T$11,$F53),ROUND(IF($E53="",$C53,MIN($C53,$E53))-(H53),6)&lt;=0,ROUND(IF($E53="",$C53,MIN($C53,$E53))-(H53),6)&lt;0),"BREACHED","OK"),"INCOMPLETE")),"INVALID"))))</f>
        <v/>
      </c>
      <c r="J53" s="33">
        <f>IF(OR(I53="OK",I53="BREACHED"),-INT(ROUND(-(H53)*100,6))/100,I53)</f>
        <v/>
      </c>
    </row>
    <row r="54" ht="18" customHeight="1">
      <c r="A54" s="9" t="n"/>
      <c r="B54" s="32" t="n"/>
      <c r="C54" s="12" t="n"/>
      <c r="D54" s="12" t="n"/>
      <c r="E54" s="12" t="n"/>
      <c r="F54" s="15">
        <f>IFERROR(MATCH($A54,Accounts!$A$2:$A$11,0),"")</f>
        <v/>
      </c>
      <c r="G54" s="14">
        <f>IFERROR(IF(OR($A54="",$F54=""),"",IF(INDEX(Accounts!$P$2:$P$11,$F54)="static",INDEX(Accounts!$Q$2:$Q$11,$F54),IF(INDEX(Accounts!$P$2:$P$11,$F54)="eod_trailing",MAX(INDEX(Accounts!$Q$2:$Q$11,$F54),_xlfn.MAXIFS($C$2:$C$1001,$A$2:$A$1001,$A54,$B$2:$B$1001,"&lt;"&amp;$B54)),MAX(INDEX(Accounts!$Q$2:$Q$11,$F54),_xlfn.MAXIFS($C$2:$C$1001,$A$2:$A$1001,$A54,$B$2:$B$1001,"&lt;"&amp;$B54),_xlfn.MAXIFS($D$2:$D$1001,$A$2:$A$1001,$A54,$B$2:$B$1001,"&lt;="&amp;$B54),$C54)))),"")</f>
        <v/>
      </c>
      <c r="H54" s="15">
        <f>IFERROR(IF(G54="","",IF(INDEX(Accounts!$P$2:$P$11,$F54)="static",INDEX(Accounts!$Q$2:$Q$11,$F54)-INDEX(Accounts!$R$2:$R$11,$F54),IF(INDEX(Accounts!$S$2:$S$11,$F54)="NONE",G54-INDEX(Accounts!$R$2:$R$11,$F54),MIN(G54-INDEX(Accounts!$R$2:$R$11,$F54),INDEX(Accounts!$Q$2:$Q$11,$F54)+INDEX(Accounts!$S$2:$S$11,$F54))))),"")</f>
        <v/>
      </c>
      <c r="I54" s="16">
        <f>IF(AND($A54="",$B54="",$C54="",$D54="",$E54=""),"",IF(OR($A54="",$F54=""),"UNKNOWN_ACCOUNT",IF(OR($B54="",$C54=""),"INCOMPLETE",IFERROR(IF(OR(NOT(ISNUMBER($B54)),NOT(ISNUMBER($C54)),IF(C54="",FALSE,IF(ISNUMBER(C54),OR(C54&lt;=0,C54&gt;100000000,ROUND(C54*100,6)&lt;&gt;INT(ROUND(C54*100,6))),TRUE)),IF(D54="",FALSE,IF(ISNUMBER(D54),OR(D54&lt;=0,D54&gt;100000000,ROUND(D54*100,6)&lt;&gt;INT(ROUND(D54*100,6))),TRUE)),IF(E54="",FALSE,IF(ISNUMBER(E54),OR(E54&lt;=0,E54&gt;100000000,ROUND(E54*100,6)&lt;&gt;INT(ROUND(E54*100,6))),TRUE)),AND($D54&lt;&gt;"",$D54&lt;MAX($C54,$E54)),AND($E54&lt;&gt;"",$E54&gt;MIN($C54,IF($D54="",$C54,$D54))),COUNTIFS($A$2:$A$1001,$A54,$B$2:$B$1001,$B54)&gt;1),"INVALID",IFERROR(IF(IF(INDEX(Accounts!$T$2:$T$11,$F54),ROUND(IF($E54="",$C54,MIN($C54,$E54))-(H54),6)&lt;=0,ROUND(IF($E54="",$C54,MIN($C54,$E54))-(H54),6)&lt;0),"BREACHED","OK"),"INCOMPLETE")),"INVALID"))))</f>
        <v/>
      </c>
      <c r="J54" s="33">
        <f>IF(OR(I54="OK",I54="BREACHED"),-INT(ROUND(-(H54)*100,6))/100,I54)</f>
        <v/>
      </c>
    </row>
    <row r="55" ht="18" customHeight="1">
      <c r="A55" s="9" t="n"/>
      <c r="B55" s="32" t="n"/>
      <c r="C55" s="12" t="n"/>
      <c r="D55" s="12" t="n"/>
      <c r="E55" s="12" t="n"/>
      <c r="F55" s="15">
        <f>IFERROR(MATCH($A55,Accounts!$A$2:$A$11,0),"")</f>
        <v/>
      </c>
      <c r="G55" s="14">
        <f>IFERROR(IF(OR($A55="",$F55=""),"",IF(INDEX(Accounts!$P$2:$P$11,$F55)="static",INDEX(Accounts!$Q$2:$Q$11,$F55),IF(INDEX(Accounts!$P$2:$P$11,$F55)="eod_trailing",MAX(INDEX(Accounts!$Q$2:$Q$11,$F55),_xlfn.MAXIFS($C$2:$C$1001,$A$2:$A$1001,$A55,$B$2:$B$1001,"&lt;"&amp;$B55)),MAX(INDEX(Accounts!$Q$2:$Q$11,$F55),_xlfn.MAXIFS($C$2:$C$1001,$A$2:$A$1001,$A55,$B$2:$B$1001,"&lt;"&amp;$B55),_xlfn.MAXIFS($D$2:$D$1001,$A$2:$A$1001,$A55,$B$2:$B$1001,"&lt;="&amp;$B55),$C55)))),"")</f>
        <v/>
      </c>
      <c r="H55" s="15">
        <f>IFERROR(IF(G55="","",IF(INDEX(Accounts!$P$2:$P$11,$F55)="static",INDEX(Accounts!$Q$2:$Q$11,$F55)-INDEX(Accounts!$R$2:$R$11,$F55),IF(INDEX(Accounts!$S$2:$S$11,$F55)="NONE",G55-INDEX(Accounts!$R$2:$R$11,$F55),MIN(G55-INDEX(Accounts!$R$2:$R$11,$F55),INDEX(Accounts!$Q$2:$Q$11,$F55)+INDEX(Accounts!$S$2:$S$11,$F55))))),"")</f>
        <v/>
      </c>
      <c r="I55" s="16">
        <f>IF(AND($A55="",$B55="",$C55="",$D55="",$E55=""),"",IF(OR($A55="",$F55=""),"UNKNOWN_ACCOUNT",IF(OR($B55="",$C55=""),"INCOMPLETE",IFERROR(IF(OR(NOT(ISNUMBER($B55)),NOT(ISNUMBER($C55)),IF(C55="",FALSE,IF(ISNUMBER(C55),OR(C55&lt;=0,C55&gt;100000000,ROUND(C55*100,6)&lt;&gt;INT(ROUND(C55*100,6))),TRUE)),IF(D55="",FALSE,IF(ISNUMBER(D55),OR(D55&lt;=0,D55&gt;100000000,ROUND(D55*100,6)&lt;&gt;INT(ROUND(D55*100,6))),TRUE)),IF(E55="",FALSE,IF(ISNUMBER(E55),OR(E55&lt;=0,E55&gt;100000000,ROUND(E55*100,6)&lt;&gt;INT(ROUND(E55*100,6))),TRUE)),AND($D55&lt;&gt;"",$D55&lt;MAX($C55,$E55)),AND($E55&lt;&gt;"",$E55&gt;MIN($C55,IF($D55="",$C55,$D55))),COUNTIFS($A$2:$A$1001,$A55,$B$2:$B$1001,$B55)&gt;1),"INVALID",IFERROR(IF(IF(INDEX(Accounts!$T$2:$T$11,$F55),ROUND(IF($E55="",$C55,MIN($C55,$E55))-(H55),6)&lt;=0,ROUND(IF($E55="",$C55,MIN($C55,$E55))-(H55),6)&lt;0),"BREACHED","OK"),"INCOMPLETE")),"INVALID"))))</f>
        <v/>
      </c>
      <c r="J55" s="33">
        <f>IF(OR(I55="OK",I55="BREACHED"),-INT(ROUND(-(H55)*100,6))/100,I55)</f>
        <v/>
      </c>
    </row>
    <row r="56" ht="18" customHeight="1">
      <c r="A56" s="9" t="n"/>
      <c r="B56" s="32" t="n"/>
      <c r="C56" s="12" t="n"/>
      <c r="D56" s="12" t="n"/>
      <c r="E56" s="12" t="n"/>
      <c r="F56" s="15">
        <f>IFERROR(MATCH($A56,Accounts!$A$2:$A$11,0),"")</f>
        <v/>
      </c>
      <c r="G56" s="14">
        <f>IFERROR(IF(OR($A56="",$F56=""),"",IF(INDEX(Accounts!$P$2:$P$11,$F56)="static",INDEX(Accounts!$Q$2:$Q$11,$F56),IF(INDEX(Accounts!$P$2:$P$11,$F56)="eod_trailing",MAX(INDEX(Accounts!$Q$2:$Q$11,$F56),_xlfn.MAXIFS($C$2:$C$1001,$A$2:$A$1001,$A56,$B$2:$B$1001,"&lt;"&amp;$B56)),MAX(INDEX(Accounts!$Q$2:$Q$11,$F56),_xlfn.MAXIFS($C$2:$C$1001,$A$2:$A$1001,$A56,$B$2:$B$1001,"&lt;"&amp;$B56),_xlfn.MAXIFS($D$2:$D$1001,$A$2:$A$1001,$A56,$B$2:$B$1001,"&lt;="&amp;$B56),$C56)))),"")</f>
        <v/>
      </c>
      <c r="H56" s="15">
        <f>IFERROR(IF(G56="","",IF(INDEX(Accounts!$P$2:$P$11,$F56)="static",INDEX(Accounts!$Q$2:$Q$11,$F56)-INDEX(Accounts!$R$2:$R$11,$F56),IF(INDEX(Accounts!$S$2:$S$11,$F56)="NONE",G56-INDEX(Accounts!$R$2:$R$11,$F56),MIN(G56-INDEX(Accounts!$R$2:$R$11,$F56),INDEX(Accounts!$Q$2:$Q$11,$F56)+INDEX(Accounts!$S$2:$S$11,$F56))))),"")</f>
        <v/>
      </c>
      <c r="I56" s="16">
        <f>IF(AND($A56="",$B56="",$C56="",$D56="",$E56=""),"",IF(OR($A56="",$F56=""),"UNKNOWN_ACCOUNT",IF(OR($B56="",$C56=""),"INCOMPLETE",IFERROR(IF(OR(NOT(ISNUMBER($B56)),NOT(ISNUMBER($C56)),IF(C56="",FALSE,IF(ISNUMBER(C56),OR(C56&lt;=0,C56&gt;100000000,ROUND(C56*100,6)&lt;&gt;INT(ROUND(C56*100,6))),TRUE)),IF(D56="",FALSE,IF(ISNUMBER(D56),OR(D56&lt;=0,D56&gt;100000000,ROUND(D56*100,6)&lt;&gt;INT(ROUND(D56*100,6))),TRUE)),IF(E56="",FALSE,IF(ISNUMBER(E56),OR(E56&lt;=0,E56&gt;100000000,ROUND(E56*100,6)&lt;&gt;INT(ROUND(E56*100,6))),TRUE)),AND($D56&lt;&gt;"",$D56&lt;MAX($C56,$E56)),AND($E56&lt;&gt;"",$E56&gt;MIN($C56,IF($D56="",$C56,$D56))),COUNTIFS($A$2:$A$1001,$A56,$B$2:$B$1001,$B56)&gt;1),"INVALID",IFERROR(IF(IF(INDEX(Accounts!$T$2:$T$11,$F56),ROUND(IF($E56="",$C56,MIN($C56,$E56))-(H56),6)&lt;=0,ROUND(IF($E56="",$C56,MIN($C56,$E56))-(H56),6)&lt;0),"BREACHED","OK"),"INCOMPLETE")),"INVALID"))))</f>
        <v/>
      </c>
      <c r="J56" s="33">
        <f>IF(OR(I56="OK",I56="BREACHED"),-INT(ROUND(-(H56)*100,6))/100,I56)</f>
        <v/>
      </c>
    </row>
    <row r="57" ht="18" customHeight="1">
      <c r="A57" s="9" t="n"/>
      <c r="B57" s="32" t="n"/>
      <c r="C57" s="12" t="n"/>
      <c r="D57" s="12" t="n"/>
      <c r="E57" s="12" t="n"/>
      <c r="F57" s="15">
        <f>IFERROR(MATCH($A57,Accounts!$A$2:$A$11,0),"")</f>
        <v/>
      </c>
      <c r="G57" s="14">
        <f>IFERROR(IF(OR($A57="",$F57=""),"",IF(INDEX(Accounts!$P$2:$P$11,$F57)="static",INDEX(Accounts!$Q$2:$Q$11,$F57),IF(INDEX(Accounts!$P$2:$P$11,$F57)="eod_trailing",MAX(INDEX(Accounts!$Q$2:$Q$11,$F57),_xlfn.MAXIFS($C$2:$C$1001,$A$2:$A$1001,$A57,$B$2:$B$1001,"&lt;"&amp;$B57)),MAX(INDEX(Accounts!$Q$2:$Q$11,$F57),_xlfn.MAXIFS($C$2:$C$1001,$A$2:$A$1001,$A57,$B$2:$B$1001,"&lt;"&amp;$B57),_xlfn.MAXIFS($D$2:$D$1001,$A$2:$A$1001,$A57,$B$2:$B$1001,"&lt;="&amp;$B57),$C57)))),"")</f>
        <v/>
      </c>
      <c r="H57" s="15">
        <f>IFERROR(IF(G57="","",IF(INDEX(Accounts!$P$2:$P$11,$F57)="static",INDEX(Accounts!$Q$2:$Q$11,$F57)-INDEX(Accounts!$R$2:$R$11,$F57),IF(INDEX(Accounts!$S$2:$S$11,$F57)="NONE",G57-INDEX(Accounts!$R$2:$R$11,$F57),MIN(G57-INDEX(Accounts!$R$2:$R$11,$F57),INDEX(Accounts!$Q$2:$Q$11,$F57)+INDEX(Accounts!$S$2:$S$11,$F57))))),"")</f>
        <v/>
      </c>
      <c r="I57" s="16">
        <f>IF(AND($A57="",$B57="",$C57="",$D57="",$E57=""),"",IF(OR($A57="",$F57=""),"UNKNOWN_ACCOUNT",IF(OR($B57="",$C57=""),"INCOMPLETE",IFERROR(IF(OR(NOT(ISNUMBER($B57)),NOT(ISNUMBER($C57)),IF(C57="",FALSE,IF(ISNUMBER(C57),OR(C57&lt;=0,C57&gt;100000000,ROUND(C57*100,6)&lt;&gt;INT(ROUND(C57*100,6))),TRUE)),IF(D57="",FALSE,IF(ISNUMBER(D57),OR(D57&lt;=0,D57&gt;100000000,ROUND(D57*100,6)&lt;&gt;INT(ROUND(D57*100,6))),TRUE)),IF(E57="",FALSE,IF(ISNUMBER(E57),OR(E57&lt;=0,E57&gt;100000000,ROUND(E57*100,6)&lt;&gt;INT(ROUND(E57*100,6))),TRUE)),AND($D57&lt;&gt;"",$D57&lt;MAX($C57,$E57)),AND($E57&lt;&gt;"",$E57&gt;MIN($C57,IF($D57="",$C57,$D57))),COUNTIFS($A$2:$A$1001,$A57,$B$2:$B$1001,$B57)&gt;1),"INVALID",IFERROR(IF(IF(INDEX(Accounts!$T$2:$T$11,$F57),ROUND(IF($E57="",$C57,MIN($C57,$E57))-(H57),6)&lt;=0,ROUND(IF($E57="",$C57,MIN($C57,$E57))-(H57),6)&lt;0),"BREACHED","OK"),"INCOMPLETE")),"INVALID"))))</f>
        <v/>
      </c>
      <c r="J57" s="33">
        <f>IF(OR(I57="OK",I57="BREACHED"),-INT(ROUND(-(H57)*100,6))/100,I57)</f>
        <v/>
      </c>
    </row>
    <row r="58" ht="18" customHeight="1">
      <c r="A58" s="9" t="n"/>
      <c r="B58" s="32" t="n"/>
      <c r="C58" s="12" t="n"/>
      <c r="D58" s="12" t="n"/>
      <c r="E58" s="12" t="n"/>
      <c r="F58" s="15">
        <f>IFERROR(MATCH($A58,Accounts!$A$2:$A$11,0),"")</f>
        <v/>
      </c>
      <c r="G58" s="14">
        <f>IFERROR(IF(OR($A58="",$F58=""),"",IF(INDEX(Accounts!$P$2:$P$11,$F58)="static",INDEX(Accounts!$Q$2:$Q$11,$F58),IF(INDEX(Accounts!$P$2:$P$11,$F58)="eod_trailing",MAX(INDEX(Accounts!$Q$2:$Q$11,$F58),_xlfn.MAXIFS($C$2:$C$1001,$A$2:$A$1001,$A58,$B$2:$B$1001,"&lt;"&amp;$B58)),MAX(INDEX(Accounts!$Q$2:$Q$11,$F58),_xlfn.MAXIFS($C$2:$C$1001,$A$2:$A$1001,$A58,$B$2:$B$1001,"&lt;"&amp;$B58),_xlfn.MAXIFS($D$2:$D$1001,$A$2:$A$1001,$A58,$B$2:$B$1001,"&lt;="&amp;$B58),$C58)))),"")</f>
        <v/>
      </c>
      <c r="H58" s="15">
        <f>IFERROR(IF(G58="","",IF(INDEX(Accounts!$P$2:$P$11,$F58)="static",INDEX(Accounts!$Q$2:$Q$11,$F58)-INDEX(Accounts!$R$2:$R$11,$F58),IF(INDEX(Accounts!$S$2:$S$11,$F58)="NONE",G58-INDEX(Accounts!$R$2:$R$11,$F58),MIN(G58-INDEX(Accounts!$R$2:$R$11,$F58),INDEX(Accounts!$Q$2:$Q$11,$F58)+INDEX(Accounts!$S$2:$S$11,$F58))))),"")</f>
        <v/>
      </c>
      <c r="I58" s="16">
        <f>IF(AND($A58="",$B58="",$C58="",$D58="",$E58=""),"",IF(OR($A58="",$F58=""),"UNKNOWN_ACCOUNT",IF(OR($B58="",$C58=""),"INCOMPLETE",IFERROR(IF(OR(NOT(ISNUMBER($B58)),NOT(ISNUMBER($C58)),IF(C58="",FALSE,IF(ISNUMBER(C58),OR(C58&lt;=0,C58&gt;100000000,ROUND(C58*100,6)&lt;&gt;INT(ROUND(C58*100,6))),TRUE)),IF(D58="",FALSE,IF(ISNUMBER(D58),OR(D58&lt;=0,D58&gt;100000000,ROUND(D58*100,6)&lt;&gt;INT(ROUND(D58*100,6))),TRUE)),IF(E58="",FALSE,IF(ISNUMBER(E58),OR(E58&lt;=0,E58&gt;100000000,ROUND(E58*100,6)&lt;&gt;INT(ROUND(E58*100,6))),TRUE)),AND($D58&lt;&gt;"",$D58&lt;MAX($C58,$E58)),AND($E58&lt;&gt;"",$E58&gt;MIN($C58,IF($D58="",$C58,$D58))),COUNTIFS($A$2:$A$1001,$A58,$B$2:$B$1001,$B58)&gt;1),"INVALID",IFERROR(IF(IF(INDEX(Accounts!$T$2:$T$11,$F58),ROUND(IF($E58="",$C58,MIN($C58,$E58))-(H58),6)&lt;=0,ROUND(IF($E58="",$C58,MIN($C58,$E58))-(H58),6)&lt;0),"BREACHED","OK"),"INCOMPLETE")),"INVALID"))))</f>
        <v/>
      </c>
      <c r="J58" s="33">
        <f>IF(OR(I58="OK",I58="BREACHED"),-INT(ROUND(-(H58)*100,6))/100,I58)</f>
        <v/>
      </c>
    </row>
    <row r="59" ht="18" customHeight="1">
      <c r="A59" s="9" t="n"/>
      <c r="B59" s="32" t="n"/>
      <c r="C59" s="12" t="n"/>
      <c r="D59" s="12" t="n"/>
      <c r="E59" s="12" t="n"/>
      <c r="F59" s="15">
        <f>IFERROR(MATCH($A59,Accounts!$A$2:$A$11,0),"")</f>
        <v/>
      </c>
      <c r="G59" s="14">
        <f>IFERROR(IF(OR($A59="",$F59=""),"",IF(INDEX(Accounts!$P$2:$P$11,$F59)="static",INDEX(Accounts!$Q$2:$Q$11,$F59),IF(INDEX(Accounts!$P$2:$P$11,$F59)="eod_trailing",MAX(INDEX(Accounts!$Q$2:$Q$11,$F59),_xlfn.MAXIFS($C$2:$C$1001,$A$2:$A$1001,$A59,$B$2:$B$1001,"&lt;"&amp;$B59)),MAX(INDEX(Accounts!$Q$2:$Q$11,$F59),_xlfn.MAXIFS($C$2:$C$1001,$A$2:$A$1001,$A59,$B$2:$B$1001,"&lt;"&amp;$B59),_xlfn.MAXIFS($D$2:$D$1001,$A$2:$A$1001,$A59,$B$2:$B$1001,"&lt;="&amp;$B59),$C59)))),"")</f>
        <v/>
      </c>
      <c r="H59" s="15">
        <f>IFERROR(IF(G59="","",IF(INDEX(Accounts!$P$2:$P$11,$F59)="static",INDEX(Accounts!$Q$2:$Q$11,$F59)-INDEX(Accounts!$R$2:$R$11,$F59),IF(INDEX(Accounts!$S$2:$S$11,$F59)="NONE",G59-INDEX(Accounts!$R$2:$R$11,$F59),MIN(G59-INDEX(Accounts!$R$2:$R$11,$F59),INDEX(Accounts!$Q$2:$Q$11,$F59)+INDEX(Accounts!$S$2:$S$11,$F59))))),"")</f>
        <v/>
      </c>
      <c r="I59" s="16">
        <f>IF(AND($A59="",$B59="",$C59="",$D59="",$E59=""),"",IF(OR($A59="",$F59=""),"UNKNOWN_ACCOUNT",IF(OR($B59="",$C59=""),"INCOMPLETE",IFERROR(IF(OR(NOT(ISNUMBER($B59)),NOT(ISNUMBER($C59)),IF(C59="",FALSE,IF(ISNUMBER(C59),OR(C59&lt;=0,C59&gt;100000000,ROUND(C59*100,6)&lt;&gt;INT(ROUND(C59*100,6))),TRUE)),IF(D59="",FALSE,IF(ISNUMBER(D59),OR(D59&lt;=0,D59&gt;100000000,ROUND(D59*100,6)&lt;&gt;INT(ROUND(D59*100,6))),TRUE)),IF(E59="",FALSE,IF(ISNUMBER(E59),OR(E59&lt;=0,E59&gt;100000000,ROUND(E59*100,6)&lt;&gt;INT(ROUND(E59*100,6))),TRUE)),AND($D59&lt;&gt;"",$D59&lt;MAX($C59,$E59)),AND($E59&lt;&gt;"",$E59&gt;MIN($C59,IF($D59="",$C59,$D59))),COUNTIFS($A$2:$A$1001,$A59,$B$2:$B$1001,$B59)&gt;1),"INVALID",IFERROR(IF(IF(INDEX(Accounts!$T$2:$T$11,$F59),ROUND(IF($E59="",$C59,MIN($C59,$E59))-(H59),6)&lt;=0,ROUND(IF($E59="",$C59,MIN($C59,$E59))-(H59),6)&lt;0),"BREACHED","OK"),"INCOMPLETE")),"INVALID"))))</f>
        <v/>
      </c>
      <c r="J59" s="33">
        <f>IF(OR(I59="OK",I59="BREACHED"),-INT(ROUND(-(H59)*100,6))/100,I59)</f>
        <v/>
      </c>
    </row>
    <row r="60" ht="18" customHeight="1">
      <c r="A60" s="9" t="n"/>
      <c r="B60" s="32" t="n"/>
      <c r="C60" s="12" t="n"/>
      <c r="D60" s="12" t="n"/>
      <c r="E60" s="12" t="n"/>
      <c r="F60" s="15">
        <f>IFERROR(MATCH($A60,Accounts!$A$2:$A$11,0),"")</f>
        <v/>
      </c>
      <c r="G60" s="14">
        <f>IFERROR(IF(OR($A60="",$F60=""),"",IF(INDEX(Accounts!$P$2:$P$11,$F60)="static",INDEX(Accounts!$Q$2:$Q$11,$F60),IF(INDEX(Accounts!$P$2:$P$11,$F60)="eod_trailing",MAX(INDEX(Accounts!$Q$2:$Q$11,$F60),_xlfn.MAXIFS($C$2:$C$1001,$A$2:$A$1001,$A60,$B$2:$B$1001,"&lt;"&amp;$B60)),MAX(INDEX(Accounts!$Q$2:$Q$11,$F60),_xlfn.MAXIFS($C$2:$C$1001,$A$2:$A$1001,$A60,$B$2:$B$1001,"&lt;"&amp;$B60),_xlfn.MAXIFS($D$2:$D$1001,$A$2:$A$1001,$A60,$B$2:$B$1001,"&lt;="&amp;$B60),$C60)))),"")</f>
        <v/>
      </c>
      <c r="H60" s="15">
        <f>IFERROR(IF(G60="","",IF(INDEX(Accounts!$P$2:$P$11,$F60)="static",INDEX(Accounts!$Q$2:$Q$11,$F60)-INDEX(Accounts!$R$2:$R$11,$F60),IF(INDEX(Accounts!$S$2:$S$11,$F60)="NONE",G60-INDEX(Accounts!$R$2:$R$11,$F60),MIN(G60-INDEX(Accounts!$R$2:$R$11,$F60),INDEX(Accounts!$Q$2:$Q$11,$F60)+INDEX(Accounts!$S$2:$S$11,$F60))))),"")</f>
        <v/>
      </c>
      <c r="I60" s="16">
        <f>IF(AND($A60="",$B60="",$C60="",$D60="",$E60=""),"",IF(OR($A60="",$F60=""),"UNKNOWN_ACCOUNT",IF(OR($B60="",$C60=""),"INCOMPLETE",IFERROR(IF(OR(NOT(ISNUMBER($B60)),NOT(ISNUMBER($C60)),IF(C60="",FALSE,IF(ISNUMBER(C60),OR(C60&lt;=0,C60&gt;100000000,ROUND(C60*100,6)&lt;&gt;INT(ROUND(C60*100,6))),TRUE)),IF(D60="",FALSE,IF(ISNUMBER(D60),OR(D60&lt;=0,D60&gt;100000000,ROUND(D60*100,6)&lt;&gt;INT(ROUND(D60*100,6))),TRUE)),IF(E60="",FALSE,IF(ISNUMBER(E60),OR(E60&lt;=0,E60&gt;100000000,ROUND(E60*100,6)&lt;&gt;INT(ROUND(E60*100,6))),TRUE)),AND($D60&lt;&gt;"",$D60&lt;MAX($C60,$E60)),AND($E60&lt;&gt;"",$E60&gt;MIN($C60,IF($D60="",$C60,$D60))),COUNTIFS($A$2:$A$1001,$A60,$B$2:$B$1001,$B60)&gt;1),"INVALID",IFERROR(IF(IF(INDEX(Accounts!$T$2:$T$11,$F60),ROUND(IF($E60="",$C60,MIN($C60,$E60))-(H60),6)&lt;=0,ROUND(IF($E60="",$C60,MIN($C60,$E60))-(H60),6)&lt;0),"BREACHED","OK"),"INCOMPLETE")),"INVALID"))))</f>
        <v/>
      </c>
      <c r="J60" s="33">
        <f>IF(OR(I60="OK",I60="BREACHED"),-INT(ROUND(-(H60)*100,6))/100,I60)</f>
        <v/>
      </c>
    </row>
    <row r="61" ht="18" customHeight="1">
      <c r="A61" s="9" t="n"/>
      <c r="B61" s="32" t="n"/>
      <c r="C61" s="12" t="n"/>
      <c r="D61" s="12" t="n"/>
      <c r="E61" s="12" t="n"/>
      <c r="F61" s="15">
        <f>IFERROR(MATCH($A61,Accounts!$A$2:$A$11,0),"")</f>
        <v/>
      </c>
      <c r="G61" s="14">
        <f>IFERROR(IF(OR($A61="",$F61=""),"",IF(INDEX(Accounts!$P$2:$P$11,$F61)="static",INDEX(Accounts!$Q$2:$Q$11,$F61),IF(INDEX(Accounts!$P$2:$P$11,$F61)="eod_trailing",MAX(INDEX(Accounts!$Q$2:$Q$11,$F61),_xlfn.MAXIFS($C$2:$C$1001,$A$2:$A$1001,$A61,$B$2:$B$1001,"&lt;"&amp;$B61)),MAX(INDEX(Accounts!$Q$2:$Q$11,$F61),_xlfn.MAXIFS($C$2:$C$1001,$A$2:$A$1001,$A61,$B$2:$B$1001,"&lt;"&amp;$B61),_xlfn.MAXIFS($D$2:$D$1001,$A$2:$A$1001,$A61,$B$2:$B$1001,"&lt;="&amp;$B61),$C61)))),"")</f>
        <v/>
      </c>
      <c r="H61" s="15">
        <f>IFERROR(IF(G61="","",IF(INDEX(Accounts!$P$2:$P$11,$F61)="static",INDEX(Accounts!$Q$2:$Q$11,$F61)-INDEX(Accounts!$R$2:$R$11,$F61),IF(INDEX(Accounts!$S$2:$S$11,$F61)="NONE",G61-INDEX(Accounts!$R$2:$R$11,$F61),MIN(G61-INDEX(Accounts!$R$2:$R$11,$F61),INDEX(Accounts!$Q$2:$Q$11,$F61)+INDEX(Accounts!$S$2:$S$11,$F61))))),"")</f>
        <v/>
      </c>
      <c r="I61" s="16">
        <f>IF(AND($A61="",$B61="",$C61="",$D61="",$E61=""),"",IF(OR($A61="",$F61=""),"UNKNOWN_ACCOUNT",IF(OR($B61="",$C61=""),"INCOMPLETE",IFERROR(IF(OR(NOT(ISNUMBER($B61)),NOT(ISNUMBER($C61)),IF(C61="",FALSE,IF(ISNUMBER(C61),OR(C61&lt;=0,C61&gt;100000000,ROUND(C61*100,6)&lt;&gt;INT(ROUND(C61*100,6))),TRUE)),IF(D61="",FALSE,IF(ISNUMBER(D61),OR(D61&lt;=0,D61&gt;100000000,ROUND(D61*100,6)&lt;&gt;INT(ROUND(D61*100,6))),TRUE)),IF(E61="",FALSE,IF(ISNUMBER(E61),OR(E61&lt;=0,E61&gt;100000000,ROUND(E61*100,6)&lt;&gt;INT(ROUND(E61*100,6))),TRUE)),AND($D61&lt;&gt;"",$D61&lt;MAX($C61,$E61)),AND($E61&lt;&gt;"",$E61&gt;MIN($C61,IF($D61="",$C61,$D61))),COUNTIFS($A$2:$A$1001,$A61,$B$2:$B$1001,$B61)&gt;1),"INVALID",IFERROR(IF(IF(INDEX(Accounts!$T$2:$T$11,$F61),ROUND(IF($E61="",$C61,MIN($C61,$E61))-(H61),6)&lt;=0,ROUND(IF($E61="",$C61,MIN($C61,$E61))-(H61),6)&lt;0),"BREACHED","OK"),"INCOMPLETE")),"INVALID"))))</f>
        <v/>
      </c>
      <c r="J61" s="33">
        <f>IF(OR(I61="OK",I61="BREACHED"),-INT(ROUND(-(H61)*100,6))/100,I61)</f>
        <v/>
      </c>
    </row>
    <row r="62" ht="18" customHeight="1">
      <c r="A62" s="9" t="n"/>
      <c r="B62" s="32" t="n"/>
      <c r="C62" s="12" t="n"/>
      <c r="D62" s="12" t="n"/>
      <c r="E62" s="12" t="n"/>
      <c r="F62" s="15">
        <f>IFERROR(MATCH($A62,Accounts!$A$2:$A$11,0),"")</f>
        <v/>
      </c>
      <c r="G62" s="14">
        <f>IFERROR(IF(OR($A62="",$F62=""),"",IF(INDEX(Accounts!$P$2:$P$11,$F62)="static",INDEX(Accounts!$Q$2:$Q$11,$F62),IF(INDEX(Accounts!$P$2:$P$11,$F62)="eod_trailing",MAX(INDEX(Accounts!$Q$2:$Q$11,$F62),_xlfn.MAXIFS($C$2:$C$1001,$A$2:$A$1001,$A62,$B$2:$B$1001,"&lt;"&amp;$B62)),MAX(INDEX(Accounts!$Q$2:$Q$11,$F62),_xlfn.MAXIFS($C$2:$C$1001,$A$2:$A$1001,$A62,$B$2:$B$1001,"&lt;"&amp;$B62),_xlfn.MAXIFS($D$2:$D$1001,$A$2:$A$1001,$A62,$B$2:$B$1001,"&lt;="&amp;$B62),$C62)))),"")</f>
        <v/>
      </c>
      <c r="H62" s="15">
        <f>IFERROR(IF(G62="","",IF(INDEX(Accounts!$P$2:$P$11,$F62)="static",INDEX(Accounts!$Q$2:$Q$11,$F62)-INDEX(Accounts!$R$2:$R$11,$F62),IF(INDEX(Accounts!$S$2:$S$11,$F62)="NONE",G62-INDEX(Accounts!$R$2:$R$11,$F62),MIN(G62-INDEX(Accounts!$R$2:$R$11,$F62),INDEX(Accounts!$Q$2:$Q$11,$F62)+INDEX(Accounts!$S$2:$S$11,$F62))))),"")</f>
        <v/>
      </c>
      <c r="I62" s="16">
        <f>IF(AND($A62="",$B62="",$C62="",$D62="",$E62=""),"",IF(OR($A62="",$F62=""),"UNKNOWN_ACCOUNT",IF(OR($B62="",$C62=""),"INCOMPLETE",IFERROR(IF(OR(NOT(ISNUMBER($B62)),NOT(ISNUMBER($C62)),IF(C62="",FALSE,IF(ISNUMBER(C62),OR(C62&lt;=0,C62&gt;100000000,ROUND(C62*100,6)&lt;&gt;INT(ROUND(C62*100,6))),TRUE)),IF(D62="",FALSE,IF(ISNUMBER(D62),OR(D62&lt;=0,D62&gt;100000000,ROUND(D62*100,6)&lt;&gt;INT(ROUND(D62*100,6))),TRUE)),IF(E62="",FALSE,IF(ISNUMBER(E62),OR(E62&lt;=0,E62&gt;100000000,ROUND(E62*100,6)&lt;&gt;INT(ROUND(E62*100,6))),TRUE)),AND($D62&lt;&gt;"",$D62&lt;MAX($C62,$E62)),AND($E62&lt;&gt;"",$E62&gt;MIN($C62,IF($D62="",$C62,$D62))),COUNTIFS($A$2:$A$1001,$A62,$B$2:$B$1001,$B62)&gt;1),"INVALID",IFERROR(IF(IF(INDEX(Accounts!$T$2:$T$11,$F62),ROUND(IF($E62="",$C62,MIN($C62,$E62))-(H62),6)&lt;=0,ROUND(IF($E62="",$C62,MIN($C62,$E62))-(H62),6)&lt;0),"BREACHED","OK"),"INCOMPLETE")),"INVALID"))))</f>
        <v/>
      </c>
      <c r="J62" s="33">
        <f>IF(OR(I62="OK",I62="BREACHED"),-INT(ROUND(-(H62)*100,6))/100,I62)</f>
        <v/>
      </c>
    </row>
    <row r="63" ht="18" customHeight="1">
      <c r="A63" s="9" t="n"/>
      <c r="B63" s="32" t="n"/>
      <c r="C63" s="12" t="n"/>
      <c r="D63" s="12" t="n"/>
      <c r="E63" s="12" t="n"/>
      <c r="F63" s="15">
        <f>IFERROR(MATCH($A63,Accounts!$A$2:$A$11,0),"")</f>
        <v/>
      </c>
      <c r="G63" s="14">
        <f>IFERROR(IF(OR($A63="",$F63=""),"",IF(INDEX(Accounts!$P$2:$P$11,$F63)="static",INDEX(Accounts!$Q$2:$Q$11,$F63),IF(INDEX(Accounts!$P$2:$P$11,$F63)="eod_trailing",MAX(INDEX(Accounts!$Q$2:$Q$11,$F63),_xlfn.MAXIFS($C$2:$C$1001,$A$2:$A$1001,$A63,$B$2:$B$1001,"&lt;"&amp;$B63)),MAX(INDEX(Accounts!$Q$2:$Q$11,$F63),_xlfn.MAXIFS($C$2:$C$1001,$A$2:$A$1001,$A63,$B$2:$B$1001,"&lt;"&amp;$B63),_xlfn.MAXIFS($D$2:$D$1001,$A$2:$A$1001,$A63,$B$2:$B$1001,"&lt;="&amp;$B63),$C63)))),"")</f>
        <v/>
      </c>
      <c r="H63" s="15">
        <f>IFERROR(IF(G63="","",IF(INDEX(Accounts!$P$2:$P$11,$F63)="static",INDEX(Accounts!$Q$2:$Q$11,$F63)-INDEX(Accounts!$R$2:$R$11,$F63),IF(INDEX(Accounts!$S$2:$S$11,$F63)="NONE",G63-INDEX(Accounts!$R$2:$R$11,$F63),MIN(G63-INDEX(Accounts!$R$2:$R$11,$F63),INDEX(Accounts!$Q$2:$Q$11,$F63)+INDEX(Accounts!$S$2:$S$11,$F63))))),"")</f>
        <v/>
      </c>
      <c r="I63" s="16">
        <f>IF(AND($A63="",$B63="",$C63="",$D63="",$E63=""),"",IF(OR($A63="",$F63=""),"UNKNOWN_ACCOUNT",IF(OR($B63="",$C63=""),"INCOMPLETE",IFERROR(IF(OR(NOT(ISNUMBER($B63)),NOT(ISNUMBER($C63)),IF(C63="",FALSE,IF(ISNUMBER(C63),OR(C63&lt;=0,C63&gt;100000000,ROUND(C63*100,6)&lt;&gt;INT(ROUND(C63*100,6))),TRUE)),IF(D63="",FALSE,IF(ISNUMBER(D63),OR(D63&lt;=0,D63&gt;100000000,ROUND(D63*100,6)&lt;&gt;INT(ROUND(D63*100,6))),TRUE)),IF(E63="",FALSE,IF(ISNUMBER(E63),OR(E63&lt;=0,E63&gt;100000000,ROUND(E63*100,6)&lt;&gt;INT(ROUND(E63*100,6))),TRUE)),AND($D63&lt;&gt;"",$D63&lt;MAX($C63,$E63)),AND($E63&lt;&gt;"",$E63&gt;MIN($C63,IF($D63="",$C63,$D63))),COUNTIFS($A$2:$A$1001,$A63,$B$2:$B$1001,$B63)&gt;1),"INVALID",IFERROR(IF(IF(INDEX(Accounts!$T$2:$T$11,$F63),ROUND(IF($E63="",$C63,MIN($C63,$E63))-(H63),6)&lt;=0,ROUND(IF($E63="",$C63,MIN($C63,$E63))-(H63),6)&lt;0),"BREACHED","OK"),"INCOMPLETE")),"INVALID"))))</f>
        <v/>
      </c>
      <c r="J63" s="33">
        <f>IF(OR(I63="OK",I63="BREACHED"),-INT(ROUND(-(H63)*100,6))/100,I63)</f>
        <v/>
      </c>
    </row>
    <row r="64" ht="18" customHeight="1">
      <c r="A64" s="9" t="n"/>
      <c r="B64" s="32" t="n"/>
      <c r="C64" s="12" t="n"/>
      <c r="D64" s="12" t="n"/>
      <c r="E64" s="12" t="n"/>
      <c r="F64" s="15">
        <f>IFERROR(MATCH($A64,Accounts!$A$2:$A$11,0),"")</f>
        <v/>
      </c>
      <c r="G64" s="14">
        <f>IFERROR(IF(OR($A64="",$F64=""),"",IF(INDEX(Accounts!$P$2:$P$11,$F64)="static",INDEX(Accounts!$Q$2:$Q$11,$F64),IF(INDEX(Accounts!$P$2:$P$11,$F64)="eod_trailing",MAX(INDEX(Accounts!$Q$2:$Q$11,$F64),_xlfn.MAXIFS($C$2:$C$1001,$A$2:$A$1001,$A64,$B$2:$B$1001,"&lt;"&amp;$B64)),MAX(INDEX(Accounts!$Q$2:$Q$11,$F64),_xlfn.MAXIFS($C$2:$C$1001,$A$2:$A$1001,$A64,$B$2:$B$1001,"&lt;"&amp;$B64),_xlfn.MAXIFS($D$2:$D$1001,$A$2:$A$1001,$A64,$B$2:$B$1001,"&lt;="&amp;$B64),$C64)))),"")</f>
        <v/>
      </c>
      <c r="H64" s="15">
        <f>IFERROR(IF(G64="","",IF(INDEX(Accounts!$P$2:$P$11,$F64)="static",INDEX(Accounts!$Q$2:$Q$11,$F64)-INDEX(Accounts!$R$2:$R$11,$F64),IF(INDEX(Accounts!$S$2:$S$11,$F64)="NONE",G64-INDEX(Accounts!$R$2:$R$11,$F64),MIN(G64-INDEX(Accounts!$R$2:$R$11,$F64),INDEX(Accounts!$Q$2:$Q$11,$F64)+INDEX(Accounts!$S$2:$S$11,$F64))))),"")</f>
        <v/>
      </c>
      <c r="I64" s="16">
        <f>IF(AND($A64="",$B64="",$C64="",$D64="",$E64=""),"",IF(OR($A64="",$F64=""),"UNKNOWN_ACCOUNT",IF(OR($B64="",$C64=""),"INCOMPLETE",IFERROR(IF(OR(NOT(ISNUMBER($B64)),NOT(ISNUMBER($C64)),IF(C64="",FALSE,IF(ISNUMBER(C64),OR(C64&lt;=0,C64&gt;100000000,ROUND(C64*100,6)&lt;&gt;INT(ROUND(C64*100,6))),TRUE)),IF(D64="",FALSE,IF(ISNUMBER(D64),OR(D64&lt;=0,D64&gt;100000000,ROUND(D64*100,6)&lt;&gt;INT(ROUND(D64*100,6))),TRUE)),IF(E64="",FALSE,IF(ISNUMBER(E64),OR(E64&lt;=0,E64&gt;100000000,ROUND(E64*100,6)&lt;&gt;INT(ROUND(E64*100,6))),TRUE)),AND($D64&lt;&gt;"",$D64&lt;MAX($C64,$E64)),AND($E64&lt;&gt;"",$E64&gt;MIN($C64,IF($D64="",$C64,$D64))),COUNTIFS($A$2:$A$1001,$A64,$B$2:$B$1001,$B64)&gt;1),"INVALID",IFERROR(IF(IF(INDEX(Accounts!$T$2:$T$11,$F64),ROUND(IF($E64="",$C64,MIN($C64,$E64))-(H64),6)&lt;=0,ROUND(IF($E64="",$C64,MIN($C64,$E64))-(H64),6)&lt;0),"BREACHED","OK"),"INCOMPLETE")),"INVALID"))))</f>
        <v/>
      </c>
      <c r="J64" s="33">
        <f>IF(OR(I64="OK",I64="BREACHED"),-INT(ROUND(-(H64)*100,6))/100,I64)</f>
        <v/>
      </c>
    </row>
    <row r="65" ht="18" customHeight="1">
      <c r="A65" s="9" t="n"/>
      <c r="B65" s="32" t="n"/>
      <c r="C65" s="12" t="n"/>
      <c r="D65" s="12" t="n"/>
      <c r="E65" s="12" t="n"/>
      <c r="F65" s="15">
        <f>IFERROR(MATCH($A65,Accounts!$A$2:$A$11,0),"")</f>
        <v/>
      </c>
      <c r="G65" s="14">
        <f>IFERROR(IF(OR($A65="",$F65=""),"",IF(INDEX(Accounts!$P$2:$P$11,$F65)="static",INDEX(Accounts!$Q$2:$Q$11,$F65),IF(INDEX(Accounts!$P$2:$P$11,$F65)="eod_trailing",MAX(INDEX(Accounts!$Q$2:$Q$11,$F65),_xlfn.MAXIFS($C$2:$C$1001,$A$2:$A$1001,$A65,$B$2:$B$1001,"&lt;"&amp;$B65)),MAX(INDEX(Accounts!$Q$2:$Q$11,$F65),_xlfn.MAXIFS($C$2:$C$1001,$A$2:$A$1001,$A65,$B$2:$B$1001,"&lt;"&amp;$B65),_xlfn.MAXIFS($D$2:$D$1001,$A$2:$A$1001,$A65,$B$2:$B$1001,"&lt;="&amp;$B65),$C65)))),"")</f>
        <v/>
      </c>
      <c r="H65" s="15">
        <f>IFERROR(IF(G65="","",IF(INDEX(Accounts!$P$2:$P$11,$F65)="static",INDEX(Accounts!$Q$2:$Q$11,$F65)-INDEX(Accounts!$R$2:$R$11,$F65),IF(INDEX(Accounts!$S$2:$S$11,$F65)="NONE",G65-INDEX(Accounts!$R$2:$R$11,$F65),MIN(G65-INDEX(Accounts!$R$2:$R$11,$F65),INDEX(Accounts!$Q$2:$Q$11,$F65)+INDEX(Accounts!$S$2:$S$11,$F65))))),"")</f>
        <v/>
      </c>
      <c r="I65" s="16">
        <f>IF(AND($A65="",$B65="",$C65="",$D65="",$E65=""),"",IF(OR($A65="",$F65=""),"UNKNOWN_ACCOUNT",IF(OR($B65="",$C65=""),"INCOMPLETE",IFERROR(IF(OR(NOT(ISNUMBER($B65)),NOT(ISNUMBER($C65)),IF(C65="",FALSE,IF(ISNUMBER(C65),OR(C65&lt;=0,C65&gt;100000000,ROUND(C65*100,6)&lt;&gt;INT(ROUND(C65*100,6))),TRUE)),IF(D65="",FALSE,IF(ISNUMBER(D65),OR(D65&lt;=0,D65&gt;100000000,ROUND(D65*100,6)&lt;&gt;INT(ROUND(D65*100,6))),TRUE)),IF(E65="",FALSE,IF(ISNUMBER(E65),OR(E65&lt;=0,E65&gt;100000000,ROUND(E65*100,6)&lt;&gt;INT(ROUND(E65*100,6))),TRUE)),AND($D65&lt;&gt;"",$D65&lt;MAX($C65,$E65)),AND($E65&lt;&gt;"",$E65&gt;MIN($C65,IF($D65="",$C65,$D65))),COUNTIFS($A$2:$A$1001,$A65,$B$2:$B$1001,$B65)&gt;1),"INVALID",IFERROR(IF(IF(INDEX(Accounts!$T$2:$T$11,$F65),ROUND(IF($E65="",$C65,MIN($C65,$E65))-(H65),6)&lt;=0,ROUND(IF($E65="",$C65,MIN($C65,$E65))-(H65),6)&lt;0),"BREACHED","OK"),"INCOMPLETE")),"INVALID"))))</f>
        <v/>
      </c>
      <c r="J65" s="33">
        <f>IF(OR(I65="OK",I65="BREACHED"),-INT(ROUND(-(H65)*100,6))/100,I65)</f>
        <v/>
      </c>
    </row>
    <row r="66" ht="18" customHeight="1">
      <c r="A66" s="9" t="n"/>
      <c r="B66" s="32" t="n"/>
      <c r="C66" s="12" t="n"/>
      <c r="D66" s="12" t="n"/>
      <c r="E66" s="12" t="n"/>
      <c r="F66" s="15">
        <f>IFERROR(MATCH($A66,Accounts!$A$2:$A$11,0),"")</f>
        <v/>
      </c>
      <c r="G66" s="14">
        <f>IFERROR(IF(OR($A66="",$F66=""),"",IF(INDEX(Accounts!$P$2:$P$11,$F66)="static",INDEX(Accounts!$Q$2:$Q$11,$F66),IF(INDEX(Accounts!$P$2:$P$11,$F66)="eod_trailing",MAX(INDEX(Accounts!$Q$2:$Q$11,$F66),_xlfn.MAXIFS($C$2:$C$1001,$A$2:$A$1001,$A66,$B$2:$B$1001,"&lt;"&amp;$B66)),MAX(INDEX(Accounts!$Q$2:$Q$11,$F66),_xlfn.MAXIFS($C$2:$C$1001,$A$2:$A$1001,$A66,$B$2:$B$1001,"&lt;"&amp;$B66),_xlfn.MAXIFS($D$2:$D$1001,$A$2:$A$1001,$A66,$B$2:$B$1001,"&lt;="&amp;$B66),$C66)))),"")</f>
        <v/>
      </c>
      <c r="H66" s="15">
        <f>IFERROR(IF(G66="","",IF(INDEX(Accounts!$P$2:$P$11,$F66)="static",INDEX(Accounts!$Q$2:$Q$11,$F66)-INDEX(Accounts!$R$2:$R$11,$F66),IF(INDEX(Accounts!$S$2:$S$11,$F66)="NONE",G66-INDEX(Accounts!$R$2:$R$11,$F66),MIN(G66-INDEX(Accounts!$R$2:$R$11,$F66),INDEX(Accounts!$Q$2:$Q$11,$F66)+INDEX(Accounts!$S$2:$S$11,$F66))))),"")</f>
        <v/>
      </c>
      <c r="I66" s="16">
        <f>IF(AND($A66="",$B66="",$C66="",$D66="",$E66=""),"",IF(OR($A66="",$F66=""),"UNKNOWN_ACCOUNT",IF(OR($B66="",$C66=""),"INCOMPLETE",IFERROR(IF(OR(NOT(ISNUMBER($B66)),NOT(ISNUMBER($C66)),IF(C66="",FALSE,IF(ISNUMBER(C66),OR(C66&lt;=0,C66&gt;100000000,ROUND(C66*100,6)&lt;&gt;INT(ROUND(C66*100,6))),TRUE)),IF(D66="",FALSE,IF(ISNUMBER(D66),OR(D66&lt;=0,D66&gt;100000000,ROUND(D66*100,6)&lt;&gt;INT(ROUND(D66*100,6))),TRUE)),IF(E66="",FALSE,IF(ISNUMBER(E66),OR(E66&lt;=0,E66&gt;100000000,ROUND(E66*100,6)&lt;&gt;INT(ROUND(E66*100,6))),TRUE)),AND($D66&lt;&gt;"",$D66&lt;MAX($C66,$E66)),AND($E66&lt;&gt;"",$E66&gt;MIN($C66,IF($D66="",$C66,$D66))),COUNTIFS($A$2:$A$1001,$A66,$B$2:$B$1001,$B66)&gt;1),"INVALID",IFERROR(IF(IF(INDEX(Accounts!$T$2:$T$11,$F66),ROUND(IF($E66="",$C66,MIN($C66,$E66))-(H66),6)&lt;=0,ROUND(IF($E66="",$C66,MIN($C66,$E66))-(H66),6)&lt;0),"BREACHED","OK"),"INCOMPLETE")),"INVALID"))))</f>
        <v/>
      </c>
      <c r="J66" s="33">
        <f>IF(OR(I66="OK",I66="BREACHED"),-INT(ROUND(-(H66)*100,6))/100,I66)</f>
        <v/>
      </c>
    </row>
    <row r="67" ht="18" customHeight="1">
      <c r="A67" s="9" t="n"/>
      <c r="B67" s="32" t="n"/>
      <c r="C67" s="12" t="n"/>
      <c r="D67" s="12" t="n"/>
      <c r="E67" s="12" t="n"/>
      <c r="F67" s="15">
        <f>IFERROR(MATCH($A67,Accounts!$A$2:$A$11,0),"")</f>
        <v/>
      </c>
      <c r="G67" s="14">
        <f>IFERROR(IF(OR($A67="",$F67=""),"",IF(INDEX(Accounts!$P$2:$P$11,$F67)="static",INDEX(Accounts!$Q$2:$Q$11,$F67),IF(INDEX(Accounts!$P$2:$P$11,$F67)="eod_trailing",MAX(INDEX(Accounts!$Q$2:$Q$11,$F67),_xlfn.MAXIFS($C$2:$C$1001,$A$2:$A$1001,$A67,$B$2:$B$1001,"&lt;"&amp;$B67)),MAX(INDEX(Accounts!$Q$2:$Q$11,$F67),_xlfn.MAXIFS($C$2:$C$1001,$A$2:$A$1001,$A67,$B$2:$B$1001,"&lt;"&amp;$B67),_xlfn.MAXIFS($D$2:$D$1001,$A$2:$A$1001,$A67,$B$2:$B$1001,"&lt;="&amp;$B67),$C67)))),"")</f>
        <v/>
      </c>
      <c r="H67" s="15">
        <f>IFERROR(IF(G67="","",IF(INDEX(Accounts!$P$2:$P$11,$F67)="static",INDEX(Accounts!$Q$2:$Q$11,$F67)-INDEX(Accounts!$R$2:$R$11,$F67),IF(INDEX(Accounts!$S$2:$S$11,$F67)="NONE",G67-INDEX(Accounts!$R$2:$R$11,$F67),MIN(G67-INDEX(Accounts!$R$2:$R$11,$F67),INDEX(Accounts!$Q$2:$Q$11,$F67)+INDEX(Accounts!$S$2:$S$11,$F67))))),"")</f>
        <v/>
      </c>
      <c r="I67" s="16">
        <f>IF(AND($A67="",$B67="",$C67="",$D67="",$E67=""),"",IF(OR($A67="",$F67=""),"UNKNOWN_ACCOUNT",IF(OR($B67="",$C67=""),"INCOMPLETE",IFERROR(IF(OR(NOT(ISNUMBER($B67)),NOT(ISNUMBER($C67)),IF(C67="",FALSE,IF(ISNUMBER(C67),OR(C67&lt;=0,C67&gt;100000000,ROUND(C67*100,6)&lt;&gt;INT(ROUND(C67*100,6))),TRUE)),IF(D67="",FALSE,IF(ISNUMBER(D67),OR(D67&lt;=0,D67&gt;100000000,ROUND(D67*100,6)&lt;&gt;INT(ROUND(D67*100,6))),TRUE)),IF(E67="",FALSE,IF(ISNUMBER(E67),OR(E67&lt;=0,E67&gt;100000000,ROUND(E67*100,6)&lt;&gt;INT(ROUND(E67*100,6))),TRUE)),AND($D67&lt;&gt;"",$D67&lt;MAX($C67,$E67)),AND($E67&lt;&gt;"",$E67&gt;MIN($C67,IF($D67="",$C67,$D67))),COUNTIFS($A$2:$A$1001,$A67,$B$2:$B$1001,$B67)&gt;1),"INVALID",IFERROR(IF(IF(INDEX(Accounts!$T$2:$T$11,$F67),ROUND(IF($E67="",$C67,MIN($C67,$E67))-(H67),6)&lt;=0,ROUND(IF($E67="",$C67,MIN($C67,$E67))-(H67),6)&lt;0),"BREACHED","OK"),"INCOMPLETE")),"INVALID"))))</f>
        <v/>
      </c>
      <c r="J67" s="33">
        <f>IF(OR(I67="OK",I67="BREACHED"),-INT(ROUND(-(H67)*100,6))/100,I67)</f>
        <v/>
      </c>
    </row>
    <row r="68" ht="18" customHeight="1">
      <c r="A68" s="9" t="n"/>
      <c r="B68" s="32" t="n"/>
      <c r="C68" s="12" t="n"/>
      <c r="D68" s="12" t="n"/>
      <c r="E68" s="12" t="n"/>
      <c r="F68" s="15">
        <f>IFERROR(MATCH($A68,Accounts!$A$2:$A$11,0),"")</f>
        <v/>
      </c>
      <c r="G68" s="14">
        <f>IFERROR(IF(OR($A68="",$F68=""),"",IF(INDEX(Accounts!$P$2:$P$11,$F68)="static",INDEX(Accounts!$Q$2:$Q$11,$F68),IF(INDEX(Accounts!$P$2:$P$11,$F68)="eod_trailing",MAX(INDEX(Accounts!$Q$2:$Q$11,$F68),_xlfn.MAXIFS($C$2:$C$1001,$A$2:$A$1001,$A68,$B$2:$B$1001,"&lt;"&amp;$B68)),MAX(INDEX(Accounts!$Q$2:$Q$11,$F68),_xlfn.MAXIFS($C$2:$C$1001,$A$2:$A$1001,$A68,$B$2:$B$1001,"&lt;"&amp;$B68),_xlfn.MAXIFS($D$2:$D$1001,$A$2:$A$1001,$A68,$B$2:$B$1001,"&lt;="&amp;$B68),$C68)))),"")</f>
        <v/>
      </c>
      <c r="H68" s="15">
        <f>IFERROR(IF(G68="","",IF(INDEX(Accounts!$P$2:$P$11,$F68)="static",INDEX(Accounts!$Q$2:$Q$11,$F68)-INDEX(Accounts!$R$2:$R$11,$F68),IF(INDEX(Accounts!$S$2:$S$11,$F68)="NONE",G68-INDEX(Accounts!$R$2:$R$11,$F68),MIN(G68-INDEX(Accounts!$R$2:$R$11,$F68),INDEX(Accounts!$Q$2:$Q$11,$F68)+INDEX(Accounts!$S$2:$S$11,$F68))))),"")</f>
        <v/>
      </c>
      <c r="I68" s="16">
        <f>IF(AND($A68="",$B68="",$C68="",$D68="",$E68=""),"",IF(OR($A68="",$F68=""),"UNKNOWN_ACCOUNT",IF(OR($B68="",$C68=""),"INCOMPLETE",IFERROR(IF(OR(NOT(ISNUMBER($B68)),NOT(ISNUMBER($C68)),IF(C68="",FALSE,IF(ISNUMBER(C68),OR(C68&lt;=0,C68&gt;100000000,ROUND(C68*100,6)&lt;&gt;INT(ROUND(C68*100,6))),TRUE)),IF(D68="",FALSE,IF(ISNUMBER(D68),OR(D68&lt;=0,D68&gt;100000000,ROUND(D68*100,6)&lt;&gt;INT(ROUND(D68*100,6))),TRUE)),IF(E68="",FALSE,IF(ISNUMBER(E68),OR(E68&lt;=0,E68&gt;100000000,ROUND(E68*100,6)&lt;&gt;INT(ROUND(E68*100,6))),TRUE)),AND($D68&lt;&gt;"",$D68&lt;MAX($C68,$E68)),AND($E68&lt;&gt;"",$E68&gt;MIN($C68,IF($D68="",$C68,$D68))),COUNTIFS($A$2:$A$1001,$A68,$B$2:$B$1001,$B68)&gt;1),"INVALID",IFERROR(IF(IF(INDEX(Accounts!$T$2:$T$11,$F68),ROUND(IF($E68="",$C68,MIN($C68,$E68))-(H68),6)&lt;=0,ROUND(IF($E68="",$C68,MIN($C68,$E68))-(H68),6)&lt;0),"BREACHED","OK"),"INCOMPLETE")),"INVALID"))))</f>
        <v/>
      </c>
      <c r="J68" s="33">
        <f>IF(OR(I68="OK",I68="BREACHED"),-INT(ROUND(-(H68)*100,6))/100,I68)</f>
        <v/>
      </c>
    </row>
    <row r="69" ht="18" customHeight="1">
      <c r="A69" s="9" t="n"/>
      <c r="B69" s="32" t="n"/>
      <c r="C69" s="12" t="n"/>
      <c r="D69" s="12" t="n"/>
      <c r="E69" s="12" t="n"/>
      <c r="F69" s="15">
        <f>IFERROR(MATCH($A69,Accounts!$A$2:$A$11,0),"")</f>
        <v/>
      </c>
      <c r="G69" s="14">
        <f>IFERROR(IF(OR($A69="",$F69=""),"",IF(INDEX(Accounts!$P$2:$P$11,$F69)="static",INDEX(Accounts!$Q$2:$Q$11,$F69),IF(INDEX(Accounts!$P$2:$P$11,$F69)="eod_trailing",MAX(INDEX(Accounts!$Q$2:$Q$11,$F69),_xlfn.MAXIFS($C$2:$C$1001,$A$2:$A$1001,$A69,$B$2:$B$1001,"&lt;"&amp;$B69)),MAX(INDEX(Accounts!$Q$2:$Q$11,$F69),_xlfn.MAXIFS($C$2:$C$1001,$A$2:$A$1001,$A69,$B$2:$B$1001,"&lt;"&amp;$B69),_xlfn.MAXIFS($D$2:$D$1001,$A$2:$A$1001,$A69,$B$2:$B$1001,"&lt;="&amp;$B69),$C69)))),"")</f>
        <v/>
      </c>
      <c r="H69" s="15">
        <f>IFERROR(IF(G69="","",IF(INDEX(Accounts!$P$2:$P$11,$F69)="static",INDEX(Accounts!$Q$2:$Q$11,$F69)-INDEX(Accounts!$R$2:$R$11,$F69),IF(INDEX(Accounts!$S$2:$S$11,$F69)="NONE",G69-INDEX(Accounts!$R$2:$R$11,$F69),MIN(G69-INDEX(Accounts!$R$2:$R$11,$F69),INDEX(Accounts!$Q$2:$Q$11,$F69)+INDEX(Accounts!$S$2:$S$11,$F69))))),"")</f>
        <v/>
      </c>
      <c r="I69" s="16">
        <f>IF(AND($A69="",$B69="",$C69="",$D69="",$E69=""),"",IF(OR($A69="",$F69=""),"UNKNOWN_ACCOUNT",IF(OR($B69="",$C69=""),"INCOMPLETE",IFERROR(IF(OR(NOT(ISNUMBER($B69)),NOT(ISNUMBER($C69)),IF(C69="",FALSE,IF(ISNUMBER(C69),OR(C69&lt;=0,C69&gt;100000000,ROUND(C69*100,6)&lt;&gt;INT(ROUND(C69*100,6))),TRUE)),IF(D69="",FALSE,IF(ISNUMBER(D69),OR(D69&lt;=0,D69&gt;100000000,ROUND(D69*100,6)&lt;&gt;INT(ROUND(D69*100,6))),TRUE)),IF(E69="",FALSE,IF(ISNUMBER(E69),OR(E69&lt;=0,E69&gt;100000000,ROUND(E69*100,6)&lt;&gt;INT(ROUND(E69*100,6))),TRUE)),AND($D69&lt;&gt;"",$D69&lt;MAX($C69,$E69)),AND($E69&lt;&gt;"",$E69&gt;MIN($C69,IF($D69="",$C69,$D69))),COUNTIFS($A$2:$A$1001,$A69,$B$2:$B$1001,$B69)&gt;1),"INVALID",IFERROR(IF(IF(INDEX(Accounts!$T$2:$T$11,$F69),ROUND(IF($E69="",$C69,MIN($C69,$E69))-(H69),6)&lt;=0,ROUND(IF($E69="",$C69,MIN($C69,$E69))-(H69),6)&lt;0),"BREACHED","OK"),"INCOMPLETE")),"INVALID"))))</f>
        <v/>
      </c>
      <c r="J69" s="33">
        <f>IF(OR(I69="OK",I69="BREACHED"),-INT(ROUND(-(H69)*100,6))/100,I69)</f>
        <v/>
      </c>
    </row>
    <row r="70" ht="18" customHeight="1">
      <c r="A70" s="9" t="n"/>
      <c r="B70" s="32" t="n"/>
      <c r="C70" s="12" t="n"/>
      <c r="D70" s="12" t="n"/>
      <c r="E70" s="12" t="n"/>
      <c r="F70" s="15">
        <f>IFERROR(MATCH($A70,Accounts!$A$2:$A$11,0),"")</f>
        <v/>
      </c>
      <c r="G70" s="14">
        <f>IFERROR(IF(OR($A70="",$F70=""),"",IF(INDEX(Accounts!$P$2:$P$11,$F70)="static",INDEX(Accounts!$Q$2:$Q$11,$F70),IF(INDEX(Accounts!$P$2:$P$11,$F70)="eod_trailing",MAX(INDEX(Accounts!$Q$2:$Q$11,$F70),_xlfn.MAXIFS($C$2:$C$1001,$A$2:$A$1001,$A70,$B$2:$B$1001,"&lt;"&amp;$B70)),MAX(INDEX(Accounts!$Q$2:$Q$11,$F70),_xlfn.MAXIFS($C$2:$C$1001,$A$2:$A$1001,$A70,$B$2:$B$1001,"&lt;"&amp;$B70),_xlfn.MAXIFS($D$2:$D$1001,$A$2:$A$1001,$A70,$B$2:$B$1001,"&lt;="&amp;$B70),$C70)))),"")</f>
        <v/>
      </c>
      <c r="H70" s="15">
        <f>IFERROR(IF(G70="","",IF(INDEX(Accounts!$P$2:$P$11,$F70)="static",INDEX(Accounts!$Q$2:$Q$11,$F70)-INDEX(Accounts!$R$2:$R$11,$F70),IF(INDEX(Accounts!$S$2:$S$11,$F70)="NONE",G70-INDEX(Accounts!$R$2:$R$11,$F70),MIN(G70-INDEX(Accounts!$R$2:$R$11,$F70),INDEX(Accounts!$Q$2:$Q$11,$F70)+INDEX(Accounts!$S$2:$S$11,$F70))))),"")</f>
        <v/>
      </c>
      <c r="I70" s="16">
        <f>IF(AND($A70="",$B70="",$C70="",$D70="",$E70=""),"",IF(OR($A70="",$F70=""),"UNKNOWN_ACCOUNT",IF(OR($B70="",$C70=""),"INCOMPLETE",IFERROR(IF(OR(NOT(ISNUMBER($B70)),NOT(ISNUMBER($C70)),IF(C70="",FALSE,IF(ISNUMBER(C70),OR(C70&lt;=0,C70&gt;100000000,ROUND(C70*100,6)&lt;&gt;INT(ROUND(C70*100,6))),TRUE)),IF(D70="",FALSE,IF(ISNUMBER(D70),OR(D70&lt;=0,D70&gt;100000000,ROUND(D70*100,6)&lt;&gt;INT(ROUND(D70*100,6))),TRUE)),IF(E70="",FALSE,IF(ISNUMBER(E70),OR(E70&lt;=0,E70&gt;100000000,ROUND(E70*100,6)&lt;&gt;INT(ROUND(E70*100,6))),TRUE)),AND($D70&lt;&gt;"",$D70&lt;MAX($C70,$E70)),AND($E70&lt;&gt;"",$E70&gt;MIN($C70,IF($D70="",$C70,$D70))),COUNTIFS($A$2:$A$1001,$A70,$B$2:$B$1001,$B70)&gt;1),"INVALID",IFERROR(IF(IF(INDEX(Accounts!$T$2:$T$11,$F70),ROUND(IF($E70="",$C70,MIN($C70,$E70))-(H70),6)&lt;=0,ROUND(IF($E70="",$C70,MIN($C70,$E70))-(H70),6)&lt;0),"BREACHED","OK"),"INCOMPLETE")),"INVALID"))))</f>
        <v/>
      </c>
      <c r="J70" s="33">
        <f>IF(OR(I70="OK",I70="BREACHED"),-INT(ROUND(-(H70)*100,6))/100,I70)</f>
        <v/>
      </c>
    </row>
    <row r="71" ht="18" customHeight="1">
      <c r="A71" s="9" t="n"/>
      <c r="B71" s="32" t="n"/>
      <c r="C71" s="12" t="n"/>
      <c r="D71" s="12" t="n"/>
      <c r="E71" s="12" t="n"/>
      <c r="F71" s="15">
        <f>IFERROR(MATCH($A71,Accounts!$A$2:$A$11,0),"")</f>
        <v/>
      </c>
      <c r="G71" s="14">
        <f>IFERROR(IF(OR($A71="",$F71=""),"",IF(INDEX(Accounts!$P$2:$P$11,$F71)="static",INDEX(Accounts!$Q$2:$Q$11,$F71),IF(INDEX(Accounts!$P$2:$P$11,$F71)="eod_trailing",MAX(INDEX(Accounts!$Q$2:$Q$11,$F71),_xlfn.MAXIFS($C$2:$C$1001,$A$2:$A$1001,$A71,$B$2:$B$1001,"&lt;"&amp;$B71)),MAX(INDEX(Accounts!$Q$2:$Q$11,$F71),_xlfn.MAXIFS($C$2:$C$1001,$A$2:$A$1001,$A71,$B$2:$B$1001,"&lt;"&amp;$B71),_xlfn.MAXIFS($D$2:$D$1001,$A$2:$A$1001,$A71,$B$2:$B$1001,"&lt;="&amp;$B71),$C71)))),"")</f>
        <v/>
      </c>
      <c r="H71" s="15">
        <f>IFERROR(IF(G71="","",IF(INDEX(Accounts!$P$2:$P$11,$F71)="static",INDEX(Accounts!$Q$2:$Q$11,$F71)-INDEX(Accounts!$R$2:$R$11,$F71),IF(INDEX(Accounts!$S$2:$S$11,$F71)="NONE",G71-INDEX(Accounts!$R$2:$R$11,$F71),MIN(G71-INDEX(Accounts!$R$2:$R$11,$F71),INDEX(Accounts!$Q$2:$Q$11,$F71)+INDEX(Accounts!$S$2:$S$11,$F71))))),"")</f>
        <v/>
      </c>
      <c r="I71" s="16">
        <f>IF(AND($A71="",$B71="",$C71="",$D71="",$E71=""),"",IF(OR($A71="",$F71=""),"UNKNOWN_ACCOUNT",IF(OR($B71="",$C71=""),"INCOMPLETE",IFERROR(IF(OR(NOT(ISNUMBER($B71)),NOT(ISNUMBER($C71)),IF(C71="",FALSE,IF(ISNUMBER(C71),OR(C71&lt;=0,C71&gt;100000000,ROUND(C71*100,6)&lt;&gt;INT(ROUND(C71*100,6))),TRUE)),IF(D71="",FALSE,IF(ISNUMBER(D71),OR(D71&lt;=0,D71&gt;100000000,ROUND(D71*100,6)&lt;&gt;INT(ROUND(D71*100,6))),TRUE)),IF(E71="",FALSE,IF(ISNUMBER(E71),OR(E71&lt;=0,E71&gt;100000000,ROUND(E71*100,6)&lt;&gt;INT(ROUND(E71*100,6))),TRUE)),AND($D71&lt;&gt;"",$D71&lt;MAX($C71,$E71)),AND($E71&lt;&gt;"",$E71&gt;MIN($C71,IF($D71="",$C71,$D71))),COUNTIFS($A$2:$A$1001,$A71,$B$2:$B$1001,$B71)&gt;1),"INVALID",IFERROR(IF(IF(INDEX(Accounts!$T$2:$T$11,$F71),ROUND(IF($E71="",$C71,MIN($C71,$E71))-(H71),6)&lt;=0,ROUND(IF($E71="",$C71,MIN($C71,$E71))-(H71),6)&lt;0),"BREACHED","OK"),"INCOMPLETE")),"INVALID"))))</f>
        <v/>
      </c>
      <c r="J71" s="33">
        <f>IF(OR(I71="OK",I71="BREACHED"),-INT(ROUND(-(H71)*100,6))/100,I71)</f>
        <v/>
      </c>
    </row>
    <row r="72" ht="18" customHeight="1">
      <c r="A72" s="9" t="n"/>
      <c r="B72" s="32" t="n"/>
      <c r="C72" s="12" t="n"/>
      <c r="D72" s="12" t="n"/>
      <c r="E72" s="12" t="n"/>
      <c r="F72" s="15">
        <f>IFERROR(MATCH($A72,Accounts!$A$2:$A$11,0),"")</f>
        <v/>
      </c>
      <c r="G72" s="14">
        <f>IFERROR(IF(OR($A72="",$F72=""),"",IF(INDEX(Accounts!$P$2:$P$11,$F72)="static",INDEX(Accounts!$Q$2:$Q$11,$F72),IF(INDEX(Accounts!$P$2:$P$11,$F72)="eod_trailing",MAX(INDEX(Accounts!$Q$2:$Q$11,$F72),_xlfn.MAXIFS($C$2:$C$1001,$A$2:$A$1001,$A72,$B$2:$B$1001,"&lt;"&amp;$B72)),MAX(INDEX(Accounts!$Q$2:$Q$11,$F72),_xlfn.MAXIFS($C$2:$C$1001,$A$2:$A$1001,$A72,$B$2:$B$1001,"&lt;"&amp;$B72),_xlfn.MAXIFS($D$2:$D$1001,$A$2:$A$1001,$A72,$B$2:$B$1001,"&lt;="&amp;$B72),$C72)))),"")</f>
        <v/>
      </c>
      <c r="H72" s="15">
        <f>IFERROR(IF(G72="","",IF(INDEX(Accounts!$P$2:$P$11,$F72)="static",INDEX(Accounts!$Q$2:$Q$11,$F72)-INDEX(Accounts!$R$2:$R$11,$F72),IF(INDEX(Accounts!$S$2:$S$11,$F72)="NONE",G72-INDEX(Accounts!$R$2:$R$11,$F72),MIN(G72-INDEX(Accounts!$R$2:$R$11,$F72),INDEX(Accounts!$Q$2:$Q$11,$F72)+INDEX(Accounts!$S$2:$S$11,$F72))))),"")</f>
        <v/>
      </c>
      <c r="I72" s="16">
        <f>IF(AND($A72="",$B72="",$C72="",$D72="",$E72=""),"",IF(OR($A72="",$F72=""),"UNKNOWN_ACCOUNT",IF(OR($B72="",$C72=""),"INCOMPLETE",IFERROR(IF(OR(NOT(ISNUMBER($B72)),NOT(ISNUMBER($C72)),IF(C72="",FALSE,IF(ISNUMBER(C72),OR(C72&lt;=0,C72&gt;100000000,ROUND(C72*100,6)&lt;&gt;INT(ROUND(C72*100,6))),TRUE)),IF(D72="",FALSE,IF(ISNUMBER(D72),OR(D72&lt;=0,D72&gt;100000000,ROUND(D72*100,6)&lt;&gt;INT(ROUND(D72*100,6))),TRUE)),IF(E72="",FALSE,IF(ISNUMBER(E72),OR(E72&lt;=0,E72&gt;100000000,ROUND(E72*100,6)&lt;&gt;INT(ROUND(E72*100,6))),TRUE)),AND($D72&lt;&gt;"",$D72&lt;MAX($C72,$E72)),AND($E72&lt;&gt;"",$E72&gt;MIN($C72,IF($D72="",$C72,$D72))),COUNTIFS($A$2:$A$1001,$A72,$B$2:$B$1001,$B72)&gt;1),"INVALID",IFERROR(IF(IF(INDEX(Accounts!$T$2:$T$11,$F72),ROUND(IF($E72="",$C72,MIN($C72,$E72))-(H72),6)&lt;=0,ROUND(IF($E72="",$C72,MIN($C72,$E72))-(H72),6)&lt;0),"BREACHED","OK"),"INCOMPLETE")),"INVALID"))))</f>
        <v/>
      </c>
      <c r="J72" s="33">
        <f>IF(OR(I72="OK",I72="BREACHED"),-INT(ROUND(-(H72)*100,6))/100,I72)</f>
        <v/>
      </c>
    </row>
    <row r="73" ht="18" customHeight="1">
      <c r="A73" s="9" t="n"/>
      <c r="B73" s="32" t="n"/>
      <c r="C73" s="12" t="n"/>
      <c r="D73" s="12" t="n"/>
      <c r="E73" s="12" t="n"/>
      <c r="F73" s="15">
        <f>IFERROR(MATCH($A73,Accounts!$A$2:$A$11,0),"")</f>
        <v/>
      </c>
      <c r="G73" s="14">
        <f>IFERROR(IF(OR($A73="",$F73=""),"",IF(INDEX(Accounts!$P$2:$P$11,$F73)="static",INDEX(Accounts!$Q$2:$Q$11,$F73),IF(INDEX(Accounts!$P$2:$P$11,$F73)="eod_trailing",MAX(INDEX(Accounts!$Q$2:$Q$11,$F73),_xlfn.MAXIFS($C$2:$C$1001,$A$2:$A$1001,$A73,$B$2:$B$1001,"&lt;"&amp;$B73)),MAX(INDEX(Accounts!$Q$2:$Q$11,$F73),_xlfn.MAXIFS($C$2:$C$1001,$A$2:$A$1001,$A73,$B$2:$B$1001,"&lt;"&amp;$B73),_xlfn.MAXIFS($D$2:$D$1001,$A$2:$A$1001,$A73,$B$2:$B$1001,"&lt;="&amp;$B73),$C73)))),"")</f>
        <v/>
      </c>
      <c r="H73" s="15">
        <f>IFERROR(IF(G73="","",IF(INDEX(Accounts!$P$2:$P$11,$F73)="static",INDEX(Accounts!$Q$2:$Q$11,$F73)-INDEX(Accounts!$R$2:$R$11,$F73),IF(INDEX(Accounts!$S$2:$S$11,$F73)="NONE",G73-INDEX(Accounts!$R$2:$R$11,$F73),MIN(G73-INDEX(Accounts!$R$2:$R$11,$F73),INDEX(Accounts!$Q$2:$Q$11,$F73)+INDEX(Accounts!$S$2:$S$11,$F73))))),"")</f>
        <v/>
      </c>
      <c r="I73" s="16">
        <f>IF(AND($A73="",$B73="",$C73="",$D73="",$E73=""),"",IF(OR($A73="",$F73=""),"UNKNOWN_ACCOUNT",IF(OR($B73="",$C73=""),"INCOMPLETE",IFERROR(IF(OR(NOT(ISNUMBER($B73)),NOT(ISNUMBER($C73)),IF(C73="",FALSE,IF(ISNUMBER(C73),OR(C73&lt;=0,C73&gt;100000000,ROUND(C73*100,6)&lt;&gt;INT(ROUND(C73*100,6))),TRUE)),IF(D73="",FALSE,IF(ISNUMBER(D73),OR(D73&lt;=0,D73&gt;100000000,ROUND(D73*100,6)&lt;&gt;INT(ROUND(D73*100,6))),TRUE)),IF(E73="",FALSE,IF(ISNUMBER(E73),OR(E73&lt;=0,E73&gt;100000000,ROUND(E73*100,6)&lt;&gt;INT(ROUND(E73*100,6))),TRUE)),AND($D73&lt;&gt;"",$D73&lt;MAX($C73,$E73)),AND($E73&lt;&gt;"",$E73&gt;MIN($C73,IF($D73="",$C73,$D73))),COUNTIFS($A$2:$A$1001,$A73,$B$2:$B$1001,$B73)&gt;1),"INVALID",IFERROR(IF(IF(INDEX(Accounts!$T$2:$T$11,$F73),ROUND(IF($E73="",$C73,MIN($C73,$E73))-(H73),6)&lt;=0,ROUND(IF($E73="",$C73,MIN($C73,$E73))-(H73),6)&lt;0),"BREACHED","OK"),"INCOMPLETE")),"INVALID"))))</f>
        <v/>
      </c>
      <c r="J73" s="33">
        <f>IF(OR(I73="OK",I73="BREACHED"),-INT(ROUND(-(H73)*100,6))/100,I73)</f>
        <v/>
      </c>
    </row>
    <row r="74" ht="18" customHeight="1">
      <c r="A74" s="9" t="n"/>
      <c r="B74" s="32" t="n"/>
      <c r="C74" s="12" t="n"/>
      <c r="D74" s="12" t="n"/>
      <c r="E74" s="12" t="n"/>
      <c r="F74" s="15">
        <f>IFERROR(MATCH($A74,Accounts!$A$2:$A$11,0),"")</f>
        <v/>
      </c>
      <c r="G74" s="14">
        <f>IFERROR(IF(OR($A74="",$F74=""),"",IF(INDEX(Accounts!$P$2:$P$11,$F74)="static",INDEX(Accounts!$Q$2:$Q$11,$F74),IF(INDEX(Accounts!$P$2:$P$11,$F74)="eod_trailing",MAX(INDEX(Accounts!$Q$2:$Q$11,$F74),_xlfn.MAXIFS($C$2:$C$1001,$A$2:$A$1001,$A74,$B$2:$B$1001,"&lt;"&amp;$B74)),MAX(INDEX(Accounts!$Q$2:$Q$11,$F74),_xlfn.MAXIFS($C$2:$C$1001,$A$2:$A$1001,$A74,$B$2:$B$1001,"&lt;"&amp;$B74),_xlfn.MAXIFS($D$2:$D$1001,$A$2:$A$1001,$A74,$B$2:$B$1001,"&lt;="&amp;$B74),$C74)))),"")</f>
        <v/>
      </c>
      <c r="H74" s="15">
        <f>IFERROR(IF(G74="","",IF(INDEX(Accounts!$P$2:$P$11,$F74)="static",INDEX(Accounts!$Q$2:$Q$11,$F74)-INDEX(Accounts!$R$2:$R$11,$F74),IF(INDEX(Accounts!$S$2:$S$11,$F74)="NONE",G74-INDEX(Accounts!$R$2:$R$11,$F74),MIN(G74-INDEX(Accounts!$R$2:$R$11,$F74),INDEX(Accounts!$Q$2:$Q$11,$F74)+INDEX(Accounts!$S$2:$S$11,$F74))))),"")</f>
        <v/>
      </c>
      <c r="I74" s="16">
        <f>IF(AND($A74="",$B74="",$C74="",$D74="",$E74=""),"",IF(OR($A74="",$F74=""),"UNKNOWN_ACCOUNT",IF(OR($B74="",$C74=""),"INCOMPLETE",IFERROR(IF(OR(NOT(ISNUMBER($B74)),NOT(ISNUMBER($C74)),IF(C74="",FALSE,IF(ISNUMBER(C74),OR(C74&lt;=0,C74&gt;100000000,ROUND(C74*100,6)&lt;&gt;INT(ROUND(C74*100,6))),TRUE)),IF(D74="",FALSE,IF(ISNUMBER(D74),OR(D74&lt;=0,D74&gt;100000000,ROUND(D74*100,6)&lt;&gt;INT(ROUND(D74*100,6))),TRUE)),IF(E74="",FALSE,IF(ISNUMBER(E74),OR(E74&lt;=0,E74&gt;100000000,ROUND(E74*100,6)&lt;&gt;INT(ROUND(E74*100,6))),TRUE)),AND($D74&lt;&gt;"",$D74&lt;MAX($C74,$E74)),AND($E74&lt;&gt;"",$E74&gt;MIN($C74,IF($D74="",$C74,$D74))),COUNTIFS($A$2:$A$1001,$A74,$B$2:$B$1001,$B74)&gt;1),"INVALID",IFERROR(IF(IF(INDEX(Accounts!$T$2:$T$11,$F74),ROUND(IF($E74="",$C74,MIN($C74,$E74))-(H74),6)&lt;=0,ROUND(IF($E74="",$C74,MIN($C74,$E74))-(H74),6)&lt;0),"BREACHED","OK"),"INCOMPLETE")),"INVALID"))))</f>
        <v/>
      </c>
      <c r="J74" s="33">
        <f>IF(OR(I74="OK",I74="BREACHED"),-INT(ROUND(-(H74)*100,6))/100,I74)</f>
        <v/>
      </c>
    </row>
    <row r="75" ht="18" customHeight="1">
      <c r="A75" s="9" t="n"/>
      <c r="B75" s="32" t="n"/>
      <c r="C75" s="12" t="n"/>
      <c r="D75" s="12" t="n"/>
      <c r="E75" s="12" t="n"/>
      <c r="F75" s="15">
        <f>IFERROR(MATCH($A75,Accounts!$A$2:$A$11,0),"")</f>
        <v/>
      </c>
      <c r="G75" s="14">
        <f>IFERROR(IF(OR($A75="",$F75=""),"",IF(INDEX(Accounts!$P$2:$P$11,$F75)="static",INDEX(Accounts!$Q$2:$Q$11,$F75),IF(INDEX(Accounts!$P$2:$P$11,$F75)="eod_trailing",MAX(INDEX(Accounts!$Q$2:$Q$11,$F75),_xlfn.MAXIFS($C$2:$C$1001,$A$2:$A$1001,$A75,$B$2:$B$1001,"&lt;"&amp;$B75)),MAX(INDEX(Accounts!$Q$2:$Q$11,$F75),_xlfn.MAXIFS($C$2:$C$1001,$A$2:$A$1001,$A75,$B$2:$B$1001,"&lt;"&amp;$B75),_xlfn.MAXIFS($D$2:$D$1001,$A$2:$A$1001,$A75,$B$2:$B$1001,"&lt;="&amp;$B75),$C75)))),"")</f>
        <v/>
      </c>
      <c r="H75" s="15">
        <f>IFERROR(IF(G75="","",IF(INDEX(Accounts!$P$2:$P$11,$F75)="static",INDEX(Accounts!$Q$2:$Q$11,$F75)-INDEX(Accounts!$R$2:$R$11,$F75),IF(INDEX(Accounts!$S$2:$S$11,$F75)="NONE",G75-INDEX(Accounts!$R$2:$R$11,$F75),MIN(G75-INDEX(Accounts!$R$2:$R$11,$F75),INDEX(Accounts!$Q$2:$Q$11,$F75)+INDEX(Accounts!$S$2:$S$11,$F75))))),"")</f>
        <v/>
      </c>
      <c r="I75" s="16">
        <f>IF(AND($A75="",$B75="",$C75="",$D75="",$E75=""),"",IF(OR($A75="",$F75=""),"UNKNOWN_ACCOUNT",IF(OR($B75="",$C75=""),"INCOMPLETE",IFERROR(IF(OR(NOT(ISNUMBER($B75)),NOT(ISNUMBER($C75)),IF(C75="",FALSE,IF(ISNUMBER(C75),OR(C75&lt;=0,C75&gt;100000000,ROUND(C75*100,6)&lt;&gt;INT(ROUND(C75*100,6))),TRUE)),IF(D75="",FALSE,IF(ISNUMBER(D75),OR(D75&lt;=0,D75&gt;100000000,ROUND(D75*100,6)&lt;&gt;INT(ROUND(D75*100,6))),TRUE)),IF(E75="",FALSE,IF(ISNUMBER(E75),OR(E75&lt;=0,E75&gt;100000000,ROUND(E75*100,6)&lt;&gt;INT(ROUND(E75*100,6))),TRUE)),AND($D75&lt;&gt;"",$D75&lt;MAX($C75,$E75)),AND($E75&lt;&gt;"",$E75&gt;MIN($C75,IF($D75="",$C75,$D75))),COUNTIFS($A$2:$A$1001,$A75,$B$2:$B$1001,$B75)&gt;1),"INVALID",IFERROR(IF(IF(INDEX(Accounts!$T$2:$T$11,$F75),ROUND(IF($E75="",$C75,MIN($C75,$E75))-(H75),6)&lt;=0,ROUND(IF($E75="",$C75,MIN($C75,$E75))-(H75),6)&lt;0),"BREACHED","OK"),"INCOMPLETE")),"INVALID"))))</f>
        <v/>
      </c>
      <c r="J75" s="33">
        <f>IF(OR(I75="OK",I75="BREACHED"),-INT(ROUND(-(H75)*100,6))/100,I75)</f>
        <v/>
      </c>
    </row>
    <row r="76" ht="18" customHeight="1">
      <c r="A76" s="9" t="n"/>
      <c r="B76" s="32" t="n"/>
      <c r="C76" s="12" t="n"/>
      <c r="D76" s="12" t="n"/>
      <c r="E76" s="12" t="n"/>
      <c r="F76" s="15">
        <f>IFERROR(MATCH($A76,Accounts!$A$2:$A$11,0),"")</f>
        <v/>
      </c>
      <c r="G76" s="14">
        <f>IFERROR(IF(OR($A76="",$F76=""),"",IF(INDEX(Accounts!$P$2:$P$11,$F76)="static",INDEX(Accounts!$Q$2:$Q$11,$F76),IF(INDEX(Accounts!$P$2:$P$11,$F76)="eod_trailing",MAX(INDEX(Accounts!$Q$2:$Q$11,$F76),_xlfn.MAXIFS($C$2:$C$1001,$A$2:$A$1001,$A76,$B$2:$B$1001,"&lt;"&amp;$B76)),MAX(INDEX(Accounts!$Q$2:$Q$11,$F76),_xlfn.MAXIFS($C$2:$C$1001,$A$2:$A$1001,$A76,$B$2:$B$1001,"&lt;"&amp;$B76),_xlfn.MAXIFS($D$2:$D$1001,$A$2:$A$1001,$A76,$B$2:$B$1001,"&lt;="&amp;$B76),$C76)))),"")</f>
        <v/>
      </c>
      <c r="H76" s="15">
        <f>IFERROR(IF(G76="","",IF(INDEX(Accounts!$P$2:$P$11,$F76)="static",INDEX(Accounts!$Q$2:$Q$11,$F76)-INDEX(Accounts!$R$2:$R$11,$F76),IF(INDEX(Accounts!$S$2:$S$11,$F76)="NONE",G76-INDEX(Accounts!$R$2:$R$11,$F76),MIN(G76-INDEX(Accounts!$R$2:$R$11,$F76),INDEX(Accounts!$Q$2:$Q$11,$F76)+INDEX(Accounts!$S$2:$S$11,$F76))))),"")</f>
        <v/>
      </c>
      <c r="I76" s="16">
        <f>IF(AND($A76="",$B76="",$C76="",$D76="",$E76=""),"",IF(OR($A76="",$F76=""),"UNKNOWN_ACCOUNT",IF(OR($B76="",$C76=""),"INCOMPLETE",IFERROR(IF(OR(NOT(ISNUMBER($B76)),NOT(ISNUMBER($C76)),IF(C76="",FALSE,IF(ISNUMBER(C76),OR(C76&lt;=0,C76&gt;100000000,ROUND(C76*100,6)&lt;&gt;INT(ROUND(C76*100,6))),TRUE)),IF(D76="",FALSE,IF(ISNUMBER(D76),OR(D76&lt;=0,D76&gt;100000000,ROUND(D76*100,6)&lt;&gt;INT(ROUND(D76*100,6))),TRUE)),IF(E76="",FALSE,IF(ISNUMBER(E76),OR(E76&lt;=0,E76&gt;100000000,ROUND(E76*100,6)&lt;&gt;INT(ROUND(E76*100,6))),TRUE)),AND($D76&lt;&gt;"",$D76&lt;MAX($C76,$E76)),AND($E76&lt;&gt;"",$E76&gt;MIN($C76,IF($D76="",$C76,$D76))),COUNTIFS($A$2:$A$1001,$A76,$B$2:$B$1001,$B76)&gt;1),"INVALID",IFERROR(IF(IF(INDEX(Accounts!$T$2:$T$11,$F76),ROUND(IF($E76="",$C76,MIN($C76,$E76))-(H76),6)&lt;=0,ROUND(IF($E76="",$C76,MIN($C76,$E76))-(H76),6)&lt;0),"BREACHED","OK"),"INCOMPLETE")),"INVALID"))))</f>
        <v/>
      </c>
      <c r="J76" s="33">
        <f>IF(OR(I76="OK",I76="BREACHED"),-INT(ROUND(-(H76)*100,6))/100,I76)</f>
        <v/>
      </c>
    </row>
    <row r="77" ht="18" customHeight="1">
      <c r="A77" s="9" t="n"/>
      <c r="B77" s="32" t="n"/>
      <c r="C77" s="12" t="n"/>
      <c r="D77" s="12" t="n"/>
      <c r="E77" s="12" t="n"/>
      <c r="F77" s="15">
        <f>IFERROR(MATCH($A77,Accounts!$A$2:$A$11,0),"")</f>
        <v/>
      </c>
      <c r="G77" s="14">
        <f>IFERROR(IF(OR($A77="",$F77=""),"",IF(INDEX(Accounts!$P$2:$P$11,$F77)="static",INDEX(Accounts!$Q$2:$Q$11,$F77),IF(INDEX(Accounts!$P$2:$P$11,$F77)="eod_trailing",MAX(INDEX(Accounts!$Q$2:$Q$11,$F77),_xlfn.MAXIFS($C$2:$C$1001,$A$2:$A$1001,$A77,$B$2:$B$1001,"&lt;"&amp;$B77)),MAX(INDEX(Accounts!$Q$2:$Q$11,$F77),_xlfn.MAXIFS($C$2:$C$1001,$A$2:$A$1001,$A77,$B$2:$B$1001,"&lt;"&amp;$B77),_xlfn.MAXIFS($D$2:$D$1001,$A$2:$A$1001,$A77,$B$2:$B$1001,"&lt;="&amp;$B77),$C77)))),"")</f>
        <v/>
      </c>
      <c r="H77" s="15">
        <f>IFERROR(IF(G77="","",IF(INDEX(Accounts!$P$2:$P$11,$F77)="static",INDEX(Accounts!$Q$2:$Q$11,$F77)-INDEX(Accounts!$R$2:$R$11,$F77),IF(INDEX(Accounts!$S$2:$S$11,$F77)="NONE",G77-INDEX(Accounts!$R$2:$R$11,$F77),MIN(G77-INDEX(Accounts!$R$2:$R$11,$F77),INDEX(Accounts!$Q$2:$Q$11,$F77)+INDEX(Accounts!$S$2:$S$11,$F77))))),"")</f>
        <v/>
      </c>
      <c r="I77" s="16">
        <f>IF(AND($A77="",$B77="",$C77="",$D77="",$E77=""),"",IF(OR($A77="",$F77=""),"UNKNOWN_ACCOUNT",IF(OR($B77="",$C77=""),"INCOMPLETE",IFERROR(IF(OR(NOT(ISNUMBER($B77)),NOT(ISNUMBER($C77)),IF(C77="",FALSE,IF(ISNUMBER(C77),OR(C77&lt;=0,C77&gt;100000000,ROUND(C77*100,6)&lt;&gt;INT(ROUND(C77*100,6))),TRUE)),IF(D77="",FALSE,IF(ISNUMBER(D77),OR(D77&lt;=0,D77&gt;100000000,ROUND(D77*100,6)&lt;&gt;INT(ROUND(D77*100,6))),TRUE)),IF(E77="",FALSE,IF(ISNUMBER(E77),OR(E77&lt;=0,E77&gt;100000000,ROUND(E77*100,6)&lt;&gt;INT(ROUND(E77*100,6))),TRUE)),AND($D77&lt;&gt;"",$D77&lt;MAX($C77,$E77)),AND($E77&lt;&gt;"",$E77&gt;MIN($C77,IF($D77="",$C77,$D77))),COUNTIFS($A$2:$A$1001,$A77,$B$2:$B$1001,$B77)&gt;1),"INVALID",IFERROR(IF(IF(INDEX(Accounts!$T$2:$T$11,$F77),ROUND(IF($E77="",$C77,MIN($C77,$E77))-(H77),6)&lt;=0,ROUND(IF($E77="",$C77,MIN($C77,$E77))-(H77),6)&lt;0),"BREACHED","OK"),"INCOMPLETE")),"INVALID"))))</f>
        <v/>
      </c>
      <c r="J77" s="33">
        <f>IF(OR(I77="OK",I77="BREACHED"),-INT(ROUND(-(H77)*100,6))/100,I77)</f>
        <v/>
      </c>
    </row>
    <row r="78" ht="18" customHeight="1">
      <c r="A78" s="9" t="n"/>
      <c r="B78" s="32" t="n"/>
      <c r="C78" s="12" t="n"/>
      <c r="D78" s="12" t="n"/>
      <c r="E78" s="12" t="n"/>
      <c r="F78" s="15">
        <f>IFERROR(MATCH($A78,Accounts!$A$2:$A$11,0),"")</f>
        <v/>
      </c>
      <c r="G78" s="14">
        <f>IFERROR(IF(OR($A78="",$F78=""),"",IF(INDEX(Accounts!$P$2:$P$11,$F78)="static",INDEX(Accounts!$Q$2:$Q$11,$F78),IF(INDEX(Accounts!$P$2:$P$11,$F78)="eod_trailing",MAX(INDEX(Accounts!$Q$2:$Q$11,$F78),_xlfn.MAXIFS($C$2:$C$1001,$A$2:$A$1001,$A78,$B$2:$B$1001,"&lt;"&amp;$B78)),MAX(INDEX(Accounts!$Q$2:$Q$11,$F78),_xlfn.MAXIFS($C$2:$C$1001,$A$2:$A$1001,$A78,$B$2:$B$1001,"&lt;"&amp;$B78),_xlfn.MAXIFS($D$2:$D$1001,$A$2:$A$1001,$A78,$B$2:$B$1001,"&lt;="&amp;$B78),$C78)))),"")</f>
        <v/>
      </c>
      <c r="H78" s="15">
        <f>IFERROR(IF(G78="","",IF(INDEX(Accounts!$P$2:$P$11,$F78)="static",INDEX(Accounts!$Q$2:$Q$11,$F78)-INDEX(Accounts!$R$2:$R$11,$F78),IF(INDEX(Accounts!$S$2:$S$11,$F78)="NONE",G78-INDEX(Accounts!$R$2:$R$11,$F78),MIN(G78-INDEX(Accounts!$R$2:$R$11,$F78),INDEX(Accounts!$Q$2:$Q$11,$F78)+INDEX(Accounts!$S$2:$S$11,$F78))))),"")</f>
        <v/>
      </c>
      <c r="I78" s="16">
        <f>IF(AND($A78="",$B78="",$C78="",$D78="",$E78=""),"",IF(OR($A78="",$F78=""),"UNKNOWN_ACCOUNT",IF(OR($B78="",$C78=""),"INCOMPLETE",IFERROR(IF(OR(NOT(ISNUMBER($B78)),NOT(ISNUMBER($C78)),IF(C78="",FALSE,IF(ISNUMBER(C78),OR(C78&lt;=0,C78&gt;100000000,ROUND(C78*100,6)&lt;&gt;INT(ROUND(C78*100,6))),TRUE)),IF(D78="",FALSE,IF(ISNUMBER(D78),OR(D78&lt;=0,D78&gt;100000000,ROUND(D78*100,6)&lt;&gt;INT(ROUND(D78*100,6))),TRUE)),IF(E78="",FALSE,IF(ISNUMBER(E78),OR(E78&lt;=0,E78&gt;100000000,ROUND(E78*100,6)&lt;&gt;INT(ROUND(E78*100,6))),TRUE)),AND($D78&lt;&gt;"",$D78&lt;MAX($C78,$E78)),AND($E78&lt;&gt;"",$E78&gt;MIN($C78,IF($D78="",$C78,$D78))),COUNTIFS($A$2:$A$1001,$A78,$B$2:$B$1001,$B78)&gt;1),"INVALID",IFERROR(IF(IF(INDEX(Accounts!$T$2:$T$11,$F78),ROUND(IF($E78="",$C78,MIN($C78,$E78))-(H78),6)&lt;=0,ROUND(IF($E78="",$C78,MIN($C78,$E78))-(H78),6)&lt;0),"BREACHED","OK"),"INCOMPLETE")),"INVALID"))))</f>
        <v/>
      </c>
      <c r="J78" s="33">
        <f>IF(OR(I78="OK",I78="BREACHED"),-INT(ROUND(-(H78)*100,6))/100,I78)</f>
        <v/>
      </c>
    </row>
    <row r="79" ht="18" customHeight="1">
      <c r="A79" s="9" t="n"/>
      <c r="B79" s="32" t="n"/>
      <c r="C79" s="12" t="n"/>
      <c r="D79" s="12" t="n"/>
      <c r="E79" s="12" t="n"/>
      <c r="F79" s="15">
        <f>IFERROR(MATCH($A79,Accounts!$A$2:$A$11,0),"")</f>
        <v/>
      </c>
      <c r="G79" s="14">
        <f>IFERROR(IF(OR($A79="",$F79=""),"",IF(INDEX(Accounts!$P$2:$P$11,$F79)="static",INDEX(Accounts!$Q$2:$Q$11,$F79),IF(INDEX(Accounts!$P$2:$P$11,$F79)="eod_trailing",MAX(INDEX(Accounts!$Q$2:$Q$11,$F79),_xlfn.MAXIFS($C$2:$C$1001,$A$2:$A$1001,$A79,$B$2:$B$1001,"&lt;"&amp;$B79)),MAX(INDEX(Accounts!$Q$2:$Q$11,$F79),_xlfn.MAXIFS($C$2:$C$1001,$A$2:$A$1001,$A79,$B$2:$B$1001,"&lt;"&amp;$B79),_xlfn.MAXIFS($D$2:$D$1001,$A$2:$A$1001,$A79,$B$2:$B$1001,"&lt;="&amp;$B79),$C79)))),"")</f>
        <v/>
      </c>
      <c r="H79" s="15">
        <f>IFERROR(IF(G79="","",IF(INDEX(Accounts!$P$2:$P$11,$F79)="static",INDEX(Accounts!$Q$2:$Q$11,$F79)-INDEX(Accounts!$R$2:$R$11,$F79),IF(INDEX(Accounts!$S$2:$S$11,$F79)="NONE",G79-INDEX(Accounts!$R$2:$R$11,$F79),MIN(G79-INDEX(Accounts!$R$2:$R$11,$F79),INDEX(Accounts!$Q$2:$Q$11,$F79)+INDEX(Accounts!$S$2:$S$11,$F79))))),"")</f>
        <v/>
      </c>
      <c r="I79" s="16">
        <f>IF(AND($A79="",$B79="",$C79="",$D79="",$E79=""),"",IF(OR($A79="",$F79=""),"UNKNOWN_ACCOUNT",IF(OR($B79="",$C79=""),"INCOMPLETE",IFERROR(IF(OR(NOT(ISNUMBER($B79)),NOT(ISNUMBER($C79)),IF(C79="",FALSE,IF(ISNUMBER(C79),OR(C79&lt;=0,C79&gt;100000000,ROUND(C79*100,6)&lt;&gt;INT(ROUND(C79*100,6))),TRUE)),IF(D79="",FALSE,IF(ISNUMBER(D79),OR(D79&lt;=0,D79&gt;100000000,ROUND(D79*100,6)&lt;&gt;INT(ROUND(D79*100,6))),TRUE)),IF(E79="",FALSE,IF(ISNUMBER(E79),OR(E79&lt;=0,E79&gt;100000000,ROUND(E79*100,6)&lt;&gt;INT(ROUND(E79*100,6))),TRUE)),AND($D79&lt;&gt;"",$D79&lt;MAX($C79,$E79)),AND($E79&lt;&gt;"",$E79&gt;MIN($C79,IF($D79="",$C79,$D79))),COUNTIFS($A$2:$A$1001,$A79,$B$2:$B$1001,$B79)&gt;1),"INVALID",IFERROR(IF(IF(INDEX(Accounts!$T$2:$T$11,$F79),ROUND(IF($E79="",$C79,MIN($C79,$E79))-(H79),6)&lt;=0,ROUND(IF($E79="",$C79,MIN($C79,$E79))-(H79),6)&lt;0),"BREACHED","OK"),"INCOMPLETE")),"INVALID"))))</f>
        <v/>
      </c>
      <c r="J79" s="33">
        <f>IF(OR(I79="OK",I79="BREACHED"),-INT(ROUND(-(H79)*100,6))/100,I79)</f>
        <v/>
      </c>
    </row>
    <row r="80" ht="18" customHeight="1">
      <c r="A80" s="9" t="n"/>
      <c r="B80" s="32" t="n"/>
      <c r="C80" s="12" t="n"/>
      <c r="D80" s="12" t="n"/>
      <c r="E80" s="12" t="n"/>
      <c r="F80" s="15">
        <f>IFERROR(MATCH($A80,Accounts!$A$2:$A$11,0),"")</f>
        <v/>
      </c>
      <c r="G80" s="14">
        <f>IFERROR(IF(OR($A80="",$F80=""),"",IF(INDEX(Accounts!$P$2:$P$11,$F80)="static",INDEX(Accounts!$Q$2:$Q$11,$F80),IF(INDEX(Accounts!$P$2:$P$11,$F80)="eod_trailing",MAX(INDEX(Accounts!$Q$2:$Q$11,$F80),_xlfn.MAXIFS($C$2:$C$1001,$A$2:$A$1001,$A80,$B$2:$B$1001,"&lt;"&amp;$B80)),MAX(INDEX(Accounts!$Q$2:$Q$11,$F80),_xlfn.MAXIFS($C$2:$C$1001,$A$2:$A$1001,$A80,$B$2:$B$1001,"&lt;"&amp;$B80),_xlfn.MAXIFS($D$2:$D$1001,$A$2:$A$1001,$A80,$B$2:$B$1001,"&lt;="&amp;$B80),$C80)))),"")</f>
        <v/>
      </c>
      <c r="H80" s="15">
        <f>IFERROR(IF(G80="","",IF(INDEX(Accounts!$P$2:$P$11,$F80)="static",INDEX(Accounts!$Q$2:$Q$11,$F80)-INDEX(Accounts!$R$2:$R$11,$F80),IF(INDEX(Accounts!$S$2:$S$11,$F80)="NONE",G80-INDEX(Accounts!$R$2:$R$11,$F80),MIN(G80-INDEX(Accounts!$R$2:$R$11,$F80),INDEX(Accounts!$Q$2:$Q$11,$F80)+INDEX(Accounts!$S$2:$S$11,$F80))))),"")</f>
        <v/>
      </c>
      <c r="I80" s="16">
        <f>IF(AND($A80="",$B80="",$C80="",$D80="",$E80=""),"",IF(OR($A80="",$F80=""),"UNKNOWN_ACCOUNT",IF(OR($B80="",$C80=""),"INCOMPLETE",IFERROR(IF(OR(NOT(ISNUMBER($B80)),NOT(ISNUMBER($C80)),IF(C80="",FALSE,IF(ISNUMBER(C80),OR(C80&lt;=0,C80&gt;100000000,ROUND(C80*100,6)&lt;&gt;INT(ROUND(C80*100,6))),TRUE)),IF(D80="",FALSE,IF(ISNUMBER(D80),OR(D80&lt;=0,D80&gt;100000000,ROUND(D80*100,6)&lt;&gt;INT(ROUND(D80*100,6))),TRUE)),IF(E80="",FALSE,IF(ISNUMBER(E80),OR(E80&lt;=0,E80&gt;100000000,ROUND(E80*100,6)&lt;&gt;INT(ROUND(E80*100,6))),TRUE)),AND($D80&lt;&gt;"",$D80&lt;MAX($C80,$E80)),AND($E80&lt;&gt;"",$E80&gt;MIN($C80,IF($D80="",$C80,$D80))),COUNTIFS($A$2:$A$1001,$A80,$B$2:$B$1001,$B80)&gt;1),"INVALID",IFERROR(IF(IF(INDEX(Accounts!$T$2:$T$11,$F80),ROUND(IF($E80="",$C80,MIN($C80,$E80))-(H80),6)&lt;=0,ROUND(IF($E80="",$C80,MIN($C80,$E80))-(H80),6)&lt;0),"BREACHED","OK"),"INCOMPLETE")),"INVALID"))))</f>
        <v/>
      </c>
      <c r="J80" s="33">
        <f>IF(OR(I80="OK",I80="BREACHED"),-INT(ROUND(-(H80)*100,6))/100,I80)</f>
        <v/>
      </c>
    </row>
    <row r="81" ht="18" customHeight="1">
      <c r="A81" s="9" t="n"/>
      <c r="B81" s="32" t="n"/>
      <c r="C81" s="12" t="n"/>
      <c r="D81" s="12" t="n"/>
      <c r="E81" s="12" t="n"/>
      <c r="F81" s="15">
        <f>IFERROR(MATCH($A81,Accounts!$A$2:$A$11,0),"")</f>
        <v/>
      </c>
      <c r="G81" s="14">
        <f>IFERROR(IF(OR($A81="",$F81=""),"",IF(INDEX(Accounts!$P$2:$P$11,$F81)="static",INDEX(Accounts!$Q$2:$Q$11,$F81),IF(INDEX(Accounts!$P$2:$P$11,$F81)="eod_trailing",MAX(INDEX(Accounts!$Q$2:$Q$11,$F81),_xlfn.MAXIFS($C$2:$C$1001,$A$2:$A$1001,$A81,$B$2:$B$1001,"&lt;"&amp;$B81)),MAX(INDEX(Accounts!$Q$2:$Q$11,$F81),_xlfn.MAXIFS($C$2:$C$1001,$A$2:$A$1001,$A81,$B$2:$B$1001,"&lt;"&amp;$B81),_xlfn.MAXIFS($D$2:$D$1001,$A$2:$A$1001,$A81,$B$2:$B$1001,"&lt;="&amp;$B81),$C81)))),"")</f>
        <v/>
      </c>
      <c r="H81" s="15">
        <f>IFERROR(IF(G81="","",IF(INDEX(Accounts!$P$2:$P$11,$F81)="static",INDEX(Accounts!$Q$2:$Q$11,$F81)-INDEX(Accounts!$R$2:$R$11,$F81),IF(INDEX(Accounts!$S$2:$S$11,$F81)="NONE",G81-INDEX(Accounts!$R$2:$R$11,$F81),MIN(G81-INDEX(Accounts!$R$2:$R$11,$F81),INDEX(Accounts!$Q$2:$Q$11,$F81)+INDEX(Accounts!$S$2:$S$11,$F81))))),"")</f>
        <v/>
      </c>
      <c r="I81" s="16">
        <f>IF(AND($A81="",$B81="",$C81="",$D81="",$E81=""),"",IF(OR($A81="",$F81=""),"UNKNOWN_ACCOUNT",IF(OR($B81="",$C81=""),"INCOMPLETE",IFERROR(IF(OR(NOT(ISNUMBER($B81)),NOT(ISNUMBER($C81)),IF(C81="",FALSE,IF(ISNUMBER(C81),OR(C81&lt;=0,C81&gt;100000000,ROUND(C81*100,6)&lt;&gt;INT(ROUND(C81*100,6))),TRUE)),IF(D81="",FALSE,IF(ISNUMBER(D81),OR(D81&lt;=0,D81&gt;100000000,ROUND(D81*100,6)&lt;&gt;INT(ROUND(D81*100,6))),TRUE)),IF(E81="",FALSE,IF(ISNUMBER(E81),OR(E81&lt;=0,E81&gt;100000000,ROUND(E81*100,6)&lt;&gt;INT(ROUND(E81*100,6))),TRUE)),AND($D81&lt;&gt;"",$D81&lt;MAX($C81,$E81)),AND($E81&lt;&gt;"",$E81&gt;MIN($C81,IF($D81="",$C81,$D81))),COUNTIFS($A$2:$A$1001,$A81,$B$2:$B$1001,$B81)&gt;1),"INVALID",IFERROR(IF(IF(INDEX(Accounts!$T$2:$T$11,$F81),ROUND(IF($E81="",$C81,MIN($C81,$E81))-(H81),6)&lt;=0,ROUND(IF($E81="",$C81,MIN($C81,$E81))-(H81),6)&lt;0),"BREACHED","OK"),"INCOMPLETE")),"INVALID"))))</f>
        <v/>
      </c>
      <c r="J81" s="33">
        <f>IF(OR(I81="OK",I81="BREACHED"),-INT(ROUND(-(H81)*100,6))/100,I81)</f>
        <v/>
      </c>
    </row>
    <row r="82" ht="18" customHeight="1">
      <c r="A82" s="9" t="n"/>
      <c r="B82" s="32" t="n"/>
      <c r="C82" s="12" t="n"/>
      <c r="D82" s="12" t="n"/>
      <c r="E82" s="12" t="n"/>
      <c r="F82" s="15">
        <f>IFERROR(MATCH($A82,Accounts!$A$2:$A$11,0),"")</f>
        <v/>
      </c>
      <c r="G82" s="14">
        <f>IFERROR(IF(OR($A82="",$F82=""),"",IF(INDEX(Accounts!$P$2:$P$11,$F82)="static",INDEX(Accounts!$Q$2:$Q$11,$F82),IF(INDEX(Accounts!$P$2:$P$11,$F82)="eod_trailing",MAX(INDEX(Accounts!$Q$2:$Q$11,$F82),_xlfn.MAXIFS($C$2:$C$1001,$A$2:$A$1001,$A82,$B$2:$B$1001,"&lt;"&amp;$B82)),MAX(INDEX(Accounts!$Q$2:$Q$11,$F82),_xlfn.MAXIFS($C$2:$C$1001,$A$2:$A$1001,$A82,$B$2:$B$1001,"&lt;"&amp;$B82),_xlfn.MAXIFS($D$2:$D$1001,$A$2:$A$1001,$A82,$B$2:$B$1001,"&lt;="&amp;$B82),$C82)))),"")</f>
        <v/>
      </c>
      <c r="H82" s="15">
        <f>IFERROR(IF(G82="","",IF(INDEX(Accounts!$P$2:$P$11,$F82)="static",INDEX(Accounts!$Q$2:$Q$11,$F82)-INDEX(Accounts!$R$2:$R$11,$F82),IF(INDEX(Accounts!$S$2:$S$11,$F82)="NONE",G82-INDEX(Accounts!$R$2:$R$11,$F82),MIN(G82-INDEX(Accounts!$R$2:$R$11,$F82),INDEX(Accounts!$Q$2:$Q$11,$F82)+INDEX(Accounts!$S$2:$S$11,$F82))))),"")</f>
        <v/>
      </c>
      <c r="I82" s="16">
        <f>IF(AND($A82="",$B82="",$C82="",$D82="",$E82=""),"",IF(OR($A82="",$F82=""),"UNKNOWN_ACCOUNT",IF(OR($B82="",$C82=""),"INCOMPLETE",IFERROR(IF(OR(NOT(ISNUMBER($B82)),NOT(ISNUMBER($C82)),IF(C82="",FALSE,IF(ISNUMBER(C82),OR(C82&lt;=0,C82&gt;100000000,ROUND(C82*100,6)&lt;&gt;INT(ROUND(C82*100,6))),TRUE)),IF(D82="",FALSE,IF(ISNUMBER(D82),OR(D82&lt;=0,D82&gt;100000000,ROUND(D82*100,6)&lt;&gt;INT(ROUND(D82*100,6))),TRUE)),IF(E82="",FALSE,IF(ISNUMBER(E82),OR(E82&lt;=0,E82&gt;100000000,ROUND(E82*100,6)&lt;&gt;INT(ROUND(E82*100,6))),TRUE)),AND($D82&lt;&gt;"",$D82&lt;MAX($C82,$E82)),AND($E82&lt;&gt;"",$E82&gt;MIN($C82,IF($D82="",$C82,$D82))),COUNTIFS($A$2:$A$1001,$A82,$B$2:$B$1001,$B82)&gt;1),"INVALID",IFERROR(IF(IF(INDEX(Accounts!$T$2:$T$11,$F82),ROUND(IF($E82="",$C82,MIN($C82,$E82))-(H82),6)&lt;=0,ROUND(IF($E82="",$C82,MIN($C82,$E82))-(H82),6)&lt;0),"BREACHED","OK"),"INCOMPLETE")),"INVALID"))))</f>
        <v/>
      </c>
      <c r="J82" s="33">
        <f>IF(OR(I82="OK",I82="BREACHED"),-INT(ROUND(-(H82)*100,6))/100,I82)</f>
        <v/>
      </c>
    </row>
    <row r="83" ht="18" customHeight="1">
      <c r="A83" s="9" t="n"/>
      <c r="B83" s="32" t="n"/>
      <c r="C83" s="12" t="n"/>
      <c r="D83" s="12" t="n"/>
      <c r="E83" s="12" t="n"/>
      <c r="F83" s="15">
        <f>IFERROR(MATCH($A83,Accounts!$A$2:$A$11,0),"")</f>
        <v/>
      </c>
      <c r="G83" s="14">
        <f>IFERROR(IF(OR($A83="",$F83=""),"",IF(INDEX(Accounts!$P$2:$P$11,$F83)="static",INDEX(Accounts!$Q$2:$Q$11,$F83),IF(INDEX(Accounts!$P$2:$P$11,$F83)="eod_trailing",MAX(INDEX(Accounts!$Q$2:$Q$11,$F83),_xlfn.MAXIFS($C$2:$C$1001,$A$2:$A$1001,$A83,$B$2:$B$1001,"&lt;"&amp;$B83)),MAX(INDEX(Accounts!$Q$2:$Q$11,$F83),_xlfn.MAXIFS($C$2:$C$1001,$A$2:$A$1001,$A83,$B$2:$B$1001,"&lt;"&amp;$B83),_xlfn.MAXIFS($D$2:$D$1001,$A$2:$A$1001,$A83,$B$2:$B$1001,"&lt;="&amp;$B83),$C83)))),"")</f>
        <v/>
      </c>
      <c r="H83" s="15">
        <f>IFERROR(IF(G83="","",IF(INDEX(Accounts!$P$2:$P$11,$F83)="static",INDEX(Accounts!$Q$2:$Q$11,$F83)-INDEX(Accounts!$R$2:$R$11,$F83),IF(INDEX(Accounts!$S$2:$S$11,$F83)="NONE",G83-INDEX(Accounts!$R$2:$R$11,$F83),MIN(G83-INDEX(Accounts!$R$2:$R$11,$F83),INDEX(Accounts!$Q$2:$Q$11,$F83)+INDEX(Accounts!$S$2:$S$11,$F83))))),"")</f>
        <v/>
      </c>
      <c r="I83" s="16">
        <f>IF(AND($A83="",$B83="",$C83="",$D83="",$E83=""),"",IF(OR($A83="",$F83=""),"UNKNOWN_ACCOUNT",IF(OR($B83="",$C83=""),"INCOMPLETE",IFERROR(IF(OR(NOT(ISNUMBER($B83)),NOT(ISNUMBER($C83)),IF(C83="",FALSE,IF(ISNUMBER(C83),OR(C83&lt;=0,C83&gt;100000000,ROUND(C83*100,6)&lt;&gt;INT(ROUND(C83*100,6))),TRUE)),IF(D83="",FALSE,IF(ISNUMBER(D83),OR(D83&lt;=0,D83&gt;100000000,ROUND(D83*100,6)&lt;&gt;INT(ROUND(D83*100,6))),TRUE)),IF(E83="",FALSE,IF(ISNUMBER(E83),OR(E83&lt;=0,E83&gt;100000000,ROUND(E83*100,6)&lt;&gt;INT(ROUND(E83*100,6))),TRUE)),AND($D83&lt;&gt;"",$D83&lt;MAX($C83,$E83)),AND($E83&lt;&gt;"",$E83&gt;MIN($C83,IF($D83="",$C83,$D83))),COUNTIFS($A$2:$A$1001,$A83,$B$2:$B$1001,$B83)&gt;1),"INVALID",IFERROR(IF(IF(INDEX(Accounts!$T$2:$T$11,$F83),ROUND(IF($E83="",$C83,MIN($C83,$E83))-(H83),6)&lt;=0,ROUND(IF($E83="",$C83,MIN($C83,$E83))-(H83),6)&lt;0),"BREACHED","OK"),"INCOMPLETE")),"INVALID"))))</f>
        <v/>
      </c>
      <c r="J83" s="33">
        <f>IF(OR(I83="OK",I83="BREACHED"),-INT(ROUND(-(H83)*100,6))/100,I83)</f>
        <v/>
      </c>
    </row>
    <row r="84" ht="18" customHeight="1">
      <c r="A84" s="9" t="n"/>
      <c r="B84" s="32" t="n"/>
      <c r="C84" s="12" t="n"/>
      <c r="D84" s="12" t="n"/>
      <c r="E84" s="12" t="n"/>
      <c r="F84" s="15">
        <f>IFERROR(MATCH($A84,Accounts!$A$2:$A$11,0),"")</f>
        <v/>
      </c>
      <c r="G84" s="14">
        <f>IFERROR(IF(OR($A84="",$F84=""),"",IF(INDEX(Accounts!$P$2:$P$11,$F84)="static",INDEX(Accounts!$Q$2:$Q$11,$F84),IF(INDEX(Accounts!$P$2:$P$11,$F84)="eod_trailing",MAX(INDEX(Accounts!$Q$2:$Q$11,$F84),_xlfn.MAXIFS($C$2:$C$1001,$A$2:$A$1001,$A84,$B$2:$B$1001,"&lt;"&amp;$B84)),MAX(INDEX(Accounts!$Q$2:$Q$11,$F84),_xlfn.MAXIFS($C$2:$C$1001,$A$2:$A$1001,$A84,$B$2:$B$1001,"&lt;"&amp;$B84),_xlfn.MAXIFS($D$2:$D$1001,$A$2:$A$1001,$A84,$B$2:$B$1001,"&lt;="&amp;$B84),$C84)))),"")</f>
        <v/>
      </c>
      <c r="H84" s="15">
        <f>IFERROR(IF(G84="","",IF(INDEX(Accounts!$P$2:$P$11,$F84)="static",INDEX(Accounts!$Q$2:$Q$11,$F84)-INDEX(Accounts!$R$2:$R$11,$F84),IF(INDEX(Accounts!$S$2:$S$11,$F84)="NONE",G84-INDEX(Accounts!$R$2:$R$11,$F84),MIN(G84-INDEX(Accounts!$R$2:$R$11,$F84),INDEX(Accounts!$Q$2:$Q$11,$F84)+INDEX(Accounts!$S$2:$S$11,$F84))))),"")</f>
        <v/>
      </c>
      <c r="I84" s="16">
        <f>IF(AND($A84="",$B84="",$C84="",$D84="",$E84=""),"",IF(OR($A84="",$F84=""),"UNKNOWN_ACCOUNT",IF(OR($B84="",$C84=""),"INCOMPLETE",IFERROR(IF(OR(NOT(ISNUMBER($B84)),NOT(ISNUMBER($C84)),IF(C84="",FALSE,IF(ISNUMBER(C84),OR(C84&lt;=0,C84&gt;100000000,ROUND(C84*100,6)&lt;&gt;INT(ROUND(C84*100,6))),TRUE)),IF(D84="",FALSE,IF(ISNUMBER(D84),OR(D84&lt;=0,D84&gt;100000000,ROUND(D84*100,6)&lt;&gt;INT(ROUND(D84*100,6))),TRUE)),IF(E84="",FALSE,IF(ISNUMBER(E84),OR(E84&lt;=0,E84&gt;100000000,ROUND(E84*100,6)&lt;&gt;INT(ROUND(E84*100,6))),TRUE)),AND($D84&lt;&gt;"",$D84&lt;MAX($C84,$E84)),AND($E84&lt;&gt;"",$E84&gt;MIN($C84,IF($D84="",$C84,$D84))),COUNTIFS($A$2:$A$1001,$A84,$B$2:$B$1001,$B84)&gt;1),"INVALID",IFERROR(IF(IF(INDEX(Accounts!$T$2:$T$11,$F84),ROUND(IF($E84="",$C84,MIN($C84,$E84))-(H84),6)&lt;=0,ROUND(IF($E84="",$C84,MIN($C84,$E84))-(H84),6)&lt;0),"BREACHED","OK"),"INCOMPLETE")),"INVALID"))))</f>
        <v/>
      </c>
      <c r="J84" s="33">
        <f>IF(OR(I84="OK",I84="BREACHED"),-INT(ROUND(-(H84)*100,6))/100,I84)</f>
        <v/>
      </c>
    </row>
    <row r="85" ht="18" customHeight="1">
      <c r="A85" s="9" t="n"/>
      <c r="B85" s="32" t="n"/>
      <c r="C85" s="12" t="n"/>
      <c r="D85" s="12" t="n"/>
      <c r="E85" s="12" t="n"/>
      <c r="F85" s="15">
        <f>IFERROR(MATCH($A85,Accounts!$A$2:$A$11,0),"")</f>
        <v/>
      </c>
      <c r="G85" s="14">
        <f>IFERROR(IF(OR($A85="",$F85=""),"",IF(INDEX(Accounts!$P$2:$P$11,$F85)="static",INDEX(Accounts!$Q$2:$Q$11,$F85),IF(INDEX(Accounts!$P$2:$P$11,$F85)="eod_trailing",MAX(INDEX(Accounts!$Q$2:$Q$11,$F85),_xlfn.MAXIFS($C$2:$C$1001,$A$2:$A$1001,$A85,$B$2:$B$1001,"&lt;"&amp;$B85)),MAX(INDEX(Accounts!$Q$2:$Q$11,$F85),_xlfn.MAXIFS($C$2:$C$1001,$A$2:$A$1001,$A85,$B$2:$B$1001,"&lt;"&amp;$B85),_xlfn.MAXIFS($D$2:$D$1001,$A$2:$A$1001,$A85,$B$2:$B$1001,"&lt;="&amp;$B85),$C85)))),"")</f>
        <v/>
      </c>
      <c r="H85" s="15">
        <f>IFERROR(IF(G85="","",IF(INDEX(Accounts!$P$2:$P$11,$F85)="static",INDEX(Accounts!$Q$2:$Q$11,$F85)-INDEX(Accounts!$R$2:$R$11,$F85),IF(INDEX(Accounts!$S$2:$S$11,$F85)="NONE",G85-INDEX(Accounts!$R$2:$R$11,$F85),MIN(G85-INDEX(Accounts!$R$2:$R$11,$F85),INDEX(Accounts!$Q$2:$Q$11,$F85)+INDEX(Accounts!$S$2:$S$11,$F85))))),"")</f>
        <v/>
      </c>
      <c r="I85" s="16">
        <f>IF(AND($A85="",$B85="",$C85="",$D85="",$E85=""),"",IF(OR($A85="",$F85=""),"UNKNOWN_ACCOUNT",IF(OR($B85="",$C85=""),"INCOMPLETE",IFERROR(IF(OR(NOT(ISNUMBER($B85)),NOT(ISNUMBER($C85)),IF(C85="",FALSE,IF(ISNUMBER(C85),OR(C85&lt;=0,C85&gt;100000000,ROUND(C85*100,6)&lt;&gt;INT(ROUND(C85*100,6))),TRUE)),IF(D85="",FALSE,IF(ISNUMBER(D85),OR(D85&lt;=0,D85&gt;100000000,ROUND(D85*100,6)&lt;&gt;INT(ROUND(D85*100,6))),TRUE)),IF(E85="",FALSE,IF(ISNUMBER(E85),OR(E85&lt;=0,E85&gt;100000000,ROUND(E85*100,6)&lt;&gt;INT(ROUND(E85*100,6))),TRUE)),AND($D85&lt;&gt;"",$D85&lt;MAX($C85,$E85)),AND($E85&lt;&gt;"",$E85&gt;MIN($C85,IF($D85="",$C85,$D85))),COUNTIFS($A$2:$A$1001,$A85,$B$2:$B$1001,$B85)&gt;1),"INVALID",IFERROR(IF(IF(INDEX(Accounts!$T$2:$T$11,$F85),ROUND(IF($E85="",$C85,MIN($C85,$E85))-(H85),6)&lt;=0,ROUND(IF($E85="",$C85,MIN($C85,$E85))-(H85),6)&lt;0),"BREACHED","OK"),"INCOMPLETE")),"INVALID"))))</f>
        <v/>
      </c>
      <c r="J85" s="33">
        <f>IF(OR(I85="OK",I85="BREACHED"),-INT(ROUND(-(H85)*100,6))/100,I85)</f>
        <v/>
      </c>
    </row>
    <row r="86" ht="18" customHeight="1">
      <c r="A86" s="9" t="n"/>
      <c r="B86" s="32" t="n"/>
      <c r="C86" s="12" t="n"/>
      <c r="D86" s="12" t="n"/>
      <c r="E86" s="12" t="n"/>
      <c r="F86" s="15">
        <f>IFERROR(MATCH($A86,Accounts!$A$2:$A$11,0),"")</f>
        <v/>
      </c>
      <c r="G86" s="14">
        <f>IFERROR(IF(OR($A86="",$F86=""),"",IF(INDEX(Accounts!$P$2:$P$11,$F86)="static",INDEX(Accounts!$Q$2:$Q$11,$F86),IF(INDEX(Accounts!$P$2:$P$11,$F86)="eod_trailing",MAX(INDEX(Accounts!$Q$2:$Q$11,$F86),_xlfn.MAXIFS($C$2:$C$1001,$A$2:$A$1001,$A86,$B$2:$B$1001,"&lt;"&amp;$B86)),MAX(INDEX(Accounts!$Q$2:$Q$11,$F86),_xlfn.MAXIFS($C$2:$C$1001,$A$2:$A$1001,$A86,$B$2:$B$1001,"&lt;"&amp;$B86),_xlfn.MAXIFS($D$2:$D$1001,$A$2:$A$1001,$A86,$B$2:$B$1001,"&lt;="&amp;$B86),$C86)))),"")</f>
        <v/>
      </c>
      <c r="H86" s="15">
        <f>IFERROR(IF(G86="","",IF(INDEX(Accounts!$P$2:$P$11,$F86)="static",INDEX(Accounts!$Q$2:$Q$11,$F86)-INDEX(Accounts!$R$2:$R$11,$F86),IF(INDEX(Accounts!$S$2:$S$11,$F86)="NONE",G86-INDEX(Accounts!$R$2:$R$11,$F86),MIN(G86-INDEX(Accounts!$R$2:$R$11,$F86),INDEX(Accounts!$Q$2:$Q$11,$F86)+INDEX(Accounts!$S$2:$S$11,$F86))))),"")</f>
        <v/>
      </c>
      <c r="I86" s="16">
        <f>IF(AND($A86="",$B86="",$C86="",$D86="",$E86=""),"",IF(OR($A86="",$F86=""),"UNKNOWN_ACCOUNT",IF(OR($B86="",$C86=""),"INCOMPLETE",IFERROR(IF(OR(NOT(ISNUMBER($B86)),NOT(ISNUMBER($C86)),IF(C86="",FALSE,IF(ISNUMBER(C86),OR(C86&lt;=0,C86&gt;100000000,ROUND(C86*100,6)&lt;&gt;INT(ROUND(C86*100,6))),TRUE)),IF(D86="",FALSE,IF(ISNUMBER(D86),OR(D86&lt;=0,D86&gt;100000000,ROUND(D86*100,6)&lt;&gt;INT(ROUND(D86*100,6))),TRUE)),IF(E86="",FALSE,IF(ISNUMBER(E86),OR(E86&lt;=0,E86&gt;100000000,ROUND(E86*100,6)&lt;&gt;INT(ROUND(E86*100,6))),TRUE)),AND($D86&lt;&gt;"",$D86&lt;MAX($C86,$E86)),AND($E86&lt;&gt;"",$E86&gt;MIN($C86,IF($D86="",$C86,$D86))),COUNTIFS($A$2:$A$1001,$A86,$B$2:$B$1001,$B86)&gt;1),"INVALID",IFERROR(IF(IF(INDEX(Accounts!$T$2:$T$11,$F86),ROUND(IF($E86="",$C86,MIN($C86,$E86))-(H86),6)&lt;=0,ROUND(IF($E86="",$C86,MIN($C86,$E86))-(H86),6)&lt;0),"BREACHED","OK"),"INCOMPLETE")),"INVALID"))))</f>
        <v/>
      </c>
      <c r="J86" s="33">
        <f>IF(OR(I86="OK",I86="BREACHED"),-INT(ROUND(-(H86)*100,6))/100,I86)</f>
        <v/>
      </c>
    </row>
    <row r="87" ht="18" customHeight="1">
      <c r="A87" s="9" t="n"/>
      <c r="B87" s="32" t="n"/>
      <c r="C87" s="12" t="n"/>
      <c r="D87" s="12" t="n"/>
      <c r="E87" s="12" t="n"/>
      <c r="F87" s="15">
        <f>IFERROR(MATCH($A87,Accounts!$A$2:$A$11,0),"")</f>
        <v/>
      </c>
      <c r="G87" s="14">
        <f>IFERROR(IF(OR($A87="",$F87=""),"",IF(INDEX(Accounts!$P$2:$P$11,$F87)="static",INDEX(Accounts!$Q$2:$Q$11,$F87),IF(INDEX(Accounts!$P$2:$P$11,$F87)="eod_trailing",MAX(INDEX(Accounts!$Q$2:$Q$11,$F87),_xlfn.MAXIFS($C$2:$C$1001,$A$2:$A$1001,$A87,$B$2:$B$1001,"&lt;"&amp;$B87)),MAX(INDEX(Accounts!$Q$2:$Q$11,$F87),_xlfn.MAXIFS($C$2:$C$1001,$A$2:$A$1001,$A87,$B$2:$B$1001,"&lt;"&amp;$B87),_xlfn.MAXIFS($D$2:$D$1001,$A$2:$A$1001,$A87,$B$2:$B$1001,"&lt;="&amp;$B87),$C87)))),"")</f>
        <v/>
      </c>
      <c r="H87" s="15">
        <f>IFERROR(IF(G87="","",IF(INDEX(Accounts!$P$2:$P$11,$F87)="static",INDEX(Accounts!$Q$2:$Q$11,$F87)-INDEX(Accounts!$R$2:$R$11,$F87),IF(INDEX(Accounts!$S$2:$S$11,$F87)="NONE",G87-INDEX(Accounts!$R$2:$R$11,$F87),MIN(G87-INDEX(Accounts!$R$2:$R$11,$F87),INDEX(Accounts!$Q$2:$Q$11,$F87)+INDEX(Accounts!$S$2:$S$11,$F87))))),"")</f>
        <v/>
      </c>
      <c r="I87" s="16">
        <f>IF(AND($A87="",$B87="",$C87="",$D87="",$E87=""),"",IF(OR($A87="",$F87=""),"UNKNOWN_ACCOUNT",IF(OR($B87="",$C87=""),"INCOMPLETE",IFERROR(IF(OR(NOT(ISNUMBER($B87)),NOT(ISNUMBER($C87)),IF(C87="",FALSE,IF(ISNUMBER(C87),OR(C87&lt;=0,C87&gt;100000000,ROUND(C87*100,6)&lt;&gt;INT(ROUND(C87*100,6))),TRUE)),IF(D87="",FALSE,IF(ISNUMBER(D87),OR(D87&lt;=0,D87&gt;100000000,ROUND(D87*100,6)&lt;&gt;INT(ROUND(D87*100,6))),TRUE)),IF(E87="",FALSE,IF(ISNUMBER(E87),OR(E87&lt;=0,E87&gt;100000000,ROUND(E87*100,6)&lt;&gt;INT(ROUND(E87*100,6))),TRUE)),AND($D87&lt;&gt;"",$D87&lt;MAX($C87,$E87)),AND($E87&lt;&gt;"",$E87&gt;MIN($C87,IF($D87="",$C87,$D87))),COUNTIFS($A$2:$A$1001,$A87,$B$2:$B$1001,$B87)&gt;1),"INVALID",IFERROR(IF(IF(INDEX(Accounts!$T$2:$T$11,$F87),ROUND(IF($E87="",$C87,MIN($C87,$E87))-(H87),6)&lt;=0,ROUND(IF($E87="",$C87,MIN($C87,$E87))-(H87),6)&lt;0),"BREACHED","OK"),"INCOMPLETE")),"INVALID"))))</f>
        <v/>
      </c>
      <c r="J87" s="33">
        <f>IF(OR(I87="OK",I87="BREACHED"),-INT(ROUND(-(H87)*100,6))/100,I87)</f>
        <v/>
      </c>
    </row>
    <row r="88" ht="18" customHeight="1">
      <c r="A88" s="9" t="n"/>
      <c r="B88" s="32" t="n"/>
      <c r="C88" s="12" t="n"/>
      <c r="D88" s="12" t="n"/>
      <c r="E88" s="12" t="n"/>
      <c r="F88" s="15">
        <f>IFERROR(MATCH($A88,Accounts!$A$2:$A$11,0),"")</f>
        <v/>
      </c>
      <c r="G88" s="14">
        <f>IFERROR(IF(OR($A88="",$F88=""),"",IF(INDEX(Accounts!$P$2:$P$11,$F88)="static",INDEX(Accounts!$Q$2:$Q$11,$F88),IF(INDEX(Accounts!$P$2:$P$11,$F88)="eod_trailing",MAX(INDEX(Accounts!$Q$2:$Q$11,$F88),_xlfn.MAXIFS($C$2:$C$1001,$A$2:$A$1001,$A88,$B$2:$B$1001,"&lt;"&amp;$B88)),MAX(INDEX(Accounts!$Q$2:$Q$11,$F88),_xlfn.MAXIFS($C$2:$C$1001,$A$2:$A$1001,$A88,$B$2:$B$1001,"&lt;"&amp;$B88),_xlfn.MAXIFS($D$2:$D$1001,$A$2:$A$1001,$A88,$B$2:$B$1001,"&lt;="&amp;$B88),$C88)))),"")</f>
        <v/>
      </c>
      <c r="H88" s="15">
        <f>IFERROR(IF(G88="","",IF(INDEX(Accounts!$P$2:$P$11,$F88)="static",INDEX(Accounts!$Q$2:$Q$11,$F88)-INDEX(Accounts!$R$2:$R$11,$F88),IF(INDEX(Accounts!$S$2:$S$11,$F88)="NONE",G88-INDEX(Accounts!$R$2:$R$11,$F88),MIN(G88-INDEX(Accounts!$R$2:$R$11,$F88),INDEX(Accounts!$Q$2:$Q$11,$F88)+INDEX(Accounts!$S$2:$S$11,$F88))))),"")</f>
        <v/>
      </c>
      <c r="I88" s="16">
        <f>IF(AND($A88="",$B88="",$C88="",$D88="",$E88=""),"",IF(OR($A88="",$F88=""),"UNKNOWN_ACCOUNT",IF(OR($B88="",$C88=""),"INCOMPLETE",IFERROR(IF(OR(NOT(ISNUMBER($B88)),NOT(ISNUMBER($C88)),IF(C88="",FALSE,IF(ISNUMBER(C88),OR(C88&lt;=0,C88&gt;100000000,ROUND(C88*100,6)&lt;&gt;INT(ROUND(C88*100,6))),TRUE)),IF(D88="",FALSE,IF(ISNUMBER(D88),OR(D88&lt;=0,D88&gt;100000000,ROUND(D88*100,6)&lt;&gt;INT(ROUND(D88*100,6))),TRUE)),IF(E88="",FALSE,IF(ISNUMBER(E88),OR(E88&lt;=0,E88&gt;100000000,ROUND(E88*100,6)&lt;&gt;INT(ROUND(E88*100,6))),TRUE)),AND($D88&lt;&gt;"",$D88&lt;MAX($C88,$E88)),AND($E88&lt;&gt;"",$E88&gt;MIN($C88,IF($D88="",$C88,$D88))),COUNTIFS($A$2:$A$1001,$A88,$B$2:$B$1001,$B88)&gt;1),"INVALID",IFERROR(IF(IF(INDEX(Accounts!$T$2:$T$11,$F88),ROUND(IF($E88="",$C88,MIN($C88,$E88))-(H88),6)&lt;=0,ROUND(IF($E88="",$C88,MIN($C88,$E88))-(H88),6)&lt;0),"BREACHED","OK"),"INCOMPLETE")),"INVALID"))))</f>
        <v/>
      </c>
      <c r="J88" s="33">
        <f>IF(OR(I88="OK",I88="BREACHED"),-INT(ROUND(-(H88)*100,6))/100,I88)</f>
        <v/>
      </c>
    </row>
    <row r="89" ht="18" customHeight="1">
      <c r="A89" s="9" t="n"/>
      <c r="B89" s="32" t="n"/>
      <c r="C89" s="12" t="n"/>
      <c r="D89" s="12" t="n"/>
      <c r="E89" s="12" t="n"/>
      <c r="F89" s="15">
        <f>IFERROR(MATCH($A89,Accounts!$A$2:$A$11,0),"")</f>
        <v/>
      </c>
      <c r="G89" s="14">
        <f>IFERROR(IF(OR($A89="",$F89=""),"",IF(INDEX(Accounts!$P$2:$P$11,$F89)="static",INDEX(Accounts!$Q$2:$Q$11,$F89),IF(INDEX(Accounts!$P$2:$P$11,$F89)="eod_trailing",MAX(INDEX(Accounts!$Q$2:$Q$11,$F89),_xlfn.MAXIFS($C$2:$C$1001,$A$2:$A$1001,$A89,$B$2:$B$1001,"&lt;"&amp;$B89)),MAX(INDEX(Accounts!$Q$2:$Q$11,$F89),_xlfn.MAXIFS($C$2:$C$1001,$A$2:$A$1001,$A89,$B$2:$B$1001,"&lt;"&amp;$B89),_xlfn.MAXIFS($D$2:$D$1001,$A$2:$A$1001,$A89,$B$2:$B$1001,"&lt;="&amp;$B89),$C89)))),"")</f>
        <v/>
      </c>
      <c r="H89" s="15">
        <f>IFERROR(IF(G89="","",IF(INDEX(Accounts!$P$2:$P$11,$F89)="static",INDEX(Accounts!$Q$2:$Q$11,$F89)-INDEX(Accounts!$R$2:$R$11,$F89),IF(INDEX(Accounts!$S$2:$S$11,$F89)="NONE",G89-INDEX(Accounts!$R$2:$R$11,$F89),MIN(G89-INDEX(Accounts!$R$2:$R$11,$F89),INDEX(Accounts!$Q$2:$Q$11,$F89)+INDEX(Accounts!$S$2:$S$11,$F89))))),"")</f>
        <v/>
      </c>
      <c r="I89" s="16">
        <f>IF(AND($A89="",$B89="",$C89="",$D89="",$E89=""),"",IF(OR($A89="",$F89=""),"UNKNOWN_ACCOUNT",IF(OR($B89="",$C89=""),"INCOMPLETE",IFERROR(IF(OR(NOT(ISNUMBER($B89)),NOT(ISNUMBER($C89)),IF(C89="",FALSE,IF(ISNUMBER(C89),OR(C89&lt;=0,C89&gt;100000000,ROUND(C89*100,6)&lt;&gt;INT(ROUND(C89*100,6))),TRUE)),IF(D89="",FALSE,IF(ISNUMBER(D89),OR(D89&lt;=0,D89&gt;100000000,ROUND(D89*100,6)&lt;&gt;INT(ROUND(D89*100,6))),TRUE)),IF(E89="",FALSE,IF(ISNUMBER(E89),OR(E89&lt;=0,E89&gt;100000000,ROUND(E89*100,6)&lt;&gt;INT(ROUND(E89*100,6))),TRUE)),AND($D89&lt;&gt;"",$D89&lt;MAX($C89,$E89)),AND($E89&lt;&gt;"",$E89&gt;MIN($C89,IF($D89="",$C89,$D89))),COUNTIFS($A$2:$A$1001,$A89,$B$2:$B$1001,$B89)&gt;1),"INVALID",IFERROR(IF(IF(INDEX(Accounts!$T$2:$T$11,$F89),ROUND(IF($E89="",$C89,MIN($C89,$E89))-(H89),6)&lt;=0,ROUND(IF($E89="",$C89,MIN($C89,$E89))-(H89),6)&lt;0),"BREACHED","OK"),"INCOMPLETE")),"INVALID"))))</f>
        <v/>
      </c>
      <c r="J89" s="33">
        <f>IF(OR(I89="OK",I89="BREACHED"),-INT(ROUND(-(H89)*100,6))/100,I89)</f>
        <v/>
      </c>
    </row>
    <row r="90" ht="18" customHeight="1">
      <c r="A90" s="9" t="n"/>
      <c r="B90" s="32" t="n"/>
      <c r="C90" s="12" t="n"/>
      <c r="D90" s="12" t="n"/>
      <c r="E90" s="12" t="n"/>
      <c r="F90" s="15">
        <f>IFERROR(MATCH($A90,Accounts!$A$2:$A$11,0),"")</f>
        <v/>
      </c>
      <c r="G90" s="14">
        <f>IFERROR(IF(OR($A90="",$F90=""),"",IF(INDEX(Accounts!$P$2:$P$11,$F90)="static",INDEX(Accounts!$Q$2:$Q$11,$F90),IF(INDEX(Accounts!$P$2:$P$11,$F90)="eod_trailing",MAX(INDEX(Accounts!$Q$2:$Q$11,$F90),_xlfn.MAXIFS($C$2:$C$1001,$A$2:$A$1001,$A90,$B$2:$B$1001,"&lt;"&amp;$B90)),MAX(INDEX(Accounts!$Q$2:$Q$11,$F90),_xlfn.MAXIFS($C$2:$C$1001,$A$2:$A$1001,$A90,$B$2:$B$1001,"&lt;"&amp;$B90),_xlfn.MAXIFS($D$2:$D$1001,$A$2:$A$1001,$A90,$B$2:$B$1001,"&lt;="&amp;$B90),$C90)))),"")</f>
        <v/>
      </c>
      <c r="H90" s="15">
        <f>IFERROR(IF(G90="","",IF(INDEX(Accounts!$P$2:$P$11,$F90)="static",INDEX(Accounts!$Q$2:$Q$11,$F90)-INDEX(Accounts!$R$2:$R$11,$F90),IF(INDEX(Accounts!$S$2:$S$11,$F90)="NONE",G90-INDEX(Accounts!$R$2:$R$11,$F90),MIN(G90-INDEX(Accounts!$R$2:$R$11,$F90),INDEX(Accounts!$Q$2:$Q$11,$F90)+INDEX(Accounts!$S$2:$S$11,$F90))))),"")</f>
        <v/>
      </c>
      <c r="I90" s="16">
        <f>IF(AND($A90="",$B90="",$C90="",$D90="",$E90=""),"",IF(OR($A90="",$F90=""),"UNKNOWN_ACCOUNT",IF(OR($B90="",$C90=""),"INCOMPLETE",IFERROR(IF(OR(NOT(ISNUMBER($B90)),NOT(ISNUMBER($C90)),IF(C90="",FALSE,IF(ISNUMBER(C90),OR(C90&lt;=0,C90&gt;100000000,ROUND(C90*100,6)&lt;&gt;INT(ROUND(C90*100,6))),TRUE)),IF(D90="",FALSE,IF(ISNUMBER(D90),OR(D90&lt;=0,D90&gt;100000000,ROUND(D90*100,6)&lt;&gt;INT(ROUND(D90*100,6))),TRUE)),IF(E90="",FALSE,IF(ISNUMBER(E90),OR(E90&lt;=0,E90&gt;100000000,ROUND(E90*100,6)&lt;&gt;INT(ROUND(E90*100,6))),TRUE)),AND($D90&lt;&gt;"",$D90&lt;MAX($C90,$E90)),AND($E90&lt;&gt;"",$E90&gt;MIN($C90,IF($D90="",$C90,$D90))),COUNTIFS($A$2:$A$1001,$A90,$B$2:$B$1001,$B90)&gt;1),"INVALID",IFERROR(IF(IF(INDEX(Accounts!$T$2:$T$11,$F90),ROUND(IF($E90="",$C90,MIN($C90,$E90))-(H90),6)&lt;=0,ROUND(IF($E90="",$C90,MIN($C90,$E90))-(H90),6)&lt;0),"BREACHED","OK"),"INCOMPLETE")),"INVALID"))))</f>
        <v/>
      </c>
      <c r="J90" s="33">
        <f>IF(OR(I90="OK",I90="BREACHED"),-INT(ROUND(-(H90)*100,6))/100,I90)</f>
        <v/>
      </c>
    </row>
    <row r="91" ht="18" customHeight="1">
      <c r="A91" s="9" t="n"/>
      <c r="B91" s="32" t="n"/>
      <c r="C91" s="12" t="n"/>
      <c r="D91" s="12" t="n"/>
      <c r="E91" s="12" t="n"/>
      <c r="F91" s="15">
        <f>IFERROR(MATCH($A91,Accounts!$A$2:$A$11,0),"")</f>
        <v/>
      </c>
      <c r="G91" s="14">
        <f>IFERROR(IF(OR($A91="",$F91=""),"",IF(INDEX(Accounts!$P$2:$P$11,$F91)="static",INDEX(Accounts!$Q$2:$Q$11,$F91),IF(INDEX(Accounts!$P$2:$P$11,$F91)="eod_trailing",MAX(INDEX(Accounts!$Q$2:$Q$11,$F91),_xlfn.MAXIFS($C$2:$C$1001,$A$2:$A$1001,$A91,$B$2:$B$1001,"&lt;"&amp;$B91)),MAX(INDEX(Accounts!$Q$2:$Q$11,$F91),_xlfn.MAXIFS($C$2:$C$1001,$A$2:$A$1001,$A91,$B$2:$B$1001,"&lt;"&amp;$B91),_xlfn.MAXIFS($D$2:$D$1001,$A$2:$A$1001,$A91,$B$2:$B$1001,"&lt;="&amp;$B91),$C91)))),"")</f>
        <v/>
      </c>
      <c r="H91" s="15">
        <f>IFERROR(IF(G91="","",IF(INDEX(Accounts!$P$2:$P$11,$F91)="static",INDEX(Accounts!$Q$2:$Q$11,$F91)-INDEX(Accounts!$R$2:$R$11,$F91),IF(INDEX(Accounts!$S$2:$S$11,$F91)="NONE",G91-INDEX(Accounts!$R$2:$R$11,$F91),MIN(G91-INDEX(Accounts!$R$2:$R$11,$F91),INDEX(Accounts!$Q$2:$Q$11,$F91)+INDEX(Accounts!$S$2:$S$11,$F91))))),"")</f>
        <v/>
      </c>
      <c r="I91" s="16">
        <f>IF(AND($A91="",$B91="",$C91="",$D91="",$E91=""),"",IF(OR($A91="",$F91=""),"UNKNOWN_ACCOUNT",IF(OR($B91="",$C91=""),"INCOMPLETE",IFERROR(IF(OR(NOT(ISNUMBER($B91)),NOT(ISNUMBER($C91)),IF(C91="",FALSE,IF(ISNUMBER(C91),OR(C91&lt;=0,C91&gt;100000000,ROUND(C91*100,6)&lt;&gt;INT(ROUND(C91*100,6))),TRUE)),IF(D91="",FALSE,IF(ISNUMBER(D91),OR(D91&lt;=0,D91&gt;100000000,ROUND(D91*100,6)&lt;&gt;INT(ROUND(D91*100,6))),TRUE)),IF(E91="",FALSE,IF(ISNUMBER(E91),OR(E91&lt;=0,E91&gt;100000000,ROUND(E91*100,6)&lt;&gt;INT(ROUND(E91*100,6))),TRUE)),AND($D91&lt;&gt;"",$D91&lt;MAX($C91,$E91)),AND($E91&lt;&gt;"",$E91&gt;MIN($C91,IF($D91="",$C91,$D91))),COUNTIFS($A$2:$A$1001,$A91,$B$2:$B$1001,$B91)&gt;1),"INVALID",IFERROR(IF(IF(INDEX(Accounts!$T$2:$T$11,$F91),ROUND(IF($E91="",$C91,MIN($C91,$E91))-(H91),6)&lt;=0,ROUND(IF($E91="",$C91,MIN($C91,$E91))-(H91),6)&lt;0),"BREACHED","OK"),"INCOMPLETE")),"INVALID"))))</f>
        <v/>
      </c>
      <c r="J91" s="33">
        <f>IF(OR(I91="OK",I91="BREACHED"),-INT(ROUND(-(H91)*100,6))/100,I91)</f>
        <v/>
      </c>
    </row>
    <row r="92" ht="18" customHeight="1">
      <c r="A92" s="9" t="n"/>
      <c r="B92" s="32" t="n"/>
      <c r="C92" s="12" t="n"/>
      <c r="D92" s="12" t="n"/>
      <c r="E92" s="12" t="n"/>
      <c r="F92" s="15">
        <f>IFERROR(MATCH($A92,Accounts!$A$2:$A$11,0),"")</f>
        <v/>
      </c>
      <c r="G92" s="14">
        <f>IFERROR(IF(OR($A92="",$F92=""),"",IF(INDEX(Accounts!$P$2:$P$11,$F92)="static",INDEX(Accounts!$Q$2:$Q$11,$F92),IF(INDEX(Accounts!$P$2:$P$11,$F92)="eod_trailing",MAX(INDEX(Accounts!$Q$2:$Q$11,$F92),_xlfn.MAXIFS($C$2:$C$1001,$A$2:$A$1001,$A92,$B$2:$B$1001,"&lt;"&amp;$B92)),MAX(INDEX(Accounts!$Q$2:$Q$11,$F92),_xlfn.MAXIFS($C$2:$C$1001,$A$2:$A$1001,$A92,$B$2:$B$1001,"&lt;"&amp;$B92),_xlfn.MAXIFS($D$2:$D$1001,$A$2:$A$1001,$A92,$B$2:$B$1001,"&lt;="&amp;$B92),$C92)))),"")</f>
        <v/>
      </c>
      <c r="H92" s="15">
        <f>IFERROR(IF(G92="","",IF(INDEX(Accounts!$P$2:$P$11,$F92)="static",INDEX(Accounts!$Q$2:$Q$11,$F92)-INDEX(Accounts!$R$2:$R$11,$F92),IF(INDEX(Accounts!$S$2:$S$11,$F92)="NONE",G92-INDEX(Accounts!$R$2:$R$11,$F92),MIN(G92-INDEX(Accounts!$R$2:$R$11,$F92),INDEX(Accounts!$Q$2:$Q$11,$F92)+INDEX(Accounts!$S$2:$S$11,$F92))))),"")</f>
        <v/>
      </c>
      <c r="I92" s="16">
        <f>IF(AND($A92="",$B92="",$C92="",$D92="",$E92=""),"",IF(OR($A92="",$F92=""),"UNKNOWN_ACCOUNT",IF(OR($B92="",$C92=""),"INCOMPLETE",IFERROR(IF(OR(NOT(ISNUMBER($B92)),NOT(ISNUMBER($C92)),IF(C92="",FALSE,IF(ISNUMBER(C92),OR(C92&lt;=0,C92&gt;100000000,ROUND(C92*100,6)&lt;&gt;INT(ROUND(C92*100,6))),TRUE)),IF(D92="",FALSE,IF(ISNUMBER(D92),OR(D92&lt;=0,D92&gt;100000000,ROUND(D92*100,6)&lt;&gt;INT(ROUND(D92*100,6))),TRUE)),IF(E92="",FALSE,IF(ISNUMBER(E92),OR(E92&lt;=0,E92&gt;100000000,ROUND(E92*100,6)&lt;&gt;INT(ROUND(E92*100,6))),TRUE)),AND($D92&lt;&gt;"",$D92&lt;MAX($C92,$E92)),AND($E92&lt;&gt;"",$E92&gt;MIN($C92,IF($D92="",$C92,$D92))),COUNTIFS($A$2:$A$1001,$A92,$B$2:$B$1001,$B92)&gt;1),"INVALID",IFERROR(IF(IF(INDEX(Accounts!$T$2:$T$11,$F92),ROUND(IF($E92="",$C92,MIN($C92,$E92))-(H92),6)&lt;=0,ROUND(IF($E92="",$C92,MIN($C92,$E92))-(H92),6)&lt;0),"BREACHED","OK"),"INCOMPLETE")),"INVALID"))))</f>
        <v/>
      </c>
      <c r="J92" s="33">
        <f>IF(OR(I92="OK",I92="BREACHED"),-INT(ROUND(-(H92)*100,6))/100,I92)</f>
        <v/>
      </c>
    </row>
    <row r="93" ht="18" customHeight="1">
      <c r="A93" s="9" t="n"/>
      <c r="B93" s="32" t="n"/>
      <c r="C93" s="12" t="n"/>
      <c r="D93" s="12" t="n"/>
      <c r="E93" s="12" t="n"/>
      <c r="F93" s="15">
        <f>IFERROR(MATCH($A93,Accounts!$A$2:$A$11,0),"")</f>
        <v/>
      </c>
      <c r="G93" s="14">
        <f>IFERROR(IF(OR($A93="",$F93=""),"",IF(INDEX(Accounts!$P$2:$P$11,$F93)="static",INDEX(Accounts!$Q$2:$Q$11,$F93),IF(INDEX(Accounts!$P$2:$P$11,$F93)="eod_trailing",MAX(INDEX(Accounts!$Q$2:$Q$11,$F93),_xlfn.MAXIFS($C$2:$C$1001,$A$2:$A$1001,$A93,$B$2:$B$1001,"&lt;"&amp;$B93)),MAX(INDEX(Accounts!$Q$2:$Q$11,$F93),_xlfn.MAXIFS($C$2:$C$1001,$A$2:$A$1001,$A93,$B$2:$B$1001,"&lt;"&amp;$B93),_xlfn.MAXIFS($D$2:$D$1001,$A$2:$A$1001,$A93,$B$2:$B$1001,"&lt;="&amp;$B93),$C93)))),"")</f>
        <v/>
      </c>
      <c r="H93" s="15">
        <f>IFERROR(IF(G93="","",IF(INDEX(Accounts!$P$2:$P$11,$F93)="static",INDEX(Accounts!$Q$2:$Q$11,$F93)-INDEX(Accounts!$R$2:$R$11,$F93),IF(INDEX(Accounts!$S$2:$S$11,$F93)="NONE",G93-INDEX(Accounts!$R$2:$R$11,$F93),MIN(G93-INDEX(Accounts!$R$2:$R$11,$F93),INDEX(Accounts!$Q$2:$Q$11,$F93)+INDEX(Accounts!$S$2:$S$11,$F93))))),"")</f>
        <v/>
      </c>
      <c r="I93" s="16">
        <f>IF(AND($A93="",$B93="",$C93="",$D93="",$E93=""),"",IF(OR($A93="",$F93=""),"UNKNOWN_ACCOUNT",IF(OR($B93="",$C93=""),"INCOMPLETE",IFERROR(IF(OR(NOT(ISNUMBER($B93)),NOT(ISNUMBER($C93)),IF(C93="",FALSE,IF(ISNUMBER(C93),OR(C93&lt;=0,C93&gt;100000000,ROUND(C93*100,6)&lt;&gt;INT(ROUND(C93*100,6))),TRUE)),IF(D93="",FALSE,IF(ISNUMBER(D93),OR(D93&lt;=0,D93&gt;100000000,ROUND(D93*100,6)&lt;&gt;INT(ROUND(D93*100,6))),TRUE)),IF(E93="",FALSE,IF(ISNUMBER(E93),OR(E93&lt;=0,E93&gt;100000000,ROUND(E93*100,6)&lt;&gt;INT(ROUND(E93*100,6))),TRUE)),AND($D93&lt;&gt;"",$D93&lt;MAX($C93,$E93)),AND($E93&lt;&gt;"",$E93&gt;MIN($C93,IF($D93="",$C93,$D93))),COUNTIFS($A$2:$A$1001,$A93,$B$2:$B$1001,$B93)&gt;1),"INVALID",IFERROR(IF(IF(INDEX(Accounts!$T$2:$T$11,$F93),ROUND(IF($E93="",$C93,MIN($C93,$E93))-(H93),6)&lt;=0,ROUND(IF($E93="",$C93,MIN($C93,$E93))-(H93),6)&lt;0),"BREACHED","OK"),"INCOMPLETE")),"INVALID"))))</f>
        <v/>
      </c>
      <c r="J93" s="33">
        <f>IF(OR(I93="OK",I93="BREACHED"),-INT(ROUND(-(H93)*100,6))/100,I93)</f>
        <v/>
      </c>
    </row>
    <row r="94" ht="18" customHeight="1">
      <c r="A94" s="9" t="n"/>
      <c r="B94" s="32" t="n"/>
      <c r="C94" s="12" t="n"/>
      <c r="D94" s="12" t="n"/>
      <c r="E94" s="12" t="n"/>
      <c r="F94" s="15">
        <f>IFERROR(MATCH($A94,Accounts!$A$2:$A$11,0),"")</f>
        <v/>
      </c>
      <c r="G94" s="14">
        <f>IFERROR(IF(OR($A94="",$F94=""),"",IF(INDEX(Accounts!$P$2:$P$11,$F94)="static",INDEX(Accounts!$Q$2:$Q$11,$F94),IF(INDEX(Accounts!$P$2:$P$11,$F94)="eod_trailing",MAX(INDEX(Accounts!$Q$2:$Q$11,$F94),_xlfn.MAXIFS($C$2:$C$1001,$A$2:$A$1001,$A94,$B$2:$B$1001,"&lt;"&amp;$B94)),MAX(INDEX(Accounts!$Q$2:$Q$11,$F94),_xlfn.MAXIFS($C$2:$C$1001,$A$2:$A$1001,$A94,$B$2:$B$1001,"&lt;"&amp;$B94),_xlfn.MAXIFS($D$2:$D$1001,$A$2:$A$1001,$A94,$B$2:$B$1001,"&lt;="&amp;$B94),$C94)))),"")</f>
        <v/>
      </c>
      <c r="H94" s="15">
        <f>IFERROR(IF(G94="","",IF(INDEX(Accounts!$P$2:$P$11,$F94)="static",INDEX(Accounts!$Q$2:$Q$11,$F94)-INDEX(Accounts!$R$2:$R$11,$F94),IF(INDEX(Accounts!$S$2:$S$11,$F94)="NONE",G94-INDEX(Accounts!$R$2:$R$11,$F94),MIN(G94-INDEX(Accounts!$R$2:$R$11,$F94),INDEX(Accounts!$Q$2:$Q$11,$F94)+INDEX(Accounts!$S$2:$S$11,$F94))))),"")</f>
        <v/>
      </c>
      <c r="I94" s="16">
        <f>IF(AND($A94="",$B94="",$C94="",$D94="",$E94=""),"",IF(OR($A94="",$F94=""),"UNKNOWN_ACCOUNT",IF(OR($B94="",$C94=""),"INCOMPLETE",IFERROR(IF(OR(NOT(ISNUMBER($B94)),NOT(ISNUMBER($C94)),IF(C94="",FALSE,IF(ISNUMBER(C94),OR(C94&lt;=0,C94&gt;100000000,ROUND(C94*100,6)&lt;&gt;INT(ROUND(C94*100,6))),TRUE)),IF(D94="",FALSE,IF(ISNUMBER(D94),OR(D94&lt;=0,D94&gt;100000000,ROUND(D94*100,6)&lt;&gt;INT(ROUND(D94*100,6))),TRUE)),IF(E94="",FALSE,IF(ISNUMBER(E94),OR(E94&lt;=0,E94&gt;100000000,ROUND(E94*100,6)&lt;&gt;INT(ROUND(E94*100,6))),TRUE)),AND($D94&lt;&gt;"",$D94&lt;MAX($C94,$E94)),AND($E94&lt;&gt;"",$E94&gt;MIN($C94,IF($D94="",$C94,$D94))),COUNTIFS($A$2:$A$1001,$A94,$B$2:$B$1001,$B94)&gt;1),"INVALID",IFERROR(IF(IF(INDEX(Accounts!$T$2:$T$11,$F94),ROUND(IF($E94="",$C94,MIN($C94,$E94))-(H94),6)&lt;=0,ROUND(IF($E94="",$C94,MIN($C94,$E94))-(H94),6)&lt;0),"BREACHED","OK"),"INCOMPLETE")),"INVALID"))))</f>
        <v/>
      </c>
      <c r="J94" s="33">
        <f>IF(OR(I94="OK",I94="BREACHED"),-INT(ROUND(-(H94)*100,6))/100,I94)</f>
        <v/>
      </c>
    </row>
    <row r="95" ht="18" customHeight="1">
      <c r="A95" s="9" t="n"/>
      <c r="B95" s="32" t="n"/>
      <c r="C95" s="12" t="n"/>
      <c r="D95" s="12" t="n"/>
      <c r="E95" s="12" t="n"/>
      <c r="F95" s="15">
        <f>IFERROR(MATCH($A95,Accounts!$A$2:$A$11,0),"")</f>
        <v/>
      </c>
      <c r="G95" s="14">
        <f>IFERROR(IF(OR($A95="",$F95=""),"",IF(INDEX(Accounts!$P$2:$P$11,$F95)="static",INDEX(Accounts!$Q$2:$Q$11,$F95),IF(INDEX(Accounts!$P$2:$P$11,$F95)="eod_trailing",MAX(INDEX(Accounts!$Q$2:$Q$11,$F95),_xlfn.MAXIFS($C$2:$C$1001,$A$2:$A$1001,$A95,$B$2:$B$1001,"&lt;"&amp;$B95)),MAX(INDEX(Accounts!$Q$2:$Q$11,$F95),_xlfn.MAXIFS($C$2:$C$1001,$A$2:$A$1001,$A95,$B$2:$B$1001,"&lt;"&amp;$B95),_xlfn.MAXIFS($D$2:$D$1001,$A$2:$A$1001,$A95,$B$2:$B$1001,"&lt;="&amp;$B95),$C95)))),"")</f>
        <v/>
      </c>
      <c r="H95" s="15">
        <f>IFERROR(IF(G95="","",IF(INDEX(Accounts!$P$2:$P$11,$F95)="static",INDEX(Accounts!$Q$2:$Q$11,$F95)-INDEX(Accounts!$R$2:$R$11,$F95),IF(INDEX(Accounts!$S$2:$S$11,$F95)="NONE",G95-INDEX(Accounts!$R$2:$R$11,$F95),MIN(G95-INDEX(Accounts!$R$2:$R$11,$F95),INDEX(Accounts!$Q$2:$Q$11,$F95)+INDEX(Accounts!$S$2:$S$11,$F95))))),"")</f>
        <v/>
      </c>
      <c r="I95" s="16">
        <f>IF(AND($A95="",$B95="",$C95="",$D95="",$E95=""),"",IF(OR($A95="",$F95=""),"UNKNOWN_ACCOUNT",IF(OR($B95="",$C95=""),"INCOMPLETE",IFERROR(IF(OR(NOT(ISNUMBER($B95)),NOT(ISNUMBER($C95)),IF(C95="",FALSE,IF(ISNUMBER(C95),OR(C95&lt;=0,C95&gt;100000000,ROUND(C95*100,6)&lt;&gt;INT(ROUND(C95*100,6))),TRUE)),IF(D95="",FALSE,IF(ISNUMBER(D95),OR(D95&lt;=0,D95&gt;100000000,ROUND(D95*100,6)&lt;&gt;INT(ROUND(D95*100,6))),TRUE)),IF(E95="",FALSE,IF(ISNUMBER(E95),OR(E95&lt;=0,E95&gt;100000000,ROUND(E95*100,6)&lt;&gt;INT(ROUND(E95*100,6))),TRUE)),AND($D95&lt;&gt;"",$D95&lt;MAX($C95,$E95)),AND($E95&lt;&gt;"",$E95&gt;MIN($C95,IF($D95="",$C95,$D95))),COUNTIFS($A$2:$A$1001,$A95,$B$2:$B$1001,$B95)&gt;1),"INVALID",IFERROR(IF(IF(INDEX(Accounts!$T$2:$T$11,$F95),ROUND(IF($E95="",$C95,MIN($C95,$E95))-(H95),6)&lt;=0,ROUND(IF($E95="",$C95,MIN($C95,$E95))-(H95),6)&lt;0),"BREACHED","OK"),"INCOMPLETE")),"INVALID"))))</f>
        <v/>
      </c>
      <c r="J95" s="33">
        <f>IF(OR(I95="OK",I95="BREACHED"),-INT(ROUND(-(H95)*100,6))/100,I95)</f>
        <v/>
      </c>
    </row>
    <row r="96" ht="18" customHeight="1">
      <c r="A96" s="9" t="n"/>
      <c r="B96" s="32" t="n"/>
      <c r="C96" s="12" t="n"/>
      <c r="D96" s="12" t="n"/>
      <c r="E96" s="12" t="n"/>
      <c r="F96" s="15">
        <f>IFERROR(MATCH($A96,Accounts!$A$2:$A$11,0),"")</f>
        <v/>
      </c>
      <c r="G96" s="14">
        <f>IFERROR(IF(OR($A96="",$F96=""),"",IF(INDEX(Accounts!$P$2:$P$11,$F96)="static",INDEX(Accounts!$Q$2:$Q$11,$F96),IF(INDEX(Accounts!$P$2:$P$11,$F96)="eod_trailing",MAX(INDEX(Accounts!$Q$2:$Q$11,$F96),_xlfn.MAXIFS($C$2:$C$1001,$A$2:$A$1001,$A96,$B$2:$B$1001,"&lt;"&amp;$B96)),MAX(INDEX(Accounts!$Q$2:$Q$11,$F96),_xlfn.MAXIFS($C$2:$C$1001,$A$2:$A$1001,$A96,$B$2:$B$1001,"&lt;"&amp;$B96),_xlfn.MAXIFS($D$2:$D$1001,$A$2:$A$1001,$A96,$B$2:$B$1001,"&lt;="&amp;$B96),$C96)))),"")</f>
        <v/>
      </c>
      <c r="H96" s="15">
        <f>IFERROR(IF(G96="","",IF(INDEX(Accounts!$P$2:$P$11,$F96)="static",INDEX(Accounts!$Q$2:$Q$11,$F96)-INDEX(Accounts!$R$2:$R$11,$F96),IF(INDEX(Accounts!$S$2:$S$11,$F96)="NONE",G96-INDEX(Accounts!$R$2:$R$11,$F96),MIN(G96-INDEX(Accounts!$R$2:$R$11,$F96),INDEX(Accounts!$Q$2:$Q$11,$F96)+INDEX(Accounts!$S$2:$S$11,$F96))))),"")</f>
        <v/>
      </c>
      <c r="I96" s="16">
        <f>IF(AND($A96="",$B96="",$C96="",$D96="",$E96=""),"",IF(OR($A96="",$F96=""),"UNKNOWN_ACCOUNT",IF(OR($B96="",$C96=""),"INCOMPLETE",IFERROR(IF(OR(NOT(ISNUMBER($B96)),NOT(ISNUMBER($C96)),IF(C96="",FALSE,IF(ISNUMBER(C96),OR(C96&lt;=0,C96&gt;100000000,ROUND(C96*100,6)&lt;&gt;INT(ROUND(C96*100,6))),TRUE)),IF(D96="",FALSE,IF(ISNUMBER(D96),OR(D96&lt;=0,D96&gt;100000000,ROUND(D96*100,6)&lt;&gt;INT(ROUND(D96*100,6))),TRUE)),IF(E96="",FALSE,IF(ISNUMBER(E96),OR(E96&lt;=0,E96&gt;100000000,ROUND(E96*100,6)&lt;&gt;INT(ROUND(E96*100,6))),TRUE)),AND($D96&lt;&gt;"",$D96&lt;MAX($C96,$E96)),AND($E96&lt;&gt;"",$E96&gt;MIN($C96,IF($D96="",$C96,$D96))),COUNTIFS($A$2:$A$1001,$A96,$B$2:$B$1001,$B96)&gt;1),"INVALID",IFERROR(IF(IF(INDEX(Accounts!$T$2:$T$11,$F96),ROUND(IF($E96="",$C96,MIN($C96,$E96))-(H96),6)&lt;=0,ROUND(IF($E96="",$C96,MIN($C96,$E96))-(H96),6)&lt;0),"BREACHED","OK"),"INCOMPLETE")),"INVALID"))))</f>
        <v/>
      </c>
      <c r="J96" s="33">
        <f>IF(OR(I96="OK",I96="BREACHED"),-INT(ROUND(-(H96)*100,6))/100,I96)</f>
        <v/>
      </c>
    </row>
    <row r="97" ht="18" customHeight="1">
      <c r="A97" s="9" t="n"/>
      <c r="B97" s="32" t="n"/>
      <c r="C97" s="12" t="n"/>
      <c r="D97" s="12" t="n"/>
      <c r="E97" s="12" t="n"/>
      <c r="F97" s="15">
        <f>IFERROR(MATCH($A97,Accounts!$A$2:$A$11,0),"")</f>
        <v/>
      </c>
      <c r="G97" s="14">
        <f>IFERROR(IF(OR($A97="",$F97=""),"",IF(INDEX(Accounts!$P$2:$P$11,$F97)="static",INDEX(Accounts!$Q$2:$Q$11,$F97),IF(INDEX(Accounts!$P$2:$P$11,$F97)="eod_trailing",MAX(INDEX(Accounts!$Q$2:$Q$11,$F97),_xlfn.MAXIFS($C$2:$C$1001,$A$2:$A$1001,$A97,$B$2:$B$1001,"&lt;"&amp;$B97)),MAX(INDEX(Accounts!$Q$2:$Q$11,$F97),_xlfn.MAXIFS($C$2:$C$1001,$A$2:$A$1001,$A97,$B$2:$B$1001,"&lt;"&amp;$B97),_xlfn.MAXIFS($D$2:$D$1001,$A$2:$A$1001,$A97,$B$2:$B$1001,"&lt;="&amp;$B97),$C97)))),"")</f>
        <v/>
      </c>
      <c r="H97" s="15">
        <f>IFERROR(IF(G97="","",IF(INDEX(Accounts!$P$2:$P$11,$F97)="static",INDEX(Accounts!$Q$2:$Q$11,$F97)-INDEX(Accounts!$R$2:$R$11,$F97),IF(INDEX(Accounts!$S$2:$S$11,$F97)="NONE",G97-INDEX(Accounts!$R$2:$R$11,$F97),MIN(G97-INDEX(Accounts!$R$2:$R$11,$F97),INDEX(Accounts!$Q$2:$Q$11,$F97)+INDEX(Accounts!$S$2:$S$11,$F97))))),"")</f>
        <v/>
      </c>
      <c r="I97" s="16">
        <f>IF(AND($A97="",$B97="",$C97="",$D97="",$E97=""),"",IF(OR($A97="",$F97=""),"UNKNOWN_ACCOUNT",IF(OR($B97="",$C97=""),"INCOMPLETE",IFERROR(IF(OR(NOT(ISNUMBER($B97)),NOT(ISNUMBER($C97)),IF(C97="",FALSE,IF(ISNUMBER(C97),OR(C97&lt;=0,C97&gt;100000000,ROUND(C97*100,6)&lt;&gt;INT(ROUND(C97*100,6))),TRUE)),IF(D97="",FALSE,IF(ISNUMBER(D97),OR(D97&lt;=0,D97&gt;100000000,ROUND(D97*100,6)&lt;&gt;INT(ROUND(D97*100,6))),TRUE)),IF(E97="",FALSE,IF(ISNUMBER(E97),OR(E97&lt;=0,E97&gt;100000000,ROUND(E97*100,6)&lt;&gt;INT(ROUND(E97*100,6))),TRUE)),AND($D97&lt;&gt;"",$D97&lt;MAX($C97,$E97)),AND($E97&lt;&gt;"",$E97&gt;MIN($C97,IF($D97="",$C97,$D97))),COUNTIFS($A$2:$A$1001,$A97,$B$2:$B$1001,$B97)&gt;1),"INVALID",IFERROR(IF(IF(INDEX(Accounts!$T$2:$T$11,$F97),ROUND(IF($E97="",$C97,MIN($C97,$E97))-(H97),6)&lt;=0,ROUND(IF($E97="",$C97,MIN($C97,$E97))-(H97),6)&lt;0),"BREACHED","OK"),"INCOMPLETE")),"INVALID"))))</f>
        <v/>
      </c>
      <c r="J97" s="33">
        <f>IF(OR(I97="OK",I97="BREACHED"),-INT(ROUND(-(H97)*100,6))/100,I97)</f>
        <v/>
      </c>
    </row>
    <row r="98" ht="18" customHeight="1">
      <c r="A98" s="9" t="n"/>
      <c r="B98" s="32" t="n"/>
      <c r="C98" s="12" t="n"/>
      <c r="D98" s="12" t="n"/>
      <c r="E98" s="12" t="n"/>
      <c r="F98" s="15">
        <f>IFERROR(MATCH($A98,Accounts!$A$2:$A$11,0),"")</f>
        <v/>
      </c>
      <c r="G98" s="14">
        <f>IFERROR(IF(OR($A98="",$F98=""),"",IF(INDEX(Accounts!$P$2:$P$11,$F98)="static",INDEX(Accounts!$Q$2:$Q$11,$F98),IF(INDEX(Accounts!$P$2:$P$11,$F98)="eod_trailing",MAX(INDEX(Accounts!$Q$2:$Q$11,$F98),_xlfn.MAXIFS($C$2:$C$1001,$A$2:$A$1001,$A98,$B$2:$B$1001,"&lt;"&amp;$B98)),MAX(INDEX(Accounts!$Q$2:$Q$11,$F98),_xlfn.MAXIFS($C$2:$C$1001,$A$2:$A$1001,$A98,$B$2:$B$1001,"&lt;"&amp;$B98),_xlfn.MAXIFS($D$2:$D$1001,$A$2:$A$1001,$A98,$B$2:$B$1001,"&lt;="&amp;$B98),$C98)))),"")</f>
        <v/>
      </c>
      <c r="H98" s="15">
        <f>IFERROR(IF(G98="","",IF(INDEX(Accounts!$P$2:$P$11,$F98)="static",INDEX(Accounts!$Q$2:$Q$11,$F98)-INDEX(Accounts!$R$2:$R$11,$F98),IF(INDEX(Accounts!$S$2:$S$11,$F98)="NONE",G98-INDEX(Accounts!$R$2:$R$11,$F98),MIN(G98-INDEX(Accounts!$R$2:$R$11,$F98),INDEX(Accounts!$Q$2:$Q$11,$F98)+INDEX(Accounts!$S$2:$S$11,$F98))))),"")</f>
        <v/>
      </c>
      <c r="I98" s="16">
        <f>IF(AND($A98="",$B98="",$C98="",$D98="",$E98=""),"",IF(OR($A98="",$F98=""),"UNKNOWN_ACCOUNT",IF(OR($B98="",$C98=""),"INCOMPLETE",IFERROR(IF(OR(NOT(ISNUMBER($B98)),NOT(ISNUMBER($C98)),IF(C98="",FALSE,IF(ISNUMBER(C98),OR(C98&lt;=0,C98&gt;100000000,ROUND(C98*100,6)&lt;&gt;INT(ROUND(C98*100,6))),TRUE)),IF(D98="",FALSE,IF(ISNUMBER(D98),OR(D98&lt;=0,D98&gt;100000000,ROUND(D98*100,6)&lt;&gt;INT(ROUND(D98*100,6))),TRUE)),IF(E98="",FALSE,IF(ISNUMBER(E98),OR(E98&lt;=0,E98&gt;100000000,ROUND(E98*100,6)&lt;&gt;INT(ROUND(E98*100,6))),TRUE)),AND($D98&lt;&gt;"",$D98&lt;MAX($C98,$E98)),AND($E98&lt;&gt;"",$E98&gt;MIN($C98,IF($D98="",$C98,$D98))),COUNTIFS($A$2:$A$1001,$A98,$B$2:$B$1001,$B98)&gt;1),"INVALID",IFERROR(IF(IF(INDEX(Accounts!$T$2:$T$11,$F98),ROUND(IF($E98="",$C98,MIN($C98,$E98))-(H98),6)&lt;=0,ROUND(IF($E98="",$C98,MIN($C98,$E98))-(H98),6)&lt;0),"BREACHED","OK"),"INCOMPLETE")),"INVALID"))))</f>
        <v/>
      </c>
      <c r="J98" s="33">
        <f>IF(OR(I98="OK",I98="BREACHED"),-INT(ROUND(-(H98)*100,6))/100,I98)</f>
        <v/>
      </c>
    </row>
    <row r="99" ht="18" customHeight="1">
      <c r="A99" s="9" t="n"/>
      <c r="B99" s="32" t="n"/>
      <c r="C99" s="12" t="n"/>
      <c r="D99" s="12" t="n"/>
      <c r="E99" s="12" t="n"/>
      <c r="F99" s="15">
        <f>IFERROR(MATCH($A99,Accounts!$A$2:$A$11,0),"")</f>
        <v/>
      </c>
      <c r="G99" s="14">
        <f>IFERROR(IF(OR($A99="",$F99=""),"",IF(INDEX(Accounts!$P$2:$P$11,$F99)="static",INDEX(Accounts!$Q$2:$Q$11,$F99),IF(INDEX(Accounts!$P$2:$P$11,$F99)="eod_trailing",MAX(INDEX(Accounts!$Q$2:$Q$11,$F99),_xlfn.MAXIFS($C$2:$C$1001,$A$2:$A$1001,$A99,$B$2:$B$1001,"&lt;"&amp;$B99)),MAX(INDEX(Accounts!$Q$2:$Q$11,$F99),_xlfn.MAXIFS($C$2:$C$1001,$A$2:$A$1001,$A99,$B$2:$B$1001,"&lt;"&amp;$B99),_xlfn.MAXIFS($D$2:$D$1001,$A$2:$A$1001,$A99,$B$2:$B$1001,"&lt;="&amp;$B99),$C99)))),"")</f>
        <v/>
      </c>
      <c r="H99" s="15">
        <f>IFERROR(IF(G99="","",IF(INDEX(Accounts!$P$2:$P$11,$F99)="static",INDEX(Accounts!$Q$2:$Q$11,$F99)-INDEX(Accounts!$R$2:$R$11,$F99),IF(INDEX(Accounts!$S$2:$S$11,$F99)="NONE",G99-INDEX(Accounts!$R$2:$R$11,$F99),MIN(G99-INDEX(Accounts!$R$2:$R$11,$F99),INDEX(Accounts!$Q$2:$Q$11,$F99)+INDEX(Accounts!$S$2:$S$11,$F99))))),"")</f>
        <v/>
      </c>
      <c r="I99" s="16">
        <f>IF(AND($A99="",$B99="",$C99="",$D99="",$E99=""),"",IF(OR($A99="",$F99=""),"UNKNOWN_ACCOUNT",IF(OR($B99="",$C99=""),"INCOMPLETE",IFERROR(IF(OR(NOT(ISNUMBER($B99)),NOT(ISNUMBER($C99)),IF(C99="",FALSE,IF(ISNUMBER(C99),OR(C99&lt;=0,C99&gt;100000000,ROUND(C99*100,6)&lt;&gt;INT(ROUND(C99*100,6))),TRUE)),IF(D99="",FALSE,IF(ISNUMBER(D99),OR(D99&lt;=0,D99&gt;100000000,ROUND(D99*100,6)&lt;&gt;INT(ROUND(D99*100,6))),TRUE)),IF(E99="",FALSE,IF(ISNUMBER(E99),OR(E99&lt;=0,E99&gt;100000000,ROUND(E99*100,6)&lt;&gt;INT(ROUND(E99*100,6))),TRUE)),AND($D99&lt;&gt;"",$D99&lt;MAX($C99,$E99)),AND($E99&lt;&gt;"",$E99&gt;MIN($C99,IF($D99="",$C99,$D99))),COUNTIFS($A$2:$A$1001,$A99,$B$2:$B$1001,$B99)&gt;1),"INVALID",IFERROR(IF(IF(INDEX(Accounts!$T$2:$T$11,$F99),ROUND(IF($E99="",$C99,MIN($C99,$E99))-(H99),6)&lt;=0,ROUND(IF($E99="",$C99,MIN($C99,$E99))-(H99),6)&lt;0),"BREACHED","OK"),"INCOMPLETE")),"INVALID"))))</f>
        <v/>
      </c>
      <c r="J99" s="33">
        <f>IF(OR(I99="OK",I99="BREACHED"),-INT(ROUND(-(H99)*100,6))/100,I99)</f>
        <v/>
      </c>
    </row>
    <row r="100" ht="18" customHeight="1">
      <c r="A100" s="9" t="n"/>
      <c r="B100" s="32" t="n"/>
      <c r="C100" s="12" t="n"/>
      <c r="D100" s="12" t="n"/>
      <c r="E100" s="12" t="n"/>
      <c r="F100" s="15">
        <f>IFERROR(MATCH($A100,Accounts!$A$2:$A$11,0),"")</f>
        <v/>
      </c>
      <c r="G100" s="14">
        <f>IFERROR(IF(OR($A100="",$F100=""),"",IF(INDEX(Accounts!$P$2:$P$11,$F100)="static",INDEX(Accounts!$Q$2:$Q$11,$F100),IF(INDEX(Accounts!$P$2:$P$11,$F100)="eod_trailing",MAX(INDEX(Accounts!$Q$2:$Q$11,$F100),_xlfn.MAXIFS($C$2:$C$1001,$A$2:$A$1001,$A100,$B$2:$B$1001,"&lt;"&amp;$B100)),MAX(INDEX(Accounts!$Q$2:$Q$11,$F100),_xlfn.MAXIFS($C$2:$C$1001,$A$2:$A$1001,$A100,$B$2:$B$1001,"&lt;"&amp;$B100),_xlfn.MAXIFS($D$2:$D$1001,$A$2:$A$1001,$A100,$B$2:$B$1001,"&lt;="&amp;$B100),$C100)))),"")</f>
        <v/>
      </c>
      <c r="H100" s="15">
        <f>IFERROR(IF(G100="","",IF(INDEX(Accounts!$P$2:$P$11,$F100)="static",INDEX(Accounts!$Q$2:$Q$11,$F100)-INDEX(Accounts!$R$2:$R$11,$F100),IF(INDEX(Accounts!$S$2:$S$11,$F100)="NONE",G100-INDEX(Accounts!$R$2:$R$11,$F100),MIN(G100-INDEX(Accounts!$R$2:$R$11,$F100),INDEX(Accounts!$Q$2:$Q$11,$F100)+INDEX(Accounts!$S$2:$S$11,$F100))))),"")</f>
        <v/>
      </c>
      <c r="I100" s="16">
        <f>IF(AND($A100="",$B100="",$C100="",$D100="",$E100=""),"",IF(OR($A100="",$F100=""),"UNKNOWN_ACCOUNT",IF(OR($B100="",$C100=""),"INCOMPLETE",IFERROR(IF(OR(NOT(ISNUMBER($B100)),NOT(ISNUMBER($C100)),IF(C100="",FALSE,IF(ISNUMBER(C100),OR(C100&lt;=0,C100&gt;100000000,ROUND(C100*100,6)&lt;&gt;INT(ROUND(C100*100,6))),TRUE)),IF(D100="",FALSE,IF(ISNUMBER(D100),OR(D100&lt;=0,D100&gt;100000000,ROUND(D100*100,6)&lt;&gt;INT(ROUND(D100*100,6))),TRUE)),IF(E100="",FALSE,IF(ISNUMBER(E100),OR(E100&lt;=0,E100&gt;100000000,ROUND(E100*100,6)&lt;&gt;INT(ROUND(E100*100,6))),TRUE)),AND($D100&lt;&gt;"",$D100&lt;MAX($C100,$E100)),AND($E100&lt;&gt;"",$E100&gt;MIN($C100,IF($D100="",$C100,$D100))),COUNTIFS($A$2:$A$1001,$A100,$B$2:$B$1001,$B100)&gt;1),"INVALID",IFERROR(IF(IF(INDEX(Accounts!$T$2:$T$11,$F100),ROUND(IF($E100="",$C100,MIN($C100,$E100))-(H100),6)&lt;=0,ROUND(IF($E100="",$C100,MIN($C100,$E100))-(H100),6)&lt;0),"BREACHED","OK"),"INCOMPLETE")),"INVALID"))))</f>
        <v/>
      </c>
      <c r="J100" s="33">
        <f>IF(OR(I100="OK",I100="BREACHED"),-INT(ROUND(-(H100)*100,6))/100,I100)</f>
        <v/>
      </c>
    </row>
    <row r="101" ht="18" customHeight="1">
      <c r="A101" s="9" t="n"/>
      <c r="B101" s="32" t="n"/>
      <c r="C101" s="12" t="n"/>
      <c r="D101" s="12" t="n"/>
      <c r="E101" s="12" t="n"/>
      <c r="F101" s="15">
        <f>IFERROR(MATCH($A101,Accounts!$A$2:$A$11,0),"")</f>
        <v/>
      </c>
      <c r="G101" s="14">
        <f>IFERROR(IF(OR($A101="",$F101=""),"",IF(INDEX(Accounts!$P$2:$P$11,$F101)="static",INDEX(Accounts!$Q$2:$Q$11,$F101),IF(INDEX(Accounts!$P$2:$P$11,$F101)="eod_trailing",MAX(INDEX(Accounts!$Q$2:$Q$11,$F101),_xlfn.MAXIFS($C$2:$C$1001,$A$2:$A$1001,$A101,$B$2:$B$1001,"&lt;"&amp;$B101)),MAX(INDEX(Accounts!$Q$2:$Q$11,$F101),_xlfn.MAXIFS($C$2:$C$1001,$A$2:$A$1001,$A101,$B$2:$B$1001,"&lt;"&amp;$B101),_xlfn.MAXIFS($D$2:$D$1001,$A$2:$A$1001,$A101,$B$2:$B$1001,"&lt;="&amp;$B101),$C101)))),"")</f>
        <v/>
      </c>
      <c r="H101" s="15">
        <f>IFERROR(IF(G101="","",IF(INDEX(Accounts!$P$2:$P$11,$F101)="static",INDEX(Accounts!$Q$2:$Q$11,$F101)-INDEX(Accounts!$R$2:$R$11,$F101),IF(INDEX(Accounts!$S$2:$S$11,$F101)="NONE",G101-INDEX(Accounts!$R$2:$R$11,$F101),MIN(G101-INDEX(Accounts!$R$2:$R$11,$F101),INDEX(Accounts!$Q$2:$Q$11,$F101)+INDEX(Accounts!$S$2:$S$11,$F101))))),"")</f>
        <v/>
      </c>
      <c r="I101" s="16">
        <f>IF(AND($A101="",$B101="",$C101="",$D101="",$E101=""),"",IF(OR($A101="",$F101=""),"UNKNOWN_ACCOUNT",IF(OR($B101="",$C101=""),"INCOMPLETE",IFERROR(IF(OR(NOT(ISNUMBER($B101)),NOT(ISNUMBER($C101)),IF(C101="",FALSE,IF(ISNUMBER(C101),OR(C101&lt;=0,C101&gt;100000000,ROUND(C101*100,6)&lt;&gt;INT(ROUND(C101*100,6))),TRUE)),IF(D101="",FALSE,IF(ISNUMBER(D101),OR(D101&lt;=0,D101&gt;100000000,ROUND(D101*100,6)&lt;&gt;INT(ROUND(D101*100,6))),TRUE)),IF(E101="",FALSE,IF(ISNUMBER(E101),OR(E101&lt;=0,E101&gt;100000000,ROUND(E101*100,6)&lt;&gt;INT(ROUND(E101*100,6))),TRUE)),AND($D101&lt;&gt;"",$D101&lt;MAX($C101,$E101)),AND($E101&lt;&gt;"",$E101&gt;MIN($C101,IF($D101="",$C101,$D101))),COUNTIFS($A$2:$A$1001,$A101,$B$2:$B$1001,$B101)&gt;1),"INVALID",IFERROR(IF(IF(INDEX(Accounts!$T$2:$T$11,$F101),ROUND(IF($E101="",$C101,MIN($C101,$E101))-(H101),6)&lt;=0,ROUND(IF($E101="",$C101,MIN($C101,$E101))-(H101),6)&lt;0),"BREACHED","OK"),"INCOMPLETE")),"INVALID"))))</f>
        <v/>
      </c>
      <c r="J101" s="33">
        <f>IF(OR(I101="OK",I101="BREACHED"),-INT(ROUND(-(H101)*100,6))/100,I101)</f>
        <v/>
      </c>
    </row>
    <row r="102" ht="18" customHeight="1">
      <c r="A102" s="9" t="n"/>
      <c r="B102" s="32" t="n"/>
      <c r="C102" s="12" t="n"/>
      <c r="D102" s="12" t="n"/>
      <c r="E102" s="12" t="n"/>
      <c r="F102" s="15">
        <f>IFERROR(MATCH($A102,Accounts!$A$2:$A$11,0),"")</f>
        <v/>
      </c>
      <c r="G102" s="14">
        <f>IFERROR(IF(OR($A102="",$F102=""),"",IF(INDEX(Accounts!$P$2:$P$11,$F102)="static",INDEX(Accounts!$Q$2:$Q$11,$F102),IF(INDEX(Accounts!$P$2:$P$11,$F102)="eod_trailing",MAX(INDEX(Accounts!$Q$2:$Q$11,$F102),_xlfn.MAXIFS($C$2:$C$1001,$A$2:$A$1001,$A102,$B$2:$B$1001,"&lt;"&amp;$B102)),MAX(INDEX(Accounts!$Q$2:$Q$11,$F102),_xlfn.MAXIFS($C$2:$C$1001,$A$2:$A$1001,$A102,$B$2:$B$1001,"&lt;"&amp;$B102),_xlfn.MAXIFS($D$2:$D$1001,$A$2:$A$1001,$A102,$B$2:$B$1001,"&lt;="&amp;$B102),$C102)))),"")</f>
        <v/>
      </c>
      <c r="H102" s="15">
        <f>IFERROR(IF(G102="","",IF(INDEX(Accounts!$P$2:$P$11,$F102)="static",INDEX(Accounts!$Q$2:$Q$11,$F102)-INDEX(Accounts!$R$2:$R$11,$F102),IF(INDEX(Accounts!$S$2:$S$11,$F102)="NONE",G102-INDEX(Accounts!$R$2:$R$11,$F102),MIN(G102-INDEX(Accounts!$R$2:$R$11,$F102),INDEX(Accounts!$Q$2:$Q$11,$F102)+INDEX(Accounts!$S$2:$S$11,$F102))))),"")</f>
        <v/>
      </c>
      <c r="I102" s="16">
        <f>IF(AND($A102="",$B102="",$C102="",$D102="",$E102=""),"",IF(OR($A102="",$F102=""),"UNKNOWN_ACCOUNT",IF(OR($B102="",$C102=""),"INCOMPLETE",IFERROR(IF(OR(NOT(ISNUMBER($B102)),NOT(ISNUMBER($C102)),IF(C102="",FALSE,IF(ISNUMBER(C102),OR(C102&lt;=0,C102&gt;100000000,ROUND(C102*100,6)&lt;&gt;INT(ROUND(C102*100,6))),TRUE)),IF(D102="",FALSE,IF(ISNUMBER(D102),OR(D102&lt;=0,D102&gt;100000000,ROUND(D102*100,6)&lt;&gt;INT(ROUND(D102*100,6))),TRUE)),IF(E102="",FALSE,IF(ISNUMBER(E102),OR(E102&lt;=0,E102&gt;100000000,ROUND(E102*100,6)&lt;&gt;INT(ROUND(E102*100,6))),TRUE)),AND($D102&lt;&gt;"",$D102&lt;MAX($C102,$E102)),AND($E102&lt;&gt;"",$E102&gt;MIN($C102,IF($D102="",$C102,$D102))),COUNTIFS($A$2:$A$1001,$A102,$B$2:$B$1001,$B102)&gt;1),"INVALID",IFERROR(IF(IF(INDEX(Accounts!$T$2:$T$11,$F102),ROUND(IF($E102="",$C102,MIN($C102,$E102))-(H102),6)&lt;=0,ROUND(IF($E102="",$C102,MIN($C102,$E102))-(H102),6)&lt;0),"BREACHED","OK"),"INCOMPLETE")),"INVALID"))))</f>
        <v/>
      </c>
      <c r="J102" s="33">
        <f>IF(OR(I102="OK",I102="BREACHED"),-INT(ROUND(-(H102)*100,6))/100,I102)</f>
        <v/>
      </c>
    </row>
    <row r="103" ht="18" customHeight="1">
      <c r="A103" s="9" t="n"/>
      <c r="B103" s="32" t="n"/>
      <c r="C103" s="12" t="n"/>
      <c r="D103" s="12" t="n"/>
      <c r="E103" s="12" t="n"/>
      <c r="F103" s="15">
        <f>IFERROR(MATCH($A103,Accounts!$A$2:$A$11,0),"")</f>
        <v/>
      </c>
      <c r="G103" s="14">
        <f>IFERROR(IF(OR($A103="",$F103=""),"",IF(INDEX(Accounts!$P$2:$P$11,$F103)="static",INDEX(Accounts!$Q$2:$Q$11,$F103),IF(INDEX(Accounts!$P$2:$P$11,$F103)="eod_trailing",MAX(INDEX(Accounts!$Q$2:$Q$11,$F103),_xlfn.MAXIFS($C$2:$C$1001,$A$2:$A$1001,$A103,$B$2:$B$1001,"&lt;"&amp;$B103)),MAX(INDEX(Accounts!$Q$2:$Q$11,$F103),_xlfn.MAXIFS($C$2:$C$1001,$A$2:$A$1001,$A103,$B$2:$B$1001,"&lt;"&amp;$B103),_xlfn.MAXIFS($D$2:$D$1001,$A$2:$A$1001,$A103,$B$2:$B$1001,"&lt;="&amp;$B103),$C103)))),"")</f>
        <v/>
      </c>
      <c r="H103" s="15">
        <f>IFERROR(IF(G103="","",IF(INDEX(Accounts!$P$2:$P$11,$F103)="static",INDEX(Accounts!$Q$2:$Q$11,$F103)-INDEX(Accounts!$R$2:$R$11,$F103),IF(INDEX(Accounts!$S$2:$S$11,$F103)="NONE",G103-INDEX(Accounts!$R$2:$R$11,$F103),MIN(G103-INDEX(Accounts!$R$2:$R$11,$F103),INDEX(Accounts!$Q$2:$Q$11,$F103)+INDEX(Accounts!$S$2:$S$11,$F103))))),"")</f>
        <v/>
      </c>
      <c r="I103" s="16">
        <f>IF(AND($A103="",$B103="",$C103="",$D103="",$E103=""),"",IF(OR($A103="",$F103=""),"UNKNOWN_ACCOUNT",IF(OR($B103="",$C103=""),"INCOMPLETE",IFERROR(IF(OR(NOT(ISNUMBER($B103)),NOT(ISNUMBER($C103)),IF(C103="",FALSE,IF(ISNUMBER(C103),OR(C103&lt;=0,C103&gt;100000000,ROUND(C103*100,6)&lt;&gt;INT(ROUND(C103*100,6))),TRUE)),IF(D103="",FALSE,IF(ISNUMBER(D103),OR(D103&lt;=0,D103&gt;100000000,ROUND(D103*100,6)&lt;&gt;INT(ROUND(D103*100,6))),TRUE)),IF(E103="",FALSE,IF(ISNUMBER(E103),OR(E103&lt;=0,E103&gt;100000000,ROUND(E103*100,6)&lt;&gt;INT(ROUND(E103*100,6))),TRUE)),AND($D103&lt;&gt;"",$D103&lt;MAX($C103,$E103)),AND($E103&lt;&gt;"",$E103&gt;MIN($C103,IF($D103="",$C103,$D103))),COUNTIFS($A$2:$A$1001,$A103,$B$2:$B$1001,$B103)&gt;1),"INVALID",IFERROR(IF(IF(INDEX(Accounts!$T$2:$T$11,$F103),ROUND(IF($E103="",$C103,MIN($C103,$E103))-(H103),6)&lt;=0,ROUND(IF($E103="",$C103,MIN($C103,$E103))-(H103),6)&lt;0),"BREACHED","OK"),"INCOMPLETE")),"INVALID"))))</f>
        <v/>
      </c>
      <c r="J103" s="33">
        <f>IF(OR(I103="OK",I103="BREACHED"),-INT(ROUND(-(H103)*100,6))/100,I103)</f>
        <v/>
      </c>
    </row>
    <row r="104" ht="18" customHeight="1">
      <c r="A104" s="9" t="n"/>
      <c r="B104" s="32" t="n"/>
      <c r="C104" s="12" t="n"/>
      <c r="D104" s="12" t="n"/>
      <c r="E104" s="12" t="n"/>
      <c r="F104" s="15">
        <f>IFERROR(MATCH($A104,Accounts!$A$2:$A$11,0),"")</f>
        <v/>
      </c>
      <c r="G104" s="14">
        <f>IFERROR(IF(OR($A104="",$F104=""),"",IF(INDEX(Accounts!$P$2:$P$11,$F104)="static",INDEX(Accounts!$Q$2:$Q$11,$F104),IF(INDEX(Accounts!$P$2:$P$11,$F104)="eod_trailing",MAX(INDEX(Accounts!$Q$2:$Q$11,$F104),_xlfn.MAXIFS($C$2:$C$1001,$A$2:$A$1001,$A104,$B$2:$B$1001,"&lt;"&amp;$B104)),MAX(INDEX(Accounts!$Q$2:$Q$11,$F104),_xlfn.MAXIFS($C$2:$C$1001,$A$2:$A$1001,$A104,$B$2:$B$1001,"&lt;"&amp;$B104),_xlfn.MAXIFS($D$2:$D$1001,$A$2:$A$1001,$A104,$B$2:$B$1001,"&lt;="&amp;$B104),$C104)))),"")</f>
        <v/>
      </c>
      <c r="H104" s="15">
        <f>IFERROR(IF(G104="","",IF(INDEX(Accounts!$P$2:$P$11,$F104)="static",INDEX(Accounts!$Q$2:$Q$11,$F104)-INDEX(Accounts!$R$2:$R$11,$F104),IF(INDEX(Accounts!$S$2:$S$11,$F104)="NONE",G104-INDEX(Accounts!$R$2:$R$11,$F104),MIN(G104-INDEX(Accounts!$R$2:$R$11,$F104),INDEX(Accounts!$Q$2:$Q$11,$F104)+INDEX(Accounts!$S$2:$S$11,$F104))))),"")</f>
        <v/>
      </c>
      <c r="I104" s="16">
        <f>IF(AND($A104="",$B104="",$C104="",$D104="",$E104=""),"",IF(OR($A104="",$F104=""),"UNKNOWN_ACCOUNT",IF(OR($B104="",$C104=""),"INCOMPLETE",IFERROR(IF(OR(NOT(ISNUMBER($B104)),NOT(ISNUMBER($C104)),IF(C104="",FALSE,IF(ISNUMBER(C104),OR(C104&lt;=0,C104&gt;100000000,ROUND(C104*100,6)&lt;&gt;INT(ROUND(C104*100,6))),TRUE)),IF(D104="",FALSE,IF(ISNUMBER(D104),OR(D104&lt;=0,D104&gt;100000000,ROUND(D104*100,6)&lt;&gt;INT(ROUND(D104*100,6))),TRUE)),IF(E104="",FALSE,IF(ISNUMBER(E104),OR(E104&lt;=0,E104&gt;100000000,ROUND(E104*100,6)&lt;&gt;INT(ROUND(E104*100,6))),TRUE)),AND($D104&lt;&gt;"",$D104&lt;MAX($C104,$E104)),AND($E104&lt;&gt;"",$E104&gt;MIN($C104,IF($D104="",$C104,$D104))),COUNTIFS($A$2:$A$1001,$A104,$B$2:$B$1001,$B104)&gt;1),"INVALID",IFERROR(IF(IF(INDEX(Accounts!$T$2:$T$11,$F104),ROUND(IF($E104="",$C104,MIN($C104,$E104))-(H104),6)&lt;=0,ROUND(IF($E104="",$C104,MIN($C104,$E104))-(H104),6)&lt;0),"BREACHED","OK"),"INCOMPLETE")),"INVALID"))))</f>
        <v/>
      </c>
      <c r="J104" s="33">
        <f>IF(OR(I104="OK",I104="BREACHED"),-INT(ROUND(-(H104)*100,6))/100,I104)</f>
        <v/>
      </c>
    </row>
    <row r="105" ht="18" customHeight="1">
      <c r="A105" s="9" t="n"/>
      <c r="B105" s="32" t="n"/>
      <c r="C105" s="12" t="n"/>
      <c r="D105" s="12" t="n"/>
      <c r="E105" s="12" t="n"/>
      <c r="F105" s="15">
        <f>IFERROR(MATCH($A105,Accounts!$A$2:$A$11,0),"")</f>
        <v/>
      </c>
      <c r="G105" s="14">
        <f>IFERROR(IF(OR($A105="",$F105=""),"",IF(INDEX(Accounts!$P$2:$P$11,$F105)="static",INDEX(Accounts!$Q$2:$Q$11,$F105),IF(INDEX(Accounts!$P$2:$P$11,$F105)="eod_trailing",MAX(INDEX(Accounts!$Q$2:$Q$11,$F105),_xlfn.MAXIFS($C$2:$C$1001,$A$2:$A$1001,$A105,$B$2:$B$1001,"&lt;"&amp;$B105)),MAX(INDEX(Accounts!$Q$2:$Q$11,$F105),_xlfn.MAXIFS($C$2:$C$1001,$A$2:$A$1001,$A105,$B$2:$B$1001,"&lt;"&amp;$B105),_xlfn.MAXIFS($D$2:$D$1001,$A$2:$A$1001,$A105,$B$2:$B$1001,"&lt;="&amp;$B105),$C105)))),"")</f>
        <v/>
      </c>
      <c r="H105" s="15">
        <f>IFERROR(IF(G105="","",IF(INDEX(Accounts!$P$2:$P$11,$F105)="static",INDEX(Accounts!$Q$2:$Q$11,$F105)-INDEX(Accounts!$R$2:$R$11,$F105),IF(INDEX(Accounts!$S$2:$S$11,$F105)="NONE",G105-INDEX(Accounts!$R$2:$R$11,$F105),MIN(G105-INDEX(Accounts!$R$2:$R$11,$F105),INDEX(Accounts!$Q$2:$Q$11,$F105)+INDEX(Accounts!$S$2:$S$11,$F105))))),"")</f>
        <v/>
      </c>
      <c r="I105" s="16">
        <f>IF(AND($A105="",$B105="",$C105="",$D105="",$E105=""),"",IF(OR($A105="",$F105=""),"UNKNOWN_ACCOUNT",IF(OR($B105="",$C105=""),"INCOMPLETE",IFERROR(IF(OR(NOT(ISNUMBER($B105)),NOT(ISNUMBER($C105)),IF(C105="",FALSE,IF(ISNUMBER(C105),OR(C105&lt;=0,C105&gt;100000000,ROUND(C105*100,6)&lt;&gt;INT(ROUND(C105*100,6))),TRUE)),IF(D105="",FALSE,IF(ISNUMBER(D105),OR(D105&lt;=0,D105&gt;100000000,ROUND(D105*100,6)&lt;&gt;INT(ROUND(D105*100,6))),TRUE)),IF(E105="",FALSE,IF(ISNUMBER(E105),OR(E105&lt;=0,E105&gt;100000000,ROUND(E105*100,6)&lt;&gt;INT(ROUND(E105*100,6))),TRUE)),AND($D105&lt;&gt;"",$D105&lt;MAX($C105,$E105)),AND($E105&lt;&gt;"",$E105&gt;MIN($C105,IF($D105="",$C105,$D105))),COUNTIFS($A$2:$A$1001,$A105,$B$2:$B$1001,$B105)&gt;1),"INVALID",IFERROR(IF(IF(INDEX(Accounts!$T$2:$T$11,$F105),ROUND(IF($E105="",$C105,MIN($C105,$E105))-(H105),6)&lt;=0,ROUND(IF($E105="",$C105,MIN($C105,$E105))-(H105),6)&lt;0),"BREACHED","OK"),"INCOMPLETE")),"INVALID"))))</f>
        <v/>
      </c>
      <c r="J105" s="33">
        <f>IF(OR(I105="OK",I105="BREACHED"),-INT(ROUND(-(H105)*100,6))/100,I105)</f>
        <v/>
      </c>
    </row>
    <row r="106" ht="18" customHeight="1">
      <c r="A106" s="9" t="n"/>
      <c r="B106" s="32" t="n"/>
      <c r="C106" s="12" t="n"/>
      <c r="D106" s="12" t="n"/>
      <c r="E106" s="12" t="n"/>
      <c r="F106" s="15">
        <f>IFERROR(MATCH($A106,Accounts!$A$2:$A$11,0),"")</f>
        <v/>
      </c>
      <c r="G106" s="14">
        <f>IFERROR(IF(OR($A106="",$F106=""),"",IF(INDEX(Accounts!$P$2:$P$11,$F106)="static",INDEX(Accounts!$Q$2:$Q$11,$F106),IF(INDEX(Accounts!$P$2:$P$11,$F106)="eod_trailing",MAX(INDEX(Accounts!$Q$2:$Q$11,$F106),_xlfn.MAXIFS($C$2:$C$1001,$A$2:$A$1001,$A106,$B$2:$B$1001,"&lt;"&amp;$B106)),MAX(INDEX(Accounts!$Q$2:$Q$11,$F106),_xlfn.MAXIFS($C$2:$C$1001,$A$2:$A$1001,$A106,$B$2:$B$1001,"&lt;"&amp;$B106),_xlfn.MAXIFS($D$2:$D$1001,$A$2:$A$1001,$A106,$B$2:$B$1001,"&lt;="&amp;$B106),$C106)))),"")</f>
        <v/>
      </c>
      <c r="H106" s="15">
        <f>IFERROR(IF(G106="","",IF(INDEX(Accounts!$P$2:$P$11,$F106)="static",INDEX(Accounts!$Q$2:$Q$11,$F106)-INDEX(Accounts!$R$2:$R$11,$F106),IF(INDEX(Accounts!$S$2:$S$11,$F106)="NONE",G106-INDEX(Accounts!$R$2:$R$11,$F106),MIN(G106-INDEX(Accounts!$R$2:$R$11,$F106),INDEX(Accounts!$Q$2:$Q$11,$F106)+INDEX(Accounts!$S$2:$S$11,$F106))))),"")</f>
        <v/>
      </c>
      <c r="I106" s="16">
        <f>IF(AND($A106="",$B106="",$C106="",$D106="",$E106=""),"",IF(OR($A106="",$F106=""),"UNKNOWN_ACCOUNT",IF(OR($B106="",$C106=""),"INCOMPLETE",IFERROR(IF(OR(NOT(ISNUMBER($B106)),NOT(ISNUMBER($C106)),IF(C106="",FALSE,IF(ISNUMBER(C106),OR(C106&lt;=0,C106&gt;100000000,ROUND(C106*100,6)&lt;&gt;INT(ROUND(C106*100,6))),TRUE)),IF(D106="",FALSE,IF(ISNUMBER(D106),OR(D106&lt;=0,D106&gt;100000000,ROUND(D106*100,6)&lt;&gt;INT(ROUND(D106*100,6))),TRUE)),IF(E106="",FALSE,IF(ISNUMBER(E106),OR(E106&lt;=0,E106&gt;100000000,ROUND(E106*100,6)&lt;&gt;INT(ROUND(E106*100,6))),TRUE)),AND($D106&lt;&gt;"",$D106&lt;MAX($C106,$E106)),AND($E106&lt;&gt;"",$E106&gt;MIN($C106,IF($D106="",$C106,$D106))),COUNTIFS($A$2:$A$1001,$A106,$B$2:$B$1001,$B106)&gt;1),"INVALID",IFERROR(IF(IF(INDEX(Accounts!$T$2:$T$11,$F106),ROUND(IF($E106="",$C106,MIN($C106,$E106))-(H106),6)&lt;=0,ROUND(IF($E106="",$C106,MIN($C106,$E106))-(H106),6)&lt;0),"BREACHED","OK"),"INCOMPLETE")),"INVALID"))))</f>
        <v/>
      </c>
      <c r="J106" s="33">
        <f>IF(OR(I106="OK",I106="BREACHED"),-INT(ROUND(-(H106)*100,6))/100,I106)</f>
        <v/>
      </c>
    </row>
    <row r="107" ht="18" customHeight="1">
      <c r="A107" s="9" t="n"/>
      <c r="B107" s="32" t="n"/>
      <c r="C107" s="12" t="n"/>
      <c r="D107" s="12" t="n"/>
      <c r="E107" s="12" t="n"/>
      <c r="F107" s="15">
        <f>IFERROR(MATCH($A107,Accounts!$A$2:$A$11,0),"")</f>
        <v/>
      </c>
      <c r="G107" s="14">
        <f>IFERROR(IF(OR($A107="",$F107=""),"",IF(INDEX(Accounts!$P$2:$P$11,$F107)="static",INDEX(Accounts!$Q$2:$Q$11,$F107),IF(INDEX(Accounts!$P$2:$P$11,$F107)="eod_trailing",MAX(INDEX(Accounts!$Q$2:$Q$11,$F107),_xlfn.MAXIFS($C$2:$C$1001,$A$2:$A$1001,$A107,$B$2:$B$1001,"&lt;"&amp;$B107)),MAX(INDEX(Accounts!$Q$2:$Q$11,$F107),_xlfn.MAXIFS($C$2:$C$1001,$A$2:$A$1001,$A107,$B$2:$B$1001,"&lt;"&amp;$B107),_xlfn.MAXIFS($D$2:$D$1001,$A$2:$A$1001,$A107,$B$2:$B$1001,"&lt;="&amp;$B107),$C107)))),"")</f>
        <v/>
      </c>
      <c r="H107" s="15">
        <f>IFERROR(IF(G107="","",IF(INDEX(Accounts!$P$2:$P$11,$F107)="static",INDEX(Accounts!$Q$2:$Q$11,$F107)-INDEX(Accounts!$R$2:$R$11,$F107),IF(INDEX(Accounts!$S$2:$S$11,$F107)="NONE",G107-INDEX(Accounts!$R$2:$R$11,$F107),MIN(G107-INDEX(Accounts!$R$2:$R$11,$F107),INDEX(Accounts!$Q$2:$Q$11,$F107)+INDEX(Accounts!$S$2:$S$11,$F107))))),"")</f>
        <v/>
      </c>
      <c r="I107" s="16">
        <f>IF(AND($A107="",$B107="",$C107="",$D107="",$E107=""),"",IF(OR($A107="",$F107=""),"UNKNOWN_ACCOUNT",IF(OR($B107="",$C107=""),"INCOMPLETE",IFERROR(IF(OR(NOT(ISNUMBER($B107)),NOT(ISNUMBER($C107)),IF(C107="",FALSE,IF(ISNUMBER(C107),OR(C107&lt;=0,C107&gt;100000000,ROUND(C107*100,6)&lt;&gt;INT(ROUND(C107*100,6))),TRUE)),IF(D107="",FALSE,IF(ISNUMBER(D107),OR(D107&lt;=0,D107&gt;100000000,ROUND(D107*100,6)&lt;&gt;INT(ROUND(D107*100,6))),TRUE)),IF(E107="",FALSE,IF(ISNUMBER(E107),OR(E107&lt;=0,E107&gt;100000000,ROUND(E107*100,6)&lt;&gt;INT(ROUND(E107*100,6))),TRUE)),AND($D107&lt;&gt;"",$D107&lt;MAX($C107,$E107)),AND($E107&lt;&gt;"",$E107&gt;MIN($C107,IF($D107="",$C107,$D107))),COUNTIFS($A$2:$A$1001,$A107,$B$2:$B$1001,$B107)&gt;1),"INVALID",IFERROR(IF(IF(INDEX(Accounts!$T$2:$T$11,$F107),ROUND(IF($E107="",$C107,MIN($C107,$E107))-(H107),6)&lt;=0,ROUND(IF($E107="",$C107,MIN($C107,$E107))-(H107),6)&lt;0),"BREACHED","OK"),"INCOMPLETE")),"INVALID"))))</f>
        <v/>
      </c>
      <c r="J107" s="33">
        <f>IF(OR(I107="OK",I107="BREACHED"),-INT(ROUND(-(H107)*100,6))/100,I107)</f>
        <v/>
      </c>
    </row>
    <row r="108" ht="18" customHeight="1">
      <c r="A108" s="9" t="n"/>
      <c r="B108" s="32" t="n"/>
      <c r="C108" s="12" t="n"/>
      <c r="D108" s="12" t="n"/>
      <c r="E108" s="12" t="n"/>
      <c r="F108" s="15">
        <f>IFERROR(MATCH($A108,Accounts!$A$2:$A$11,0),"")</f>
        <v/>
      </c>
      <c r="G108" s="14">
        <f>IFERROR(IF(OR($A108="",$F108=""),"",IF(INDEX(Accounts!$P$2:$P$11,$F108)="static",INDEX(Accounts!$Q$2:$Q$11,$F108),IF(INDEX(Accounts!$P$2:$P$11,$F108)="eod_trailing",MAX(INDEX(Accounts!$Q$2:$Q$11,$F108),_xlfn.MAXIFS($C$2:$C$1001,$A$2:$A$1001,$A108,$B$2:$B$1001,"&lt;"&amp;$B108)),MAX(INDEX(Accounts!$Q$2:$Q$11,$F108),_xlfn.MAXIFS($C$2:$C$1001,$A$2:$A$1001,$A108,$B$2:$B$1001,"&lt;"&amp;$B108),_xlfn.MAXIFS($D$2:$D$1001,$A$2:$A$1001,$A108,$B$2:$B$1001,"&lt;="&amp;$B108),$C108)))),"")</f>
        <v/>
      </c>
      <c r="H108" s="15">
        <f>IFERROR(IF(G108="","",IF(INDEX(Accounts!$P$2:$P$11,$F108)="static",INDEX(Accounts!$Q$2:$Q$11,$F108)-INDEX(Accounts!$R$2:$R$11,$F108),IF(INDEX(Accounts!$S$2:$S$11,$F108)="NONE",G108-INDEX(Accounts!$R$2:$R$11,$F108),MIN(G108-INDEX(Accounts!$R$2:$R$11,$F108),INDEX(Accounts!$Q$2:$Q$11,$F108)+INDEX(Accounts!$S$2:$S$11,$F108))))),"")</f>
        <v/>
      </c>
      <c r="I108" s="16">
        <f>IF(AND($A108="",$B108="",$C108="",$D108="",$E108=""),"",IF(OR($A108="",$F108=""),"UNKNOWN_ACCOUNT",IF(OR($B108="",$C108=""),"INCOMPLETE",IFERROR(IF(OR(NOT(ISNUMBER($B108)),NOT(ISNUMBER($C108)),IF(C108="",FALSE,IF(ISNUMBER(C108),OR(C108&lt;=0,C108&gt;100000000,ROUND(C108*100,6)&lt;&gt;INT(ROUND(C108*100,6))),TRUE)),IF(D108="",FALSE,IF(ISNUMBER(D108),OR(D108&lt;=0,D108&gt;100000000,ROUND(D108*100,6)&lt;&gt;INT(ROUND(D108*100,6))),TRUE)),IF(E108="",FALSE,IF(ISNUMBER(E108),OR(E108&lt;=0,E108&gt;100000000,ROUND(E108*100,6)&lt;&gt;INT(ROUND(E108*100,6))),TRUE)),AND($D108&lt;&gt;"",$D108&lt;MAX($C108,$E108)),AND($E108&lt;&gt;"",$E108&gt;MIN($C108,IF($D108="",$C108,$D108))),COUNTIFS($A$2:$A$1001,$A108,$B$2:$B$1001,$B108)&gt;1),"INVALID",IFERROR(IF(IF(INDEX(Accounts!$T$2:$T$11,$F108),ROUND(IF($E108="",$C108,MIN($C108,$E108))-(H108),6)&lt;=0,ROUND(IF($E108="",$C108,MIN($C108,$E108))-(H108),6)&lt;0),"BREACHED","OK"),"INCOMPLETE")),"INVALID"))))</f>
        <v/>
      </c>
      <c r="J108" s="33">
        <f>IF(OR(I108="OK",I108="BREACHED"),-INT(ROUND(-(H108)*100,6))/100,I108)</f>
        <v/>
      </c>
    </row>
    <row r="109" ht="18" customHeight="1">
      <c r="A109" s="9" t="n"/>
      <c r="B109" s="32" t="n"/>
      <c r="C109" s="12" t="n"/>
      <c r="D109" s="12" t="n"/>
      <c r="E109" s="12" t="n"/>
      <c r="F109" s="15">
        <f>IFERROR(MATCH($A109,Accounts!$A$2:$A$11,0),"")</f>
        <v/>
      </c>
      <c r="G109" s="14">
        <f>IFERROR(IF(OR($A109="",$F109=""),"",IF(INDEX(Accounts!$P$2:$P$11,$F109)="static",INDEX(Accounts!$Q$2:$Q$11,$F109),IF(INDEX(Accounts!$P$2:$P$11,$F109)="eod_trailing",MAX(INDEX(Accounts!$Q$2:$Q$11,$F109),_xlfn.MAXIFS($C$2:$C$1001,$A$2:$A$1001,$A109,$B$2:$B$1001,"&lt;"&amp;$B109)),MAX(INDEX(Accounts!$Q$2:$Q$11,$F109),_xlfn.MAXIFS($C$2:$C$1001,$A$2:$A$1001,$A109,$B$2:$B$1001,"&lt;"&amp;$B109),_xlfn.MAXIFS($D$2:$D$1001,$A$2:$A$1001,$A109,$B$2:$B$1001,"&lt;="&amp;$B109),$C109)))),"")</f>
        <v/>
      </c>
      <c r="H109" s="15">
        <f>IFERROR(IF(G109="","",IF(INDEX(Accounts!$P$2:$P$11,$F109)="static",INDEX(Accounts!$Q$2:$Q$11,$F109)-INDEX(Accounts!$R$2:$R$11,$F109),IF(INDEX(Accounts!$S$2:$S$11,$F109)="NONE",G109-INDEX(Accounts!$R$2:$R$11,$F109),MIN(G109-INDEX(Accounts!$R$2:$R$11,$F109),INDEX(Accounts!$Q$2:$Q$11,$F109)+INDEX(Accounts!$S$2:$S$11,$F109))))),"")</f>
        <v/>
      </c>
      <c r="I109" s="16">
        <f>IF(AND($A109="",$B109="",$C109="",$D109="",$E109=""),"",IF(OR($A109="",$F109=""),"UNKNOWN_ACCOUNT",IF(OR($B109="",$C109=""),"INCOMPLETE",IFERROR(IF(OR(NOT(ISNUMBER($B109)),NOT(ISNUMBER($C109)),IF(C109="",FALSE,IF(ISNUMBER(C109),OR(C109&lt;=0,C109&gt;100000000,ROUND(C109*100,6)&lt;&gt;INT(ROUND(C109*100,6))),TRUE)),IF(D109="",FALSE,IF(ISNUMBER(D109),OR(D109&lt;=0,D109&gt;100000000,ROUND(D109*100,6)&lt;&gt;INT(ROUND(D109*100,6))),TRUE)),IF(E109="",FALSE,IF(ISNUMBER(E109),OR(E109&lt;=0,E109&gt;100000000,ROUND(E109*100,6)&lt;&gt;INT(ROUND(E109*100,6))),TRUE)),AND($D109&lt;&gt;"",$D109&lt;MAX($C109,$E109)),AND($E109&lt;&gt;"",$E109&gt;MIN($C109,IF($D109="",$C109,$D109))),COUNTIFS($A$2:$A$1001,$A109,$B$2:$B$1001,$B109)&gt;1),"INVALID",IFERROR(IF(IF(INDEX(Accounts!$T$2:$T$11,$F109),ROUND(IF($E109="",$C109,MIN($C109,$E109))-(H109),6)&lt;=0,ROUND(IF($E109="",$C109,MIN($C109,$E109))-(H109),6)&lt;0),"BREACHED","OK"),"INCOMPLETE")),"INVALID"))))</f>
        <v/>
      </c>
      <c r="J109" s="33">
        <f>IF(OR(I109="OK",I109="BREACHED"),-INT(ROUND(-(H109)*100,6))/100,I109)</f>
        <v/>
      </c>
    </row>
    <row r="110" ht="18" customHeight="1">
      <c r="A110" s="9" t="n"/>
      <c r="B110" s="32" t="n"/>
      <c r="C110" s="12" t="n"/>
      <c r="D110" s="12" t="n"/>
      <c r="E110" s="12" t="n"/>
      <c r="F110" s="15">
        <f>IFERROR(MATCH($A110,Accounts!$A$2:$A$11,0),"")</f>
        <v/>
      </c>
      <c r="G110" s="14">
        <f>IFERROR(IF(OR($A110="",$F110=""),"",IF(INDEX(Accounts!$P$2:$P$11,$F110)="static",INDEX(Accounts!$Q$2:$Q$11,$F110),IF(INDEX(Accounts!$P$2:$P$11,$F110)="eod_trailing",MAX(INDEX(Accounts!$Q$2:$Q$11,$F110),_xlfn.MAXIFS($C$2:$C$1001,$A$2:$A$1001,$A110,$B$2:$B$1001,"&lt;"&amp;$B110)),MAX(INDEX(Accounts!$Q$2:$Q$11,$F110),_xlfn.MAXIFS($C$2:$C$1001,$A$2:$A$1001,$A110,$B$2:$B$1001,"&lt;"&amp;$B110),_xlfn.MAXIFS($D$2:$D$1001,$A$2:$A$1001,$A110,$B$2:$B$1001,"&lt;="&amp;$B110),$C110)))),"")</f>
        <v/>
      </c>
      <c r="H110" s="15">
        <f>IFERROR(IF(G110="","",IF(INDEX(Accounts!$P$2:$P$11,$F110)="static",INDEX(Accounts!$Q$2:$Q$11,$F110)-INDEX(Accounts!$R$2:$R$11,$F110),IF(INDEX(Accounts!$S$2:$S$11,$F110)="NONE",G110-INDEX(Accounts!$R$2:$R$11,$F110),MIN(G110-INDEX(Accounts!$R$2:$R$11,$F110),INDEX(Accounts!$Q$2:$Q$11,$F110)+INDEX(Accounts!$S$2:$S$11,$F110))))),"")</f>
        <v/>
      </c>
      <c r="I110" s="16">
        <f>IF(AND($A110="",$B110="",$C110="",$D110="",$E110=""),"",IF(OR($A110="",$F110=""),"UNKNOWN_ACCOUNT",IF(OR($B110="",$C110=""),"INCOMPLETE",IFERROR(IF(OR(NOT(ISNUMBER($B110)),NOT(ISNUMBER($C110)),IF(C110="",FALSE,IF(ISNUMBER(C110),OR(C110&lt;=0,C110&gt;100000000,ROUND(C110*100,6)&lt;&gt;INT(ROUND(C110*100,6))),TRUE)),IF(D110="",FALSE,IF(ISNUMBER(D110),OR(D110&lt;=0,D110&gt;100000000,ROUND(D110*100,6)&lt;&gt;INT(ROUND(D110*100,6))),TRUE)),IF(E110="",FALSE,IF(ISNUMBER(E110),OR(E110&lt;=0,E110&gt;100000000,ROUND(E110*100,6)&lt;&gt;INT(ROUND(E110*100,6))),TRUE)),AND($D110&lt;&gt;"",$D110&lt;MAX($C110,$E110)),AND($E110&lt;&gt;"",$E110&gt;MIN($C110,IF($D110="",$C110,$D110))),COUNTIFS($A$2:$A$1001,$A110,$B$2:$B$1001,$B110)&gt;1),"INVALID",IFERROR(IF(IF(INDEX(Accounts!$T$2:$T$11,$F110),ROUND(IF($E110="",$C110,MIN($C110,$E110))-(H110),6)&lt;=0,ROUND(IF($E110="",$C110,MIN($C110,$E110))-(H110),6)&lt;0),"BREACHED","OK"),"INCOMPLETE")),"INVALID"))))</f>
        <v/>
      </c>
      <c r="J110" s="33">
        <f>IF(OR(I110="OK",I110="BREACHED"),-INT(ROUND(-(H110)*100,6))/100,I110)</f>
        <v/>
      </c>
    </row>
    <row r="111" ht="18" customHeight="1">
      <c r="A111" s="9" t="n"/>
      <c r="B111" s="32" t="n"/>
      <c r="C111" s="12" t="n"/>
      <c r="D111" s="12" t="n"/>
      <c r="E111" s="12" t="n"/>
      <c r="F111" s="15">
        <f>IFERROR(MATCH($A111,Accounts!$A$2:$A$11,0),"")</f>
        <v/>
      </c>
      <c r="G111" s="14">
        <f>IFERROR(IF(OR($A111="",$F111=""),"",IF(INDEX(Accounts!$P$2:$P$11,$F111)="static",INDEX(Accounts!$Q$2:$Q$11,$F111),IF(INDEX(Accounts!$P$2:$P$11,$F111)="eod_trailing",MAX(INDEX(Accounts!$Q$2:$Q$11,$F111),_xlfn.MAXIFS($C$2:$C$1001,$A$2:$A$1001,$A111,$B$2:$B$1001,"&lt;"&amp;$B111)),MAX(INDEX(Accounts!$Q$2:$Q$11,$F111),_xlfn.MAXIFS($C$2:$C$1001,$A$2:$A$1001,$A111,$B$2:$B$1001,"&lt;"&amp;$B111),_xlfn.MAXIFS($D$2:$D$1001,$A$2:$A$1001,$A111,$B$2:$B$1001,"&lt;="&amp;$B111),$C111)))),"")</f>
        <v/>
      </c>
      <c r="H111" s="15">
        <f>IFERROR(IF(G111="","",IF(INDEX(Accounts!$P$2:$P$11,$F111)="static",INDEX(Accounts!$Q$2:$Q$11,$F111)-INDEX(Accounts!$R$2:$R$11,$F111),IF(INDEX(Accounts!$S$2:$S$11,$F111)="NONE",G111-INDEX(Accounts!$R$2:$R$11,$F111),MIN(G111-INDEX(Accounts!$R$2:$R$11,$F111),INDEX(Accounts!$Q$2:$Q$11,$F111)+INDEX(Accounts!$S$2:$S$11,$F111))))),"")</f>
        <v/>
      </c>
      <c r="I111" s="16">
        <f>IF(AND($A111="",$B111="",$C111="",$D111="",$E111=""),"",IF(OR($A111="",$F111=""),"UNKNOWN_ACCOUNT",IF(OR($B111="",$C111=""),"INCOMPLETE",IFERROR(IF(OR(NOT(ISNUMBER($B111)),NOT(ISNUMBER($C111)),IF(C111="",FALSE,IF(ISNUMBER(C111),OR(C111&lt;=0,C111&gt;100000000,ROUND(C111*100,6)&lt;&gt;INT(ROUND(C111*100,6))),TRUE)),IF(D111="",FALSE,IF(ISNUMBER(D111),OR(D111&lt;=0,D111&gt;100000000,ROUND(D111*100,6)&lt;&gt;INT(ROUND(D111*100,6))),TRUE)),IF(E111="",FALSE,IF(ISNUMBER(E111),OR(E111&lt;=0,E111&gt;100000000,ROUND(E111*100,6)&lt;&gt;INT(ROUND(E111*100,6))),TRUE)),AND($D111&lt;&gt;"",$D111&lt;MAX($C111,$E111)),AND($E111&lt;&gt;"",$E111&gt;MIN($C111,IF($D111="",$C111,$D111))),COUNTIFS($A$2:$A$1001,$A111,$B$2:$B$1001,$B111)&gt;1),"INVALID",IFERROR(IF(IF(INDEX(Accounts!$T$2:$T$11,$F111),ROUND(IF($E111="",$C111,MIN($C111,$E111))-(H111),6)&lt;=0,ROUND(IF($E111="",$C111,MIN($C111,$E111))-(H111),6)&lt;0),"BREACHED","OK"),"INCOMPLETE")),"INVALID"))))</f>
        <v/>
      </c>
      <c r="J111" s="33">
        <f>IF(OR(I111="OK",I111="BREACHED"),-INT(ROUND(-(H111)*100,6))/100,I111)</f>
        <v/>
      </c>
    </row>
    <row r="112" ht="18" customHeight="1">
      <c r="A112" s="9" t="n"/>
      <c r="B112" s="32" t="n"/>
      <c r="C112" s="12" t="n"/>
      <c r="D112" s="12" t="n"/>
      <c r="E112" s="12" t="n"/>
      <c r="F112" s="15">
        <f>IFERROR(MATCH($A112,Accounts!$A$2:$A$11,0),"")</f>
        <v/>
      </c>
      <c r="G112" s="14">
        <f>IFERROR(IF(OR($A112="",$F112=""),"",IF(INDEX(Accounts!$P$2:$P$11,$F112)="static",INDEX(Accounts!$Q$2:$Q$11,$F112),IF(INDEX(Accounts!$P$2:$P$11,$F112)="eod_trailing",MAX(INDEX(Accounts!$Q$2:$Q$11,$F112),_xlfn.MAXIFS($C$2:$C$1001,$A$2:$A$1001,$A112,$B$2:$B$1001,"&lt;"&amp;$B112)),MAX(INDEX(Accounts!$Q$2:$Q$11,$F112),_xlfn.MAXIFS($C$2:$C$1001,$A$2:$A$1001,$A112,$B$2:$B$1001,"&lt;"&amp;$B112),_xlfn.MAXIFS($D$2:$D$1001,$A$2:$A$1001,$A112,$B$2:$B$1001,"&lt;="&amp;$B112),$C112)))),"")</f>
        <v/>
      </c>
      <c r="H112" s="15">
        <f>IFERROR(IF(G112="","",IF(INDEX(Accounts!$P$2:$P$11,$F112)="static",INDEX(Accounts!$Q$2:$Q$11,$F112)-INDEX(Accounts!$R$2:$R$11,$F112),IF(INDEX(Accounts!$S$2:$S$11,$F112)="NONE",G112-INDEX(Accounts!$R$2:$R$11,$F112),MIN(G112-INDEX(Accounts!$R$2:$R$11,$F112),INDEX(Accounts!$Q$2:$Q$11,$F112)+INDEX(Accounts!$S$2:$S$11,$F112))))),"")</f>
        <v/>
      </c>
      <c r="I112" s="16">
        <f>IF(AND($A112="",$B112="",$C112="",$D112="",$E112=""),"",IF(OR($A112="",$F112=""),"UNKNOWN_ACCOUNT",IF(OR($B112="",$C112=""),"INCOMPLETE",IFERROR(IF(OR(NOT(ISNUMBER($B112)),NOT(ISNUMBER($C112)),IF(C112="",FALSE,IF(ISNUMBER(C112),OR(C112&lt;=0,C112&gt;100000000,ROUND(C112*100,6)&lt;&gt;INT(ROUND(C112*100,6))),TRUE)),IF(D112="",FALSE,IF(ISNUMBER(D112),OR(D112&lt;=0,D112&gt;100000000,ROUND(D112*100,6)&lt;&gt;INT(ROUND(D112*100,6))),TRUE)),IF(E112="",FALSE,IF(ISNUMBER(E112),OR(E112&lt;=0,E112&gt;100000000,ROUND(E112*100,6)&lt;&gt;INT(ROUND(E112*100,6))),TRUE)),AND($D112&lt;&gt;"",$D112&lt;MAX($C112,$E112)),AND($E112&lt;&gt;"",$E112&gt;MIN($C112,IF($D112="",$C112,$D112))),COUNTIFS($A$2:$A$1001,$A112,$B$2:$B$1001,$B112)&gt;1),"INVALID",IFERROR(IF(IF(INDEX(Accounts!$T$2:$T$11,$F112),ROUND(IF($E112="",$C112,MIN($C112,$E112))-(H112),6)&lt;=0,ROUND(IF($E112="",$C112,MIN($C112,$E112))-(H112),6)&lt;0),"BREACHED","OK"),"INCOMPLETE")),"INVALID"))))</f>
        <v/>
      </c>
      <c r="J112" s="33">
        <f>IF(OR(I112="OK",I112="BREACHED"),-INT(ROUND(-(H112)*100,6))/100,I112)</f>
        <v/>
      </c>
    </row>
    <row r="113" ht="18" customHeight="1">
      <c r="A113" s="9" t="n"/>
      <c r="B113" s="32" t="n"/>
      <c r="C113" s="12" t="n"/>
      <c r="D113" s="12" t="n"/>
      <c r="E113" s="12" t="n"/>
      <c r="F113" s="15">
        <f>IFERROR(MATCH($A113,Accounts!$A$2:$A$11,0),"")</f>
        <v/>
      </c>
      <c r="G113" s="14">
        <f>IFERROR(IF(OR($A113="",$F113=""),"",IF(INDEX(Accounts!$P$2:$P$11,$F113)="static",INDEX(Accounts!$Q$2:$Q$11,$F113),IF(INDEX(Accounts!$P$2:$P$11,$F113)="eod_trailing",MAX(INDEX(Accounts!$Q$2:$Q$11,$F113),_xlfn.MAXIFS($C$2:$C$1001,$A$2:$A$1001,$A113,$B$2:$B$1001,"&lt;"&amp;$B113)),MAX(INDEX(Accounts!$Q$2:$Q$11,$F113),_xlfn.MAXIFS($C$2:$C$1001,$A$2:$A$1001,$A113,$B$2:$B$1001,"&lt;"&amp;$B113),_xlfn.MAXIFS($D$2:$D$1001,$A$2:$A$1001,$A113,$B$2:$B$1001,"&lt;="&amp;$B113),$C113)))),"")</f>
        <v/>
      </c>
      <c r="H113" s="15">
        <f>IFERROR(IF(G113="","",IF(INDEX(Accounts!$P$2:$P$11,$F113)="static",INDEX(Accounts!$Q$2:$Q$11,$F113)-INDEX(Accounts!$R$2:$R$11,$F113),IF(INDEX(Accounts!$S$2:$S$11,$F113)="NONE",G113-INDEX(Accounts!$R$2:$R$11,$F113),MIN(G113-INDEX(Accounts!$R$2:$R$11,$F113),INDEX(Accounts!$Q$2:$Q$11,$F113)+INDEX(Accounts!$S$2:$S$11,$F113))))),"")</f>
        <v/>
      </c>
      <c r="I113" s="16">
        <f>IF(AND($A113="",$B113="",$C113="",$D113="",$E113=""),"",IF(OR($A113="",$F113=""),"UNKNOWN_ACCOUNT",IF(OR($B113="",$C113=""),"INCOMPLETE",IFERROR(IF(OR(NOT(ISNUMBER($B113)),NOT(ISNUMBER($C113)),IF(C113="",FALSE,IF(ISNUMBER(C113),OR(C113&lt;=0,C113&gt;100000000,ROUND(C113*100,6)&lt;&gt;INT(ROUND(C113*100,6))),TRUE)),IF(D113="",FALSE,IF(ISNUMBER(D113),OR(D113&lt;=0,D113&gt;100000000,ROUND(D113*100,6)&lt;&gt;INT(ROUND(D113*100,6))),TRUE)),IF(E113="",FALSE,IF(ISNUMBER(E113),OR(E113&lt;=0,E113&gt;100000000,ROUND(E113*100,6)&lt;&gt;INT(ROUND(E113*100,6))),TRUE)),AND($D113&lt;&gt;"",$D113&lt;MAX($C113,$E113)),AND($E113&lt;&gt;"",$E113&gt;MIN($C113,IF($D113="",$C113,$D113))),COUNTIFS($A$2:$A$1001,$A113,$B$2:$B$1001,$B113)&gt;1),"INVALID",IFERROR(IF(IF(INDEX(Accounts!$T$2:$T$11,$F113),ROUND(IF($E113="",$C113,MIN($C113,$E113))-(H113),6)&lt;=0,ROUND(IF($E113="",$C113,MIN($C113,$E113))-(H113),6)&lt;0),"BREACHED","OK"),"INCOMPLETE")),"INVALID"))))</f>
        <v/>
      </c>
      <c r="J113" s="33">
        <f>IF(OR(I113="OK",I113="BREACHED"),-INT(ROUND(-(H113)*100,6))/100,I113)</f>
        <v/>
      </c>
    </row>
    <row r="114" ht="18" customHeight="1">
      <c r="A114" s="9" t="n"/>
      <c r="B114" s="32" t="n"/>
      <c r="C114" s="12" t="n"/>
      <c r="D114" s="12" t="n"/>
      <c r="E114" s="12" t="n"/>
      <c r="F114" s="15">
        <f>IFERROR(MATCH($A114,Accounts!$A$2:$A$11,0),"")</f>
        <v/>
      </c>
      <c r="G114" s="14">
        <f>IFERROR(IF(OR($A114="",$F114=""),"",IF(INDEX(Accounts!$P$2:$P$11,$F114)="static",INDEX(Accounts!$Q$2:$Q$11,$F114),IF(INDEX(Accounts!$P$2:$P$11,$F114)="eod_trailing",MAX(INDEX(Accounts!$Q$2:$Q$11,$F114),_xlfn.MAXIFS($C$2:$C$1001,$A$2:$A$1001,$A114,$B$2:$B$1001,"&lt;"&amp;$B114)),MAX(INDEX(Accounts!$Q$2:$Q$11,$F114),_xlfn.MAXIFS($C$2:$C$1001,$A$2:$A$1001,$A114,$B$2:$B$1001,"&lt;"&amp;$B114),_xlfn.MAXIFS($D$2:$D$1001,$A$2:$A$1001,$A114,$B$2:$B$1001,"&lt;="&amp;$B114),$C114)))),"")</f>
        <v/>
      </c>
      <c r="H114" s="15">
        <f>IFERROR(IF(G114="","",IF(INDEX(Accounts!$P$2:$P$11,$F114)="static",INDEX(Accounts!$Q$2:$Q$11,$F114)-INDEX(Accounts!$R$2:$R$11,$F114),IF(INDEX(Accounts!$S$2:$S$11,$F114)="NONE",G114-INDEX(Accounts!$R$2:$R$11,$F114),MIN(G114-INDEX(Accounts!$R$2:$R$11,$F114),INDEX(Accounts!$Q$2:$Q$11,$F114)+INDEX(Accounts!$S$2:$S$11,$F114))))),"")</f>
        <v/>
      </c>
      <c r="I114" s="16">
        <f>IF(AND($A114="",$B114="",$C114="",$D114="",$E114=""),"",IF(OR($A114="",$F114=""),"UNKNOWN_ACCOUNT",IF(OR($B114="",$C114=""),"INCOMPLETE",IFERROR(IF(OR(NOT(ISNUMBER($B114)),NOT(ISNUMBER($C114)),IF(C114="",FALSE,IF(ISNUMBER(C114),OR(C114&lt;=0,C114&gt;100000000,ROUND(C114*100,6)&lt;&gt;INT(ROUND(C114*100,6))),TRUE)),IF(D114="",FALSE,IF(ISNUMBER(D114),OR(D114&lt;=0,D114&gt;100000000,ROUND(D114*100,6)&lt;&gt;INT(ROUND(D114*100,6))),TRUE)),IF(E114="",FALSE,IF(ISNUMBER(E114),OR(E114&lt;=0,E114&gt;100000000,ROUND(E114*100,6)&lt;&gt;INT(ROUND(E114*100,6))),TRUE)),AND($D114&lt;&gt;"",$D114&lt;MAX($C114,$E114)),AND($E114&lt;&gt;"",$E114&gt;MIN($C114,IF($D114="",$C114,$D114))),COUNTIFS($A$2:$A$1001,$A114,$B$2:$B$1001,$B114)&gt;1),"INVALID",IFERROR(IF(IF(INDEX(Accounts!$T$2:$T$11,$F114),ROUND(IF($E114="",$C114,MIN($C114,$E114))-(H114),6)&lt;=0,ROUND(IF($E114="",$C114,MIN($C114,$E114))-(H114),6)&lt;0),"BREACHED","OK"),"INCOMPLETE")),"INVALID"))))</f>
        <v/>
      </c>
      <c r="J114" s="33">
        <f>IF(OR(I114="OK",I114="BREACHED"),-INT(ROUND(-(H114)*100,6))/100,I114)</f>
        <v/>
      </c>
    </row>
    <row r="115" ht="18" customHeight="1">
      <c r="A115" s="9" t="n"/>
      <c r="B115" s="32" t="n"/>
      <c r="C115" s="12" t="n"/>
      <c r="D115" s="12" t="n"/>
      <c r="E115" s="12" t="n"/>
      <c r="F115" s="15">
        <f>IFERROR(MATCH($A115,Accounts!$A$2:$A$11,0),"")</f>
        <v/>
      </c>
      <c r="G115" s="14">
        <f>IFERROR(IF(OR($A115="",$F115=""),"",IF(INDEX(Accounts!$P$2:$P$11,$F115)="static",INDEX(Accounts!$Q$2:$Q$11,$F115),IF(INDEX(Accounts!$P$2:$P$11,$F115)="eod_trailing",MAX(INDEX(Accounts!$Q$2:$Q$11,$F115),_xlfn.MAXIFS($C$2:$C$1001,$A$2:$A$1001,$A115,$B$2:$B$1001,"&lt;"&amp;$B115)),MAX(INDEX(Accounts!$Q$2:$Q$11,$F115),_xlfn.MAXIFS($C$2:$C$1001,$A$2:$A$1001,$A115,$B$2:$B$1001,"&lt;"&amp;$B115),_xlfn.MAXIFS($D$2:$D$1001,$A$2:$A$1001,$A115,$B$2:$B$1001,"&lt;="&amp;$B115),$C115)))),"")</f>
        <v/>
      </c>
      <c r="H115" s="15">
        <f>IFERROR(IF(G115="","",IF(INDEX(Accounts!$P$2:$P$11,$F115)="static",INDEX(Accounts!$Q$2:$Q$11,$F115)-INDEX(Accounts!$R$2:$R$11,$F115),IF(INDEX(Accounts!$S$2:$S$11,$F115)="NONE",G115-INDEX(Accounts!$R$2:$R$11,$F115),MIN(G115-INDEX(Accounts!$R$2:$R$11,$F115),INDEX(Accounts!$Q$2:$Q$11,$F115)+INDEX(Accounts!$S$2:$S$11,$F115))))),"")</f>
        <v/>
      </c>
      <c r="I115" s="16">
        <f>IF(AND($A115="",$B115="",$C115="",$D115="",$E115=""),"",IF(OR($A115="",$F115=""),"UNKNOWN_ACCOUNT",IF(OR($B115="",$C115=""),"INCOMPLETE",IFERROR(IF(OR(NOT(ISNUMBER($B115)),NOT(ISNUMBER($C115)),IF(C115="",FALSE,IF(ISNUMBER(C115),OR(C115&lt;=0,C115&gt;100000000,ROUND(C115*100,6)&lt;&gt;INT(ROUND(C115*100,6))),TRUE)),IF(D115="",FALSE,IF(ISNUMBER(D115),OR(D115&lt;=0,D115&gt;100000000,ROUND(D115*100,6)&lt;&gt;INT(ROUND(D115*100,6))),TRUE)),IF(E115="",FALSE,IF(ISNUMBER(E115),OR(E115&lt;=0,E115&gt;100000000,ROUND(E115*100,6)&lt;&gt;INT(ROUND(E115*100,6))),TRUE)),AND($D115&lt;&gt;"",$D115&lt;MAX($C115,$E115)),AND($E115&lt;&gt;"",$E115&gt;MIN($C115,IF($D115="",$C115,$D115))),COUNTIFS($A$2:$A$1001,$A115,$B$2:$B$1001,$B115)&gt;1),"INVALID",IFERROR(IF(IF(INDEX(Accounts!$T$2:$T$11,$F115),ROUND(IF($E115="",$C115,MIN($C115,$E115))-(H115),6)&lt;=0,ROUND(IF($E115="",$C115,MIN($C115,$E115))-(H115),6)&lt;0),"BREACHED","OK"),"INCOMPLETE")),"INVALID"))))</f>
        <v/>
      </c>
      <c r="J115" s="33">
        <f>IF(OR(I115="OK",I115="BREACHED"),-INT(ROUND(-(H115)*100,6))/100,I115)</f>
        <v/>
      </c>
    </row>
    <row r="116" ht="18" customHeight="1">
      <c r="A116" s="9" t="n"/>
      <c r="B116" s="32" t="n"/>
      <c r="C116" s="12" t="n"/>
      <c r="D116" s="12" t="n"/>
      <c r="E116" s="12" t="n"/>
      <c r="F116" s="15">
        <f>IFERROR(MATCH($A116,Accounts!$A$2:$A$11,0),"")</f>
        <v/>
      </c>
      <c r="G116" s="14">
        <f>IFERROR(IF(OR($A116="",$F116=""),"",IF(INDEX(Accounts!$P$2:$P$11,$F116)="static",INDEX(Accounts!$Q$2:$Q$11,$F116),IF(INDEX(Accounts!$P$2:$P$11,$F116)="eod_trailing",MAX(INDEX(Accounts!$Q$2:$Q$11,$F116),_xlfn.MAXIFS($C$2:$C$1001,$A$2:$A$1001,$A116,$B$2:$B$1001,"&lt;"&amp;$B116)),MAX(INDEX(Accounts!$Q$2:$Q$11,$F116),_xlfn.MAXIFS($C$2:$C$1001,$A$2:$A$1001,$A116,$B$2:$B$1001,"&lt;"&amp;$B116),_xlfn.MAXIFS($D$2:$D$1001,$A$2:$A$1001,$A116,$B$2:$B$1001,"&lt;="&amp;$B116),$C116)))),"")</f>
        <v/>
      </c>
      <c r="H116" s="15">
        <f>IFERROR(IF(G116="","",IF(INDEX(Accounts!$P$2:$P$11,$F116)="static",INDEX(Accounts!$Q$2:$Q$11,$F116)-INDEX(Accounts!$R$2:$R$11,$F116),IF(INDEX(Accounts!$S$2:$S$11,$F116)="NONE",G116-INDEX(Accounts!$R$2:$R$11,$F116),MIN(G116-INDEX(Accounts!$R$2:$R$11,$F116),INDEX(Accounts!$Q$2:$Q$11,$F116)+INDEX(Accounts!$S$2:$S$11,$F116))))),"")</f>
        <v/>
      </c>
      <c r="I116" s="16">
        <f>IF(AND($A116="",$B116="",$C116="",$D116="",$E116=""),"",IF(OR($A116="",$F116=""),"UNKNOWN_ACCOUNT",IF(OR($B116="",$C116=""),"INCOMPLETE",IFERROR(IF(OR(NOT(ISNUMBER($B116)),NOT(ISNUMBER($C116)),IF(C116="",FALSE,IF(ISNUMBER(C116),OR(C116&lt;=0,C116&gt;100000000,ROUND(C116*100,6)&lt;&gt;INT(ROUND(C116*100,6))),TRUE)),IF(D116="",FALSE,IF(ISNUMBER(D116),OR(D116&lt;=0,D116&gt;100000000,ROUND(D116*100,6)&lt;&gt;INT(ROUND(D116*100,6))),TRUE)),IF(E116="",FALSE,IF(ISNUMBER(E116),OR(E116&lt;=0,E116&gt;100000000,ROUND(E116*100,6)&lt;&gt;INT(ROUND(E116*100,6))),TRUE)),AND($D116&lt;&gt;"",$D116&lt;MAX($C116,$E116)),AND($E116&lt;&gt;"",$E116&gt;MIN($C116,IF($D116="",$C116,$D116))),COUNTIFS($A$2:$A$1001,$A116,$B$2:$B$1001,$B116)&gt;1),"INVALID",IFERROR(IF(IF(INDEX(Accounts!$T$2:$T$11,$F116),ROUND(IF($E116="",$C116,MIN($C116,$E116))-(H116),6)&lt;=0,ROUND(IF($E116="",$C116,MIN($C116,$E116))-(H116),6)&lt;0),"BREACHED","OK"),"INCOMPLETE")),"INVALID"))))</f>
        <v/>
      </c>
      <c r="J116" s="33">
        <f>IF(OR(I116="OK",I116="BREACHED"),-INT(ROUND(-(H116)*100,6))/100,I116)</f>
        <v/>
      </c>
    </row>
    <row r="117" ht="18" customHeight="1">
      <c r="A117" s="9" t="n"/>
      <c r="B117" s="32" t="n"/>
      <c r="C117" s="12" t="n"/>
      <c r="D117" s="12" t="n"/>
      <c r="E117" s="12" t="n"/>
      <c r="F117" s="15">
        <f>IFERROR(MATCH($A117,Accounts!$A$2:$A$11,0),"")</f>
        <v/>
      </c>
      <c r="G117" s="14">
        <f>IFERROR(IF(OR($A117="",$F117=""),"",IF(INDEX(Accounts!$P$2:$P$11,$F117)="static",INDEX(Accounts!$Q$2:$Q$11,$F117),IF(INDEX(Accounts!$P$2:$P$11,$F117)="eod_trailing",MAX(INDEX(Accounts!$Q$2:$Q$11,$F117),_xlfn.MAXIFS($C$2:$C$1001,$A$2:$A$1001,$A117,$B$2:$B$1001,"&lt;"&amp;$B117)),MAX(INDEX(Accounts!$Q$2:$Q$11,$F117),_xlfn.MAXIFS($C$2:$C$1001,$A$2:$A$1001,$A117,$B$2:$B$1001,"&lt;"&amp;$B117),_xlfn.MAXIFS($D$2:$D$1001,$A$2:$A$1001,$A117,$B$2:$B$1001,"&lt;="&amp;$B117),$C117)))),"")</f>
        <v/>
      </c>
      <c r="H117" s="15">
        <f>IFERROR(IF(G117="","",IF(INDEX(Accounts!$P$2:$P$11,$F117)="static",INDEX(Accounts!$Q$2:$Q$11,$F117)-INDEX(Accounts!$R$2:$R$11,$F117),IF(INDEX(Accounts!$S$2:$S$11,$F117)="NONE",G117-INDEX(Accounts!$R$2:$R$11,$F117),MIN(G117-INDEX(Accounts!$R$2:$R$11,$F117),INDEX(Accounts!$Q$2:$Q$11,$F117)+INDEX(Accounts!$S$2:$S$11,$F117))))),"")</f>
        <v/>
      </c>
      <c r="I117" s="16">
        <f>IF(AND($A117="",$B117="",$C117="",$D117="",$E117=""),"",IF(OR($A117="",$F117=""),"UNKNOWN_ACCOUNT",IF(OR($B117="",$C117=""),"INCOMPLETE",IFERROR(IF(OR(NOT(ISNUMBER($B117)),NOT(ISNUMBER($C117)),IF(C117="",FALSE,IF(ISNUMBER(C117),OR(C117&lt;=0,C117&gt;100000000,ROUND(C117*100,6)&lt;&gt;INT(ROUND(C117*100,6))),TRUE)),IF(D117="",FALSE,IF(ISNUMBER(D117),OR(D117&lt;=0,D117&gt;100000000,ROUND(D117*100,6)&lt;&gt;INT(ROUND(D117*100,6))),TRUE)),IF(E117="",FALSE,IF(ISNUMBER(E117),OR(E117&lt;=0,E117&gt;100000000,ROUND(E117*100,6)&lt;&gt;INT(ROUND(E117*100,6))),TRUE)),AND($D117&lt;&gt;"",$D117&lt;MAX($C117,$E117)),AND($E117&lt;&gt;"",$E117&gt;MIN($C117,IF($D117="",$C117,$D117))),COUNTIFS($A$2:$A$1001,$A117,$B$2:$B$1001,$B117)&gt;1),"INVALID",IFERROR(IF(IF(INDEX(Accounts!$T$2:$T$11,$F117),ROUND(IF($E117="",$C117,MIN($C117,$E117))-(H117),6)&lt;=0,ROUND(IF($E117="",$C117,MIN($C117,$E117))-(H117),6)&lt;0),"BREACHED","OK"),"INCOMPLETE")),"INVALID"))))</f>
        <v/>
      </c>
      <c r="J117" s="33">
        <f>IF(OR(I117="OK",I117="BREACHED"),-INT(ROUND(-(H117)*100,6))/100,I117)</f>
        <v/>
      </c>
    </row>
    <row r="118" ht="18" customHeight="1">
      <c r="A118" s="9" t="n"/>
      <c r="B118" s="32" t="n"/>
      <c r="C118" s="12" t="n"/>
      <c r="D118" s="12" t="n"/>
      <c r="E118" s="12" t="n"/>
      <c r="F118" s="15">
        <f>IFERROR(MATCH($A118,Accounts!$A$2:$A$11,0),"")</f>
        <v/>
      </c>
      <c r="G118" s="14">
        <f>IFERROR(IF(OR($A118="",$F118=""),"",IF(INDEX(Accounts!$P$2:$P$11,$F118)="static",INDEX(Accounts!$Q$2:$Q$11,$F118),IF(INDEX(Accounts!$P$2:$P$11,$F118)="eod_trailing",MAX(INDEX(Accounts!$Q$2:$Q$11,$F118),_xlfn.MAXIFS($C$2:$C$1001,$A$2:$A$1001,$A118,$B$2:$B$1001,"&lt;"&amp;$B118)),MAX(INDEX(Accounts!$Q$2:$Q$11,$F118),_xlfn.MAXIFS($C$2:$C$1001,$A$2:$A$1001,$A118,$B$2:$B$1001,"&lt;"&amp;$B118),_xlfn.MAXIFS($D$2:$D$1001,$A$2:$A$1001,$A118,$B$2:$B$1001,"&lt;="&amp;$B118),$C118)))),"")</f>
        <v/>
      </c>
      <c r="H118" s="15">
        <f>IFERROR(IF(G118="","",IF(INDEX(Accounts!$P$2:$P$11,$F118)="static",INDEX(Accounts!$Q$2:$Q$11,$F118)-INDEX(Accounts!$R$2:$R$11,$F118),IF(INDEX(Accounts!$S$2:$S$11,$F118)="NONE",G118-INDEX(Accounts!$R$2:$R$11,$F118),MIN(G118-INDEX(Accounts!$R$2:$R$11,$F118),INDEX(Accounts!$Q$2:$Q$11,$F118)+INDEX(Accounts!$S$2:$S$11,$F118))))),"")</f>
        <v/>
      </c>
      <c r="I118" s="16">
        <f>IF(AND($A118="",$B118="",$C118="",$D118="",$E118=""),"",IF(OR($A118="",$F118=""),"UNKNOWN_ACCOUNT",IF(OR($B118="",$C118=""),"INCOMPLETE",IFERROR(IF(OR(NOT(ISNUMBER($B118)),NOT(ISNUMBER($C118)),IF(C118="",FALSE,IF(ISNUMBER(C118),OR(C118&lt;=0,C118&gt;100000000,ROUND(C118*100,6)&lt;&gt;INT(ROUND(C118*100,6))),TRUE)),IF(D118="",FALSE,IF(ISNUMBER(D118),OR(D118&lt;=0,D118&gt;100000000,ROUND(D118*100,6)&lt;&gt;INT(ROUND(D118*100,6))),TRUE)),IF(E118="",FALSE,IF(ISNUMBER(E118),OR(E118&lt;=0,E118&gt;100000000,ROUND(E118*100,6)&lt;&gt;INT(ROUND(E118*100,6))),TRUE)),AND($D118&lt;&gt;"",$D118&lt;MAX($C118,$E118)),AND($E118&lt;&gt;"",$E118&gt;MIN($C118,IF($D118="",$C118,$D118))),COUNTIFS($A$2:$A$1001,$A118,$B$2:$B$1001,$B118)&gt;1),"INVALID",IFERROR(IF(IF(INDEX(Accounts!$T$2:$T$11,$F118),ROUND(IF($E118="",$C118,MIN($C118,$E118))-(H118),6)&lt;=0,ROUND(IF($E118="",$C118,MIN($C118,$E118))-(H118),6)&lt;0),"BREACHED","OK"),"INCOMPLETE")),"INVALID"))))</f>
        <v/>
      </c>
      <c r="J118" s="33">
        <f>IF(OR(I118="OK",I118="BREACHED"),-INT(ROUND(-(H118)*100,6))/100,I118)</f>
        <v/>
      </c>
    </row>
    <row r="119" ht="18" customHeight="1">
      <c r="A119" s="9" t="n"/>
      <c r="B119" s="32" t="n"/>
      <c r="C119" s="12" t="n"/>
      <c r="D119" s="12" t="n"/>
      <c r="E119" s="12" t="n"/>
      <c r="F119" s="15">
        <f>IFERROR(MATCH($A119,Accounts!$A$2:$A$11,0),"")</f>
        <v/>
      </c>
      <c r="G119" s="14">
        <f>IFERROR(IF(OR($A119="",$F119=""),"",IF(INDEX(Accounts!$P$2:$P$11,$F119)="static",INDEX(Accounts!$Q$2:$Q$11,$F119),IF(INDEX(Accounts!$P$2:$P$11,$F119)="eod_trailing",MAX(INDEX(Accounts!$Q$2:$Q$11,$F119),_xlfn.MAXIFS($C$2:$C$1001,$A$2:$A$1001,$A119,$B$2:$B$1001,"&lt;"&amp;$B119)),MAX(INDEX(Accounts!$Q$2:$Q$11,$F119),_xlfn.MAXIFS($C$2:$C$1001,$A$2:$A$1001,$A119,$B$2:$B$1001,"&lt;"&amp;$B119),_xlfn.MAXIFS($D$2:$D$1001,$A$2:$A$1001,$A119,$B$2:$B$1001,"&lt;="&amp;$B119),$C119)))),"")</f>
        <v/>
      </c>
      <c r="H119" s="15">
        <f>IFERROR(IF(G119="","",IF(INDEX(Accounts!$P$2:$P$11,$F119)="static",INDEX(Accounts!$Q$2:$Q$11,$F119)-INDEX(Accounts!$R$2:$R$11,$F119),IF(INDEX(Accounts!$S$2:$S$11,$F119)="NONE",G119-INDEX(Accounts!$R$2:$R$11,$F119),MIN(G119-INDEX(Accounts!$R$2:$R$11,$F119),INDEX(Accounts!$Q$2:$Q$11,$F119)+INDEX(Accounts!$S$2:$S$11,$F119))))),"")</f>
        <v/>
      </c>
      <c r="I119" s="16">
        <f>IF(AND($A119="",$B119="",$C119="",$D119="",$E119=""),"",IF(OR($A119="",$F119=""),"UNKNOWN_ACCOUNT",IF(OR($B119="",$C119=""),"INCOMPLETE",IFERROR(IF(OR(NOT(ISNUMBER($B119)),NOT(ISNUMBER($C119)),IF(C119="",FALSE,IF(ISNUMBER(C119),OR(C119&lt;=0,C119&gt;100000000,ROUND(C119*100,6)&lt;&gt;INT(ROUND(C119*100,6))),TRUE)),IF(D119="",FALSE,IF(ISNUMBER(D119),OR(D119&lt;=0,D119&gt;100000000,ROUND(D119*100,6)&lt;&gt;INT(ROUND(D119*100,6))),TRUE)),IF(E119="",FALSE,IF(ISNUMBER(E119),OR(E119&lt;=0,E119&gt;100000000,ROUND(E119*100,6)&lt;&gt;INT(ROUND(E119*100,6))),TRUE)),AND($D119&lt;&gt;"",$D119&lt;MAX($C119,$E119)),AND($E119&lt;&gt;"",$E119&gt;MIN($C119,IF($D119="",$C119,$D119))),COUNTIFS($A$2:$A$1001,$A119,$B$2:$B$1001,$B119)&gt;1),"INVALID",IFERROR(IF(IF(INDEX(Accounts!$T$2:$T$11,$F119),ROUND(IF($E119="",$C119,MIN($C119,$E119))-(H119),6)&lt;=0,ROUND(IF($E119="",$C119,MIN($C119,$E119))-(H119),6)&lt;0),"BREACHED","OK"),"INCOMPLETE")),"INVALID"))))</f>
        <v/>
      </c>
      <c r="J119" s="33">
        <f>IF(OR(I119="OK",I119="BREACHED"),-INT(ROUND(-(H119)*100,6))/100,I119)</f>
        <v/>
      </c>
    </row>
    <row r="120" ht="18" customHeight="1">
      <c r="A120" s="9" t="n"/>
      <c r="B120" s="32" t="n"/>
      <c r="C120" s="12" t="n"/>
      <c r="D120" s="12" t="n"/>
      <c r="E120" s="12" t="n"/>
      <c r="F120" s="15">
        <f>IFERROR(MATCH($A120,Accounts!$A$2:$A$11,0),"")</f>
        <v/>
      </c>
      <c r="G120" s="14">
        <f>IFERROR(IF(OR($A120="",$F120=""),"",IF(INDEX(Accounts!$P$2:$P$11,$F120)="static",INDEX(Accounts!$Q$2:$Q$11,$F120),IF(INDEX(Accounts!$P$2:$P$11,$F120)="eod_trailing",MAX(INDEX(Accounts!$Q$2:$Q$11,$F120),_xlfn.MAXIFS($C$2:$C$1001,$A$2:$A$1001,$A120,$B$2:$B$1001,"&lt;"&amp;$B120)),MAX(INDEX(Accounts!$Q$2:$Q$11,$F120),_xlfn.MAXIFS($C$2:$C$1001,$A$2:$A$1001,$A120,$B$2:$B$1001,"&lt;"&amp;$B120),_xlfn.MAXIFS($D$2:$D$1001,$A$2:$A$1001,$A120,$B$2:$B$1001,"&lt;="&amp;$B120),$C120)))),"")</f>
        <v/>
      </c>
      <c r="H120" s="15">
        <f>IFERROR(IF(G120="","",IF(INDEX(Accounts!$P$2:$P$11,$F120)="static",INDEX(Accounts!$Q$2:$Q$11,$F120)-INDEX(Accounts!$R$2:$R$11,$F120),IF(INDEX(Accounts!$S$2:$S$11,$F120)="NONE",G120-INDEX(Accounts!$R$2:$R$11,$F120),MIN(G120-INDEX(Accounts!$R$2:$R$11,$F120),INDEX(Accounts!$Q$2:$Q$11,$F120)+INDEX(Accounts!$S$2:$S$11,$F120))))),"")</f>
        <v/>
      </c>
      <c r="I120" s="16">
        <f>IF(AND($A120="",$B120="",$C120="",$D120="",$E120=""),"",IF(OR($A120="",$F120=""),"UNKNOWN_ACCOUNT",IF(OR($B120="",$C120=""),"INCOMPLETE",IFERROR(IF(OR(NOT(ISNUMBER($B120)),NOT(ISNUMBER($C120)),IF(C120="",FALSE,IF(ISNUMBER(C120),OR(C120&lt;=0,C120&gt;100000000,ROUND(C120*100,6)&lt;&gt;INT(ROUND(C120*100,6))),TRUE)),IF(D120="",FALSE,IF(ISNUMBER(D120),OR(D120&lt;=0,D120&gt;100000000,ROUND(D120*100,6)&lt;&gt;INT(ROUND(D120*100,6))),TRUE)),IF(E120="",FALSE,IF(ISNUMBER(E120),OR(E120&lt;=0,E120&gt;100000000,ROUND(E120*100,6)&lt;&gt;INT(ROUND(E120*100,6))),TRUE)),AND($D120&lt;&gt;"",$D120&lt;MAX($C120,$E120)),AND($E120&lt;&gt;"",$E120&gt;MIN($C120,IF($D120="",$C120,$D120))),COUNTIFS($A$2:$A$1001,$A120,$B$2:$B$1001,$B120)&gt;1),"INVALID",IFERROR(IF(IF(INDEX(Accounts!$T$2:$T$11,$F120),ROUND(IF($E120="",$C120,MIN($C120,$E120))-(H120),6)&lt;=0,ROUND(IF($E120="",$C120,MIN($C120,$E120))-(H120),6)&lt;0),"BREACHED","OK"),"INCOMPLETE")),"INVALID"))))</f>
        <v/>
      </c>
      <c r="J120" s="33">
        <f>IF(OR(I120="OK",I120="BREACHED"),-INT(ROUND(-(H120)*100,6))/100,I120)</f>
        <v/>
      </c>
    </row>
    <row r="121" ht="18" customHeight="1">
      <c r="A121" s="9" t="n"/>
      <c r="B121" s="32" t="n"/>
      <c r="C121" s="12" t="n"/>
      <c r="D121" s="12" t="n"/>
      <c r="E121" s="12" t="n"/>
      <c r="F121" s="15">
        <f>IFERROR(MATCH($A121,Accounts!$A$2:$A$11,0),"")</f>
        <v/>
      </c>
      <c r="G121" s="14">
        <f>IFERROR(IF(OR($A121="",$F121=""),"",IF(INDEX(Accounts!$P$2:$P$11,$F121)="static",INDEX(Accounts!$Q$2:$Q$11,$F121),IF(INDEX(Accounts!$P$2:$P$11,$F121)="eod_trailing",MAX(INDEX(Accounts!$Q$2:$Q$11,$F121),_xlfn.MAXIFS($C$2:$C$1001,$A$2:$A$1001,$A121,$B$2:$B$1001,"&lt;"&amp;$B121)),MAX(INDEX(Accounts!$Q$2:$Q$11,$F121),_xlfn.MAXIFS($C$2:$C$1001,$A$2:$A$1001,$A121,$B$2:$B$1001,"&lt;"&amp;$B121),_xlfn.MAXIFS($D$2:$D$1001,$A$2:$A$1001,$A121,$B$2:$B$1001,"&lt;="&amp;$B121),$C121)))),"")</f>
        <v/>
      </c>
      <c r="H121" s="15">
        <f>IFERROR(IF(G121="","",IF(INDEX(Accounts!$P$2:$P$11,$F121)="static",INDEX(Accounts!$Q$2:$Q$11,$F121)-INDEX(Accounts!$R$2:$R$11,$F121),IF(INDEX(Accounts!$S$2:$S$11,$F121)="NONE",G121-INDEX(Accounts!$R$2:$R$11,$F121),MIN(G121-INDEX(Accounts!$R$2:$R$11,$F121),INDEX(Accounts!$Q$2:$Q$11,$F121)+INDEX(Accounts!$S$2:$S$11,$F121))))),"")</f>
        <v/>
      </c>
      <c r="I121" s="16">
        <f>IF(AND($A121="",$B121="",$C121="",$D121="",$E121=""),"",IF(OR($A121="",$F121=""),"UNKNOWN_ACCOUNT",IF(OR($B121="",$C121=""),"INCOMPLETE",IFERROR(IF(OR(NOT(ISNUMBER($B121)),NOT(ISNUMBER($C121)),IF(C121="",FALSE,IF(ISNUMBER(C121),OR(C121&lt;=0,C121&gt;100000000,ROUND(C121*100,6)&lt;&gt;INT(ROUND(C121*100,6))),TRUE)),IF(D121="",FALSE,IF(ISNUMBER(D121),OR(D121&lt;=0,D121&gt;100000000,ROUND(D121*100,6)&lt;&gt;INT(ROUND(D121*100,6))),TRUE)),IF(E121="",FALSE,IF(ISNUMBER(E121),OR(E121&lt;=0,E121&gt;100000000,ROUND(E121*100,6)&lt;&gt;INT(ROUND(E121*100,6))),TRUE)),AND($D121&lt;&gt;"",$D121&lt;MAX($C121,$E121)),AND($E121&lt;&gt;"",$E121&gt;MIN($C121,IF($D121="",$C121,$D121))),COUNTIFS($A$2:$A$1001,$A121,$B$2:$B$1001,$B121)&gt;1),"INVALID",IFERROR(IF(IF(INDEX(Accounts!$T$2:$T$11,$F121),ROUND(IF($E121="",$C121,MIN($C121,$E121))-(H121),6)&lt;=0,ROUND(IF($E121="",$C121,MIN($C121,$E121))-(H121),6)&lt;0),"BREACHED","OK"),"INCOMPLETE")),"INVALID"))))</f>
        <v/>
      </c>
      <c r="J121" s="33">
        <f>IF(OR(I121="OK",I121="BREACHED"),-INT(ROUND(-(H121)*100,6))/100,I121)</f>
        <v/>
      </c>
    </row>
    <row r="122" ht="18" customHeight="1">
      <c r="A122" s="9" t="n"/>
      <c r="B122" s="32" t="n"/>
      <c r="C122" s="12" t="n"/>
      <c r="D122" s="12" t="n"/>
      <c r="E122" s="12" t="n"/>
      <c r="F122" s="15">
        <f>IFERROR(MATCH($A122,Accounts!$A$2:$A$11,0),"")</f>
        <v/>
      </c>
      <c r="G122" s="14">
        <f>IFERROR(IF(OR($A122="",$F122=""),"",IF(INDEX(Accounts!$P$2:$P$11,$F122)="static",INDEX(Accounts!$Q$2:$Q$11,$F122),IF(INDEX(Accounts!$P$2:$P$11,$F122)="eod_trailing",MAX(INDEX(Accounts!$Q$2:$Q$11,$F122),_xlfn.MAXIFS($C$2:$C$1001,$A$2:$A$1001,$A122,$B$2:$B$1001,"&lt;"&amp;$B122)),MAX(INDEX(Accounts!$Q$2:$Q$11,$F122),_xlfn.MAXIFS($C$2:$C$1001,$A$2:$A$1001,$A122,$B$2:$B$1001,"&lt;"&amp;$B122),_xlfn.MAXIFS($D$2:$D$1001,$A$2:$A$1001,$A122,$B$2:$B$1001,"&lt;="&amp;$B122),$C122)))),"")</f>
        <v/>
      </c>
      <c r="H122" s="15">
        <f>IFERROR(IF(G122="","",IF(INDEX(Accounts!$P$2:$P$11,$F122)="static",INDEX(Accounts!$Q$2:$Q$11,$F122)-INDEX(Accounts!$R$2:$R$11,$F122),IF(INDEX(Accounts!$S$2:$S$11,$F122)="NONE",G122-INDEX(Accounts!$R$2:$R$11,$F122),MIN(G122-INDEX(Accounts!$R$2:$R$11,$F122),INDEX(Accounts!$Q$2:$Q$11,$F122)+INDEX(Accounts!$S$2:$S$11,$F122))))),"")</f>
        <v/>
      </c>
      <c r="I122" s="16">
        <f>IF(AND($A122="",$B122="",$C122="",$D122="",$E122=""),"",IF(OR($A122="",$F122=""),"UNKNOWN_ACCOUNT",IF(OR($B122="",$C122=""),"INCOMPLETE",IFERROR(IF(OR(NOT(ISNUMBER($B122)),NOT(ISNUMBER($C122)),IF(C122="",FALSE,IF(ISNUMBER(C122),OR(C122&lt;=0,C122&gt;100000000,ROUND(C122*100,6)&lt;&gt;INT(ROUND(C122*100,6))),TRUE)),IF(D122="",FALSE,IF(ISNUMBER(D122),OR(D122&lt;=0,D122&gt;100000000,ROUND(D122*100,6)&lt;&gt;INT(ROUND(D122*100,6))),TRUE)),IF(E122="",FALSE,IF(ISNUMBER(E122),OR(E122&lt;=0,E122&gt;100000000,ROUND(E122*100,6)&lt;&gt;INT(ROUND(E122*100,6))),TRUE)),AND($D122&lt;&gt;"",$D122&lt;MAX($C122,$E122)),AND($E122&lt;&gt;"",$E122&gt;MIN($C122,IF($D122="",$C122,$D122))),COUNTIFS($A$2:$A$1001,$A122,$B$2:$B$1001,$B122)&gt;1),"INVALID",IFERROR(IF(IF(INDEX(Accounts!$T$2:$T$11,$F122),ROUND(IF($E122="",$C122,MIN($C122,$E122))-(H122),6)&lt;=0,ROUND(IF($E122="",$C122,MIN($C122,$E122))-(H122),6)&lt;0),"BREACHED","OK"),"INCOMPLETE")),"INVALID"))))</f>
        <v/>
      </c>
      <c r="J122" s="33">
        <f>IF(OR(I122="OK",I122="BREACHED"),-INT(ROUND(-(H122)*100,6))/100,I122)</f>
        <v/>
      </c>
    </row>
    <row r="123" ht="18" customHeight="1">
      <c r="A123" s="9" t="n"/>
      <c r="B123" s="32" t="n"/>
      <c r="C123" s="12" t="n"/>
      <c r="D123" s="12" t="n"/>
      <c r="E123" s="12" t="n"/>
      <c r="F123" s="15">
        <f>IFERROR(MATCH($A123,Accounts!$A$2:$A$11,0),"")</f>
        <v/>
      </c>
      <c r="G123" s="14">
        <f>IFERROR(IF(OR($A123="",$F123=""),"",IF(INDEX(Accounts!$P$2:$P$11,$F123)="static",INDEX(Accounts!$Q$2:$Q$11,$F123),IF(INDEX(Accounts!$P$2:$P$11,$F123)="eod_trailing",MAX(INDEX(Accounts!$Q$2:$Q$11,$F123),_xlfn.MAXIFS($C$2:$C$1001,$A$2:$A$1001,$A123,$B$2:$B$1001,"&lt;"&amp;$B123)),MAX(INDEX(Accounts!$Q$2:$Q$11,$F123),_xlfn.MAXIFS($C$2:$C$1001,$A$2:$A$1001,$A123,$B$2:$B$1001,"&lt;"&amp;$B123),_xlfn.MAXIFS($D$2:$D$1001,$A$2:$A$1001,$A123,$B$2:$B$1001,"&lt;="&amp;$B123),$C123)))),"")</f>
        <v/>
      </c>
      <c r="H123" s="15">
        <f>IFERROR(IF(G123="","",IF(INDEX(Accounts!$P$2:$P$11,$F123)="static",INDEX(Accounts!$Q$2:$Q$11,$F123)-INDEX(Accounts!$R$2:$R$11,$F123),IF(INDEX(Accounts!$S$2:$S$11,$F123)="NONE",G123-INDEX(Accounts!$R$2:$R$11,$F123),MIN(G123-INDEX(Accounts!$R$2:$R$11,$F123),INDEX(Accounts!$Q$2:$Q$11,$F123)+INDEX(Accounts!$S$2:$S$11,$F123))))),"")</f>
        <v/>
      </c>
      <c r="I123" s="16">
        <f>IF(AND($A123="",$B123="",$C123="",$D123="",$E123=""),"",IF(OR($A123="",$F123=""),"UNKNOWN_ACCOUNT",IF(OR($B123="",$C123=""),"INCOMPLETE",IFERROR(IF(OR(NOT(ISNUMBER($B123)),NOT(ISNUMBER($C123)),IF(C123="",FALSE,IF(ISNUMBER(C123),OR(C123&lt;=0,C123&gt;100000000,ROUND(C123*100,6)&lt;&gt;INT(ROUND(C123*100,6))),TRUE)),IF(D123="",FALSE,IF(ISNUMBER(D123),OR(D123&lt;=0,D123&gt;100000000,ROUND(D123*100,6)&lt;&gt;INT(ROUND(D123*100,6))),TRUE)),IF(E123="",FALSE,IF(ISNUMBER(E123),OR(E123&lt;=0,E123&gt;100000000,ROUND(E123*100,6)&lt;&gt;INT(ROUND(E123*100,6))),TRUE)),AND($D123&lt;&gt;"",$D123&lt;MAX($C123,$E123)),AND($E123&lt;&gt;"",$E123&gt;MIN($C123,IF($D123="",$C123,$D123))),COUNTIFS($A$2:$A$1001,$A123,$B$2:$B$1001,$B123)&gt;1),"INVALID",IFERROR(IF(IF(INDEX(Accounts!$T$2:$T$11,$F123),ROUND(IF($E123="",$C123,MIN($C123,$E123))-(H123),6)&lt;=0,ROUND(IF($E123="",$C123,MIN($C123,$E123))-(H123),6)&lt;0),"BREACHED","OK"),"INCOMPLETE")),"INVALID"))))</f>
        <v/>
      </c>
      <c r="J123" s="33">
        <f>IF(OR(I123="OK",I123="BREACHED"),-INT(ROUND(-(H123)*100,6))/100,I123)</f>
        <v/>
      </c>
    </row>
    <row r="124" ht="18" customHeight="1">
      <c r="A124" s="9" t="n"/>
      <c r="B124" s="32" t="n"/>
      <c r="C124" s="12" t="n"/>
      <c r="D124" s="12" t="n"/>
      <c r="E124" s="12" t="n"/>
      <c r="F124" s="15">
        <f>IFERROR(MATCH($A124,Accounts!$A$2:$A$11,0),"")</f>
        <v/>
      </c>
      <c r="G124" s="14">
        <f>IFERROR(IF(OR($A124="",$F124=""),"",IF(INDEX(Accounts!$P$2:$P$11,$F124)="static",INDEX(Accounts!$Q$2:$Q$11,$F124),IF(INDEX(Accounts!$P$2:$P$11,$F124)="eod_trailing",MAX(INDEX(Accounts!$Q$2:$Q$11,$F124),_xlfn.MAXIFS($C$2:$C$1001,$A$2:$A$1001,$A124,$B$2:$B$1001,"&lt;"&amp;$B124)),MAX(INDEX(Accounts!$Q$2:$Q$11,$F124),_xlfn.MAXIFS($C$2:$C$1001,$A$2:$A$1001,$A124,$B$2:$B$1001,"&lt;"&amp;$B124),_xlfn.MAXIFS($D$2:$D$1001,$A$2:$A$1001,$A124,$B$2:$B$1001,"&lt;="&amp;$B124),$C124)))),"")</f>
        <v/>
      </c>
      <c r="H124" s="15">
        <f>IFERROR(IF(G124="","",IF(INDEX(Accounts!$P$2:$P$11,$F124)="static",INDEX(Accounts!$Q$2:$Q$11,$F124)-INDEX(Accounts!$R$2:$R$11,$F124),IF(INDEX(Accounts!$S$2:$S$11,$F124)="NONE",G124-INDEX(Accounts!$R$2:$R$11,$F124),MIN(G124-INDEX(Accounts!$R$2:$R$11,$F124),INDEX(Accounts!$Q$2:$Q$11,$F124)+INDEX(Accounts!$S$2:$S$11,$F124))))),"")</f>
        <v/>
      </c>
      <c r="I124" s="16">
        <f>IF(AND($A124="",$B124="",$C124="",$D124="",$E124=""),"",IF(OR($A124="",$F124=""),"UNKNOWN_ACCOUNT",IF(OR($B124="",$C124=""),"INCOMPLETE",IFERROR(IF(OR(NOT(ISNUMBER($B124)),NOT(ISNUMBER($C124)),IF(C124="",FALSE,IF(ISNUMBER(C124),OR(C124&lt;=0,C124&gt;100000000,ROUND(C124*100,6)&lt;&gt;INT(ROUND(C124*100,6))),TRUE)),IF(D124="",FALSE,IF(ISNUMBER(D124),OR(D124&lt;=0,D124&gt;100000000,ROUND(D124*100,6)&lt;&gt;INT(ROUND(D124*100,6))),TRUE)),IF(E124="",FALSE,IF(ISNUMBER(E124),OR(E124&lt;=0,E124&gt;100000000,ROUND(E124*100,6)&lt;&gt;INT(ROUND(E124*100,6))),TRUE)),AND($D124&lt;&gt;"",$D124&lt;MAX($C124,$E124)),AND($E124&lt;&gt;"",$E124&gt;MIN($C124,IF($D124="",$C124,$D124))),COUNTIFS($A$2:$A$1001,$A124,$B$2:$B$1001,$B124)&gt;1),"INVALID",IFERROR(IF(IF(INDEX(Accounts!$T$2:$T$11,$F124),ROUND(IF($E124="",$C124,MIN($C124,$E124))-(H124),6)&lt;=0,ROUND(IF($E124="",$C124,MIN($C124,$E124))-(H124),6)&lt;0),"BREACHED","OK"),"INCOMPLETE")),"INVALID"))))</f>
        <v/>
      </c>
      <c r="J124" s="33">
        <f>IF(OR(I124="OK",I124="BREACHED"),-INT(ROUND(-(H124)*100,6))/100,I124)</f>
        <v/>
      </c>
    </row>
    <row r="125" ht="18" customHeight="1">
      <c r="A125" s="9" t="n"/>
      <c r="B125" s="32" t="n"/>
      <c r="C125" s="12" t="n"/>
      <c r="D125" s="12" t="n"/>
      <c r="E125" s="12" t="n"/>
      <c r="F125" s="15">
        <f>IFERROR(MATCH($A125,Accounts!$A$2:$A$11,0),"")</f>
        <v/>
      </c>
      <c r="G125" s="14">
        <f>IFERROR(IF(OR($A125="",$F125=""),"",IF(INDEX(Accounts!$P$2:$P$11,$F125)="static",INDEX(Accounts!$Q$2:$Q$11,$F125),IF(INDEX(Accounts!$P$2:$P$11,$F125)="eod_trailing",MAX(INDEX(Accounts!$Q$2:$Q$11,$F125),_xlfn.MAXIFS($C$2:$C$1001,$A$2:$A$1001,$A125,$B$2:$B$1001,"&lt;"&amp;$B125)),MAX(INDEX(Accounts!$Q$2:$Q$11,$F125),_xlfn.MAXIFS($C$2:$C$1001,$A$2:$A$1001,$A125,$B$2:$B$1001,"&lt;"&amp;$B125),_xlfn.MAXIFS($D$2:$D$1001,$A$2:$A$1001,$A125,$B$2:$B$1001,"&lt;="&amp;$B125),$C125)))),"")</f>
        <v/>
      </c>
      <c r="H125" s="15">
        <f>IFERROR(IF(G125="","",IF(INDEX(Accounts!$P$2:$P$11,$F125)="static",INDEX(Accounts!$Q$2:$Q$11,$F125)-INDEX(Accounts!$R$2:$R$11,$F125),IF(INDEX(Accounts!$S$2:$S$11,$F125)="NONE",G125-INDEX(Accounts!$R$2:$R$11,$F125),MIN(G125-INDEX(Accounts!$R$2:$R$11,$F125),INDEX(Accounts!$Q$2:$Q$11,$F125)+INDEX(Accounts!$S$2:$S$11,$F125))))),"")</f>
        <v/>
      </c>
      <c r="I125" s="16">
        <f>IF(AND($A125="",$B125="",$C125="",$D125="",$E125=""),"",IF(OR($A125="",$F125=""),"UNKNOWN_ACCOUNT",IF(OR($B125="",$C125=""),"INCOMPLETE",IFERROR(IF(OR(NOT(ISNUMBER($B125)),NOT(ISNUMBER($C125)),IF(C125="",FALSE,IF(ISNUMBER(C125),OR(C125&lt;=0,C125&gt;100000000,ROUND(C125*100,6)&lt;&gt;INT(ROUND(C125*100,6))),TRUE)),IF(D125="",FALSE,IF(ISNUMBER(D125),OR(D125&lt;=0,D125&gt;100000000,ROUND(D125*100,6)&lt;&gt;INT(ROUND(D125*100,6))),TRUE)),IF(E125="",FALSE,IF(ISNUMBER(E125),OR(E125&lt;=0,E125&gt;100000000,ROUND(E125*100,6)&lt;&gt;INT(ROUND(E125*100,6))),TRUE)),AND($D125&lt;&gt;"",$D125&lt;MAX($C125,$E125)),AND($E125&lt;&gt;"",$E125&gt;MIN($C125,IF($D125="",$C125,$D125))),COUNTIFS($A$2:$A$1001,$A125,$B$2:$B$1001,$B125)&gt;1),"INVALID",IFERROR(IF(IF(INDEX(Accounts!$T$2:$T$11,$F125),ROUND(IF($E125="",$C125,MIN($C125,$E125))-(H125),6)&lt;=0,ROUND(IF($E125="",$C125,MIN($C125,$E125))-(H125),6)&lt;0),"BREACHED","OK"),"INCOMPLETE")),"INVALID"))))</f>
        <v/>
      </c>
      <c r="J125" s="33">
        <f>IF(OR(I125="OK",I125="BREACHED"),-INT(ROUND(-(H125)*100,6))/100,I125)</f>
        <v/>
      </c>
    </row>
    <row r="126" ht="18" customHeight="1">
      <c r="A126" s="9" t="n"/>
      <c r="B126" s="32" t="n"/>
      <c r="C126" s="12" t="n"/>
      <c r="D126" s="12" t="n"/>
      <c r="E126" s="12" t="n"/>
      <c r="F126" s="15">
        <f>IFERROR(MATCH($A126,Accounts!$A$2:$A$11,0),"")</f>
        <v/>
      </c>
      <c r="G126" s="14">
        <f>IFERROR(IF(OR($A126="",$F126=""),"",IF(INDEX(Accounts!$P$2:$P$11,$F126)="static",INDEX(Accounts!$Q$2:$Q$11,$F126),IF(INDEX(Accounts!$P$2:$P$11,$F126)="eod_trailing",MAX(INDEX(Accounts!$Q$2:$Q$11,$F126),_xlfn.MAXIFS($C$2:$C$1001,$A$2:$A$1001,$A126,$B$2:$B$1001,"&lt;"&amp;$B126)),MAX(INDEX(Accounts!$Q$2:$Q$11,$F126),_xlfn.MAXIFS($C$2:$C$1001,$A$2:$A$1001,$A126,$B$2:$B$1001,"&lt;"&amp;$B126),_xlfn.MAXIFS($D$2:$D$1001,$A$2:$A$1001,$A126,$B$2:$B$1001,"&lt;="&amp;$B126),$C126)))),"")</f>
        <v/>
      </c>
      <c r="H126" s="15">
        <f>IFERROR(IF(G126="","",IF(INDEX(Accounts!$P$2:$P$11,$F126)="static",INDEX(Accounts!$Q$2:$Q$11,$F126)-INDEX(Accounts!$R$2:$R$11,$F126),IF(INDEX(Accounts!$S$2:$S$11,$F126)="NONE",G126-INDEX(Accounts!$R$2:$R$11,$F126),MIN(G126-INDEX(Accounts!$R$2:$R$11,$F126),INDEX(Accounts!$Q$2:$Q$11,$F126)+INDEX(Accounts!$S$2:$S$11,$F126))))),"")</f>
        <v/>
      </c>
      <c r="I126" s="16">
        <f>IF(AND($A126="",$B126="",$C126="",$D126="",$E126=""),"",IF(OR($A126="",$F126=""),"UNKNOWN_ACCOUNT",IF(OR($B126="",$C126=""),"INCOMPLETE",IFERROR(IF(OR(NOT(ISNUMBER($B126)),NOT(ISNUMBER($C126)),IF(C126="",FALSE,IF(ISNUMBER(C126),OR(C126&lt;=0,C126&gt;100000000,ROUND(C126*100,6)&lt;&gt;INT(ROUND(C126*100,6))),TRUE)),IF(D126="",FALSE,IF(ISNUMBER(D126),OR(D126&lt;=0,D126&gt;100000000,ROUND(D126*100,6)&lt;&gt;INT(ROUND(D126*100,6))),TRUE)),IF(E126="",FALSE,IF(ISNUMBER(E126),OR(E126&lt;=0,E126&gt;100000000,ROUND(E126*100,6)&lt;&gt;INT(ROUND(E126*100,6))),TRUE)),AND($D126&lt;&gt;"",$D126&lt;MAX($C126,$E126)),AND($E126&lt;&gt;"",$E126&gt;MIN($C126,IF($D126="",$C126,$D126))),COUNTIFS($A$2:$A$1001,$A126,$B$2:$B$1001,$B126)&gt;1),"INVALID",IFERROR(IF(IF(INDEX(Accounts!$T$2:$T$11,$F126),ROUND(IF($E126="",$C126,MIN($C126,$E126))-(H126),6)&lt;=0,ROUND(IF($E126="",$C126,MIN($C126,$E126))-(H126),6)&lt;0),"BREACHED","OK"),"INCOMPLETE")),"INVALID"))))</f>
        <v/>
      </c>
      <c r="J126" s="33">
        <f>IF(OR(I126="OK",I126="BREACHED"),-INT(ROUND(-(H126)*100,6))/100,I126)</f>
        <v/>
      </c>
    </row>
    <row r="127" ht="18" customHeight="1">
      <c r="A127" s="9" t="n"/>
      <c r="B127" s="32" t="n"/>
      <c r="C127" s="12" t="n"/>
      <c r="D127" s="12" t="n"/>
      <c r="E127" s="12" t="n"/>
      <c r="F127" s="15">
        <f>IFERROR(MATCH($A127,Accounts!$A$2:$A$11,0),"")</f>
        <v/>
      </c>
      <c r="G127" s="14">
        <f>IFERROR(IF(OR($A127="",$F127=""),"",IF(INDEX(Accounts!$P$2:$P$11,$F127)="static",INDEX(Accounts!$Q$2:$Q$11,$F127),IF(INDEX(Accounts!$P$2:$P$11,$F127)="eod_trailing",MAX(INDEX(Accounts!$Q$2:$Q$11,$F127),_xlfn.MAXIFS($C$2:$C$1001,$A$2:$A$1001,$A127,$B$2:$B$1001,"&lt;"&amp;$B127)),MAX(INDEX(Accounts!$Q$2:$Q$11,$F127),_xlfn.MAXIFS($C$2:$C$1001,$A$2:$A$1001,$A127,$B$2:$B$1001,"&lt;"&amp;$B127),_xlfn.MAXIFS($D$2:$D$1001,$A$2:$A$1001,$A127,$B$2:$B$1001,"&lt;="&amp;$B127),$C127)))),"")</f>
        <v/>
      </c>
      <c r="H127" s="15">
        <f>IFERROR(IF(G127="","",IF(INDEX(Accounts!$P$2:$P$11,$F127)="static",INDEX(Accounts!$Q$2:$Q$11,$F127)-INDEX(Accounts!$R$2:$R$11,$F127),IF(INDEX(Accounts!$S$2:$S$11,$F127)="NONE",G127-INDEX(Accounts!$R$2:$R$11,$F127),MIN(G127-INDEX(Accounts!$R$2:$R$11,$F127),INDEX(Accounts!$Q$2:$Q$11,$F127)+INDEX(Accounts!$S$2:$S$11,$F127))))),"")</f>
        <v/>
      </c>
      <c r="I127" s="16">
        <f>IF(AND($A127="",$B127="",$C127="",$D127="",$E127=""),"",IF(OR($A127="",$F127=""),"UNKNOWN_ACCOUNT",IF(OR($B127="",$C127=""),"INCOMPLETE",IFERROR(IF(OR(NOT(ISNUMBER($B127)),NOT(ISNUMBER($C127)),IF(C127="",FALSE,IF(ISNUMBER(C127),OR(C127&lt;=0,C127&gt;100000000,ROUND(C127*100,6)&lt;&gt;INT(ROUND(C127*100,6))),TRUE)),IF(D127="",FALSE,IF(ISNUMBER(D127),OR(D127&lt;=0,D127&gt;100000000,ROUND(D127*100,6)&lt;&gt;INT(ROUND(D127*100,6))),TRUE)),IF(E127="",FALSE,IF(ISNUMBER(E127),OR(E127&lt;=0,E127&gt;100000000,ROUND(E127*100,6)&lt;&gt;INT(ROUND(E127*100,6))),TRUE)),AND($D127&lt;&gt;"",$D127&lt;MAX($C127,$E127)),AND($E127&lt;&gt;"",$E127&gt;MIN($C127,IF($D127="",$C127,$D127))),COUNTIFS($A$2:$A$1001,$A127,$B$2:$B$1001,$B127)&gt;1),"INVALID",IFERROR(IF(IF(INDEX(Accounts!$T$2:$T$11,$F127),ROUND(IF($E127="",$C127,MIN($C127,$E127))-(H127),6)&lt;=0,ROUND(IF($E127="",$C127,MIN($C127,$E127))-(H127),6)&lt;0),"BREACHED","OK"),"INCOMPLETE")),"INVALID"))))</f>
        <v/>
      </c>
      <c r="J127" s="33">
        <f>IF(OR(I127="OK",I127="BREACHED"),-INT(ROUND(-(H127)*100,6))/100,I127)</f>
        <v/>
      </c>
    </row>
    <row r="128" ht="18" customHeight="1">
      <c r="A128" s="9" t="n"/>
      <c r="B128" s="32" t="n"/>
      <c r="C128" s="12" t="n"/>
      <c r="D128" s="12" t="n"/>
      <c r="E128" s="12" t="n"/>
      <c r="F128" s="15">
        <f>IFERROR(MATCH($A128,Accounts!$A$2:$A$11,0),"")</f>
        <v/>
      </c>
      <c r="G128" s="14">
        <f>IFERROR(IF(OR($A128="",$F128=""),"",IF(INDEX(Accounts!$P$2:$P$11,$F128)="static",INDEX(Accounts!$Q$2:$Q$11,$F128),IF(INDEX(Accounts!$P$2:$P$11,$F128)="eod_trailing",MAX(INDEX(Accounts!$Q$2:$Q$11,$F128),_xlfn.MAXIFS($C$2:$C$1001,$A$2:$A$1001,$A128,$B$2:$B$1001,"&lt;"&amp;$B128)),MAX(INDEX(Accounts!$Q$2:$Q$11,$F128),_xlfn.MAXIFS($C$2:$C$1001,$A$2:$A$1001,$A128,$B$2:$B$1001,"&lt;"&amp;$B128),_xlfn.MAXIFS($D$2:$D$1001,$A$2:$A$1001,$A128,$B$2:$B$1001,"&lt;="&amp;$B128),$C128)))),"")</f>
        <v/>
      </c>
      <c r="H128" s="15">
        <f>IFERROR(IF(G128="","",IF(INDEX(Accounts!$P$2:$P$11,$F128)="static",INDEX(Accounts!$Q$2:$Q$11,$F128)-INDEX(Accounts!$R$2:$R$11,$F128),IF(INDEX(Accounts!$S$2:$S$11,$F128)="NONE",G128-INDEX(Accounts!$R$2:$R$11,$F128),MIN(G128-INDEX(Accounts!$R$2:$R$11,$F128),INDEX(Accounts!$Q$2:$Q$11,$F128)+INDEX(Accounts!$S$2:$S$11,$F128))))),"")</f>
        <v/>
      </c>
      <c r="I128" s="16">
        <f>IF(AND($A128="",$B128="",$C128="",$D128="",$E128=""),"",IF(OR($A128="",$F128=""),"UNKNOWN_ACCOUNT",IF(OR($B128="",$C128=""),"INCOMPLETE",IFERROR(IF(OR(NOT(ISNUMBER($B128)),NOT(ISNUMBER($C128)),IF(C128="",FALSE,IF(ISNUMBER(C128),OR(C128&lt;=0,C128&gt;100000000,ROUND(C128*100,6)&lt;&gt;INT(ROUND(C128*100,6))),TRUE)),IF(D128="",FALSE,IF(ISNUMBER(D128),OR(D128&lt;=0,D128&gt;100000000,ROUND(D128*100,6)&lt;&gt;INT(ROUND(D128*100,6))),TRUE)),IF(E128="",FALSE,IF(ISNUMBER(E128),OR(E128&lt;=0,E128&gt;100000000,ROUND(E128*100,6)&lt;&gt;INT(ROUND(E128*100,6))),TRUE)),AND($D128&lt;&gt;"",$D128&lt;MAX($C128,$E128)),AND($E128&lt;&gt;"",$E128&gt;MIN($C128,IF($D128="",$C128,$D128))),COUNTIFS($A$2:$A$1001,$A128,$B$2:$B$1001,$B128)&gt;1),"INVALID",IFERROR(IF(IF(INDEX(Accounts!$T$2:$T$11,$F128),ROUND(IF($E128="",$C128,MIN($C128,$E128))-(H128),6)&lt;=0,ROUND(IF($E128="",$C128,MIN($C128,$E128))-(H128),6)&lt;0),"BREACHED","OK"),"INCOMPLETE")),"INVALID"))))</f>
        <v/>
      </c>
      <c r="J128" s="33">
        <f>IF(OR(I128="OK",I128="BREACHED"),-INT(ROUND(-(H128)*100,6))/100,I128)</f>
        <v/>
      </c>
    </row>
    <row r="129" ht="18" customHeight="1">
      <c r="A129" s="9" t="n"/>
      <c r="B129" s="32" t="n"/>
      <c r="C129" s="12" t="n"/>
      <c r="D129" s="12" t="n"/>
      <c r="E129" s="12" t="n"/>
      <c r="F129" s="15">
        <f>IFERROR(MATCH($A129,Accounts!$A$2:$A$11,0),"")</f>
        <v/>
      </c>
      <c r="G129" s="14">
        <f>IFERROR(IF(OR($A129="",$F129=""),"",IF(INDEX(Accounts!$P$2:$P$11,$F129)="static",INDEX(Accounts!$Q$2:$Q$11,$F129),IF(INDEX(Accounts!$P$2:$P$11,$F129)="eod_trailing",MAX(INDEX(Accounts!$Q$2:$Q$11,$F129),_xlfn.MAXIFS($C$2:$C$1001,$A$2:$A$1001,$A129,$B$2:$B$1001,"&lt;"&amp;$B129)),MAX(INDEX(Accounts!$Q$2:$Q$11,$F129),_xlfn.MAXIFS($C$2:$C$1001,$A$2:$A$1001,$A129,$B$2:$B$1001,"&lt;"&amp;$B129),_xlfn.MAXIFS($D$2:$D$1001,$A$2:$A$1001,$A129,$B$2:$B$1001,"&lt;="&amp;$B129),$C129)))),"")</f>
        <v/>
      </c>
      <c r="H129" s="15">
        <f>IFERROR(IF(G129="","",IF(INDEX(Accounts!$P$2:$P$11,$F129)="static",INDEX(Accounts!$Q$2:$Q$11,$F129)-INDEX(Accounts!$R$2:$R$11,$F129),IF(INDEX(Accounts!$S$2:$S$11,$F129)="NONE",G129-INDEX(Accounts!$R$2:$R$11,$F129),MIN(G129-INDEX(Accounts!$R$2:$R$11,$F129),INDEX(Accounts!$Q$2:$Q$11,$F129)+INDEX(Accounts!$S$2:$S$11,$F129))))),"")</f>
        <v/>
      </c>
      <c r="I129" s="16">
        <f>IF(AND($A129="",$B129="",$C129="",$D129="",$E129=""),"",IF(OR($A129="",$F129=""),"UNKNOWN_ACCOUNT",IF(OR($B129="",$C129=""),"INCOMPLETE",IFERROR(IF(OR(NOT(ISNUMBER($B129)),NOT(ISNUMBER($C129)),IF(C129="",FALSE,IF(ISNUMBER(C129),OR(C129&lt;=0,C129&gt;100000000,ROUND(C129*100,6)&lt;&gt;INT(ROUND(C129*100,6))),TRUE)),IF(D129="",FALSE,IF(ISNUMBER(D129),OR(D129&lt;=0,D129&gt;100000000,ROUND(D129*100,6)&lt;&gt;INT(ROUND(D129*100,6))),TRUE)),IF(E129="",FALSE,IF(ISNUMBER(E129),OR(E129&lt;=0,E129&gt;100000000,ROUND(E129*100,6)&lt;&gt;INT(ROUND(E129*100,6))),TRUE)),AND($D129&lt;&gt;"",$D129&lt;MAX($C129,$E129)),AND($E129&lt;&gt;"",$E129&gt;MIN($C129,IF($D129="",$C129,$D129))),COUNTIFS($A$2:$A$1001,$A129,$B$2:$B$1001,$B129)&gt;1),"INVALID",IFERROR(IF(IF(INDEX(Accounts!$T$2:$T$11,$F129),ROUND(IF($E129="",$C129,MIN($C129,$E129))-(H129),6)&lt;=0,ROUND(IF($E129="",$C129,MIN($C129,$E129))-(H129),6)&lt;0),"BREACHED","OK"),"INCOMPLETE")),"INVALID"))))</f>
        <v/>
      </c>
      <c r="J129" s="33">
        <f>IF(OR(I129="OK",I129="BREACHED"),-INT(ROUND(-(H129)*100,6))/100,I129)</f>
        <v/>
      </c>
    </row>
    <row r="130" ht="18" customHeight="1">
      <c r="A130" s="9" t="n"/>
      <c r="B130" s="32" t="n"/>
      <c r="C130" s="12" t="n"/>
      <c r="D130" s="12" t="n"/>
      <c r="E130" s="12" t="n"/>
      <c r="F130" s="15">
        <f>IFERROR(MATCH($A130,Accounts!$A$2:$A$11,0),"")</f>
        <v/>
      </c>
      <c r="G130" s="14">
        <f>IFERROR(IF(OR($A130="",$F130=""),"",IF(INDEX(Accounts!$P$2:$P$11,$F130)="static",INDEX(Accounts!$Q$2:$Q$11,$F130),IF(INDEX(Accounts!$P$2:$P$11,$F130)="eod_trailing",MAX(INDEX(Accounts!$Q$2:$Q$11,$F130),_xlfn.MAXIFS($C$2:$C$1001,$A$2:$A$1001,$A130,$B$2:$B$1001,"&lt;"&amp;$B130)),MAX(INDEX(Accounts!$Q$2:$Q$11,$F130),_xlfn.MAXIFS($C$2:$C$1001,$A$2:$A$1001,$A130,$B$2:$B$1001,"&lt;"&amp;$B130),_xlfn.MAXIFS($D$2:$D$1001,$A$2:$A$1001,$A130,$B$2:$B$1001,"&lt;="&amp;$B130),$C130)))),"")</f>
        <v/>
      </c>
      <c r="H130" s="15">
        <f>IFERROR(IF(G130="","",IF(INDEX(Accounts!$P$2:$P$11,$F130)="static",INDEX(Accounts!$Q$2:$Q$11,$F130)-INDEX(Accounts!$R$2:$R$11,$F130),IF(INDEX(Accounts!$S$2:$S$11,$F130)="NONE",G130-INDEX(Accounts!$R$2:$R$11,$F130),MIN(G130-INDEX(Accounts!$R$2:$R$11,$F130),INDEX(Accounts!$Q$2:$Q$11,$F130)+INDEX(Accounts!$S$2:$S$11,$F130))))),"")</f>
        <v/>
      </c>
      <c r="I130" s="16">
        <f>IF(AND($A130="",$B130="",$C130="",$D130="",$E130=""),"",IF(OR($A130="",$F130=""),"UNKNOWN_ACCOUNT",IF(OR($B130="",$C130=""),"INCOMPLETE",IFERROR(IF(OR(NOT(ISNUMBER($B130)),NOT(ISNUMBER($C130)),IF(C130="",FALSE,IF(ISNUMBER(C130),OR(C130&lt;=0,C130&gt;100000000,ROUND(C130*100,6)&lt;&gt;INT(ROUND(C130*100,6))),TRUE)),IF(D130="",FALSE,IF(ISNUMBER(D130),OR(D130&lt;=0,D130&gt;100000000,ROUND(D130*100,6)&lt;&gt;INT(ROUND(D130*100,6))),TRUE)),IF(E130="",FALSE,IF(ISNUMBER(E130),OR(E130&lt;=0,E130&gt;100000000,ROUND(E130*100,6)&lt;&gt;INT(ROUND(E130*100,6))),TRUE)),AND($D130&lt;&gt;"",$D130&lt;MAX($C130,$E130)),AND($E130&lt;&gt;"",$E130&gt;MIN($C130,IF($D130="",$C130,$D130))),COUNTIFS($A$2:$A$1001,$A130,$B$2:$B$1001,$B130)&gt;1),"INVALID",IFERROR(IF(IF(INDEX(Accounts!$T$2:$T$11,$F130),ROUND(IF($E130="",$C130,MIN($C130,$E130))-(H130),6)&lt;=0,ROUND(IF($E130="",$C130,MIN($C130,$E130))-(H130),6)&lt;0),"BREACHED","OK"),"INCOMPLETE")),"INVALID"))))</f>
        <v/>
      </c>
      <c r="J130" s="33">
        <f>IF(OR(I130="OK",I130="BREACHED"),-INT(ROUND(-(H130)*100,6))/100,I130)</f>
        <v/>
      </c>
    </row>
    <row r="131" ht="18" customHeight="1">
      <c r="A131" s="9" t="n"/>
      <c r="B131" s="32" t="n"/>
      <c r="C131" s="12" t="n"/>
      <c r="D131" s="12" t="n"/>
      <c r="E131" s="12" t="n"/>
      <c r="F131" s="15">
        <f>IFERROR(MATCH($A131,Accounts!$A$2:$A$11,0),"")</f>
        <v/>
      </c>
      <c r="G131" s="14">
        <f>IFERROR(IF(OR($A131="",$F131=""),"",IF(INDEX(Accounts!$P$2:$P$11,$F131)="static",INDEX(Accounts!$Q$2:$Q$11,$F131),IF(INDEX(Accounts!$P$2:$P$11,$F131)="eod_trailing",MAX(INDEX(Accounts!$Q$2:$Q$11,$F131),_xlfn.MAXIFS($C$2:$C$1001,$A$2:$A$1001,$A131,$B$2:$B$1001,"&lt;"&amp;$B131)),MAX(INDEX(Accounts!$Q$2:$Q$11,$F131),_xlfn.MAXIFS($C$2:$C$1001,$A$2:$A$1001,$A131,$B$2:$B$1001,"&lt;"&amp;$B131),_xlfn.MAXIFS($D$2:$D$1001,$A$2:$A$1001,$A131,$B$2:$B$1001,"&lt;="&amp;$B131),$C131)))),"")</f>
        <v/>
      </c>
      <c r="H131" s="15">
        <f>IFERROR(IF(G131="","",IF(INDEX(Accounts!$P$2:$P$11,$F131)="static",INDEX(Accounts!$Q$2:$Q$11,$F131)-INDEX(Accounts!$R$2:$R$11,$F131),IF(INDEX(Accounts!$S$2:$S$11,$F131)="NONE",G131-INDEX(Accounts!$R$2:$R$11,$F131),MIN(G131-INDEX(Accounts!$R$2:$R$11,$F131),INDEX(Accounts!$Q$2:$Q$11,$F131)+INDEX(Accounts!$S$2:$S$11,$F131))))),"")</f>
        <v/>
      </c>
      <c r="I131" s="16">
        <f>IF(AND($A131="",$B131="",$C131="",$D131="",$E131=""),"",IF(OR($A131="",$F131=""),"UNKNOWN_ACCOUNT",IF(OR($B131="",$C131=""),"INCOMPLETE",IFERROR(IF(OR(NOT(ISNUMBER($B131)),NOT(ISNUMBER($C131)),IF(C131="",FALSE,IF(ISNUMBER(C131),OR(C131&lt;=0,C131&gt;100000000,ROUND(C131*100,6)&lt;&gt;INT(ROUND(C131*100,6))),TRUE)),IF(D131="",FALSE,IF(ISNUMBER(D131),OR(D131&lt;=0,D131&gt;100000000,ROUND(D131*100,6)&lt;&gt;INT(ROUND(D131*100,6))),TRUE)),IF(E131="",FALSE,IF(ISNUMBER(E131),OR(E131&lt;=0,E131&gt;100000000,ROUND(E131*100,6)&lt;&gt;INT(ROUND(E131*100,6))),TRUE)),AND($D131&lt;&gt;"",$D131&lt;MAX($C131,$E131)),AND($E131&lt;&gt;"",$E131&gt;MIN($C131,IF($D131="",$C131,$D131))),COUNTIFS($A$2:$A$1001,$A131,$B$2:$B$1001,$B131)&gt;1),"INVALID",IFERROR(IF(IF(INDEX(Accounts!$T$2:$T$11,$F131),ROUND(IF($E131="",$C131,MIN($C131,$E131))-(H131),6)&lt;=0,ROUND(IF($E131="",$C131,MIN($C131,$E131))-(H131),6)&lt;0),"BREACHED","OK"),"INCOMPLETE")),"INVALID"))))</f>
        <v/>
      </c>
      <c r="J131" s="33">
        <f>IF(OR(I131="OK",I131="BREACHED"),-INT(ROUND(-(H131)*100,6))/100,I131)</f>
        <v/>
      </c>
    </row>
    <row r="132" ht="18" customHeight="1">
      <c r="A132" s="9" t="n"/>
      <c r="B132" s="32" t="n"/>
      <c r="C132" s="12" t="n"/>
      <c r="D132" s="12" t="n"/>
      <c r="E132" s="12" t="n"/>
      <c r="F132" s="15">
        <f>IFERROR(MATCH($A132,Accounts!$A$2:$A$11,0),"")</f>
        <v/>
      </c>
      <c r="G132" s="14">
        <f>IFERROR(IF(OR($A132="",$F132=""),"",IF(INDEX(Accounts!$P$2:$P$11,$F132)="static",INDEX(Accounts!$Q$2:$Q$11,$F132),IF(INDEX(Accounts!$P$2:$P$11,$F132)="eod_trailing",MAX(INDEX(Accounts!$Q$2:$Q$11,$F132),_xlfn.MAXIFS($C$2:$C$1001,$A$2:$A$1001,$A132,$B$2:$B$1001,"&lt;"&amp;$B132)),MAX(INDEX(Accounts!$Q$2:$Q$11,$F132),_xlfn.MAXIFS($C$2:$C$1001,$A$2:$A$1001,$A132,$B$2:$B$1001,"&lt;"&amp;$B132),_xlfn.MAXIFS($D$2:$D$1001,$A$2:$A$1001,$A132,$B$2:$B$1001,"&lt;="&amp;$B132),$C132)))),"")</f>
        <v/>
      </c>
      <c r="H132" s="15">
        <f>IFERROR(IF(G132="","",IF(INDEX(Accounts!$P$2:$P$11,$F132)="static",INDEX(Accounts!$Q$2:$Q$11,$F132)-INDEX(Accounts!$R$2:$R$11,$F132),IF(INDEX(Accounts!$S$2:$S$11,$F132)="NONE",G132-INDEX(Accounts!$R$2:$R$11,$F132),MIN(G132-INDEX(Accounts!$R$2:$R$11,$F132),INDEX(Accounts!$Q$2:$Q$11,$F132)+INDEX(Accounts!$S$2:$S$11,$F132))))),"")</f>
        <v/>
      </c>
      <c r="I132" s="16">
        <f>IF(AND($A132="",$B132="",$C132="",$D132="",$E132=""),"",IF(OR($A132="",$F132=""),"UNKNOWN_ACCOUNT",IF(OR($B132="",$C132=""),"INCOMPLETE",IFERROR(IF(OR(NOT(ISNUMBER($B132)),NOT(ISNUMBER($C132)),IF(C132="",FALSE,IF(ISNUMBER(C132),OR(C132&lt;=0,C132&gt;100000000,ROUND(C132*100,6)&lt;&gt;INT(ROUND(C132*100,6))),TRUE)),IF(D132="",FALSE,IF(ISNUMBER(D132),OR(D132&lt;=0,D132&gt;100000000,ROUND(D132*100,6)&lt;&gt;INT(ROUND(D132*100,6))),TRUE)),IF(E132="",FALSE,IF(ISNUMBER(E132),OR(E132&lt;=0,E132&gt;100000000,ROUND(E132*100,6)&lt;&gt;INT(ROUND(E132*100,6))),TRUE)),AND($D132&lt;&gt;"",$D132&lt;MAX($C132,$E132)),AND($E132&lt;&gt;"",$E132&gt;MIN($C132,IF($D132="",$C132,$D132))),COUNTIFS($A$2:$A$1001,$A132,$B$2:$B$1001,$B132)&gt;1),"INVALID",IFERROR(IF(IF(INDEX(Accounts!$T$2:$T$11,$F132),ROUND(IF($E132="",$C132,MIN($C132,$E132))-(H132),6)&lt;=0,ROUND(IF($E132="",$C132,MIN($C132,$E132))-(H132),6)&lt;0),"BREACHED","OK"),"INCOMPLETE")),"INVALID"))))</f>
        <v/>
      </c>
      <c r="J132" s="33">
        <f>IF(OR(I132="OK",I132="BREACHED"),-INT(ROUND(-(H132)*100,6))/100,I132)</f>
        <v/>
      </c>
    </row>
    <row r="133" ht="18" customHeight="1">
      <c r="A133" s="9" t="n"/>
      <c r="B133" s="32" t="n"/>
      <c r="C133" s="12" t="n"/>
      <c r="D133" s="12" t="n"/>
      <c r="E133" s="12" t="n"/>
      <c r="F133" s="15">
        <f>IFERROR(MATCH($A133,Accounts!$A$2:$A$11,0),"")</f>
        <v/>
      </c>
      <c r="G133" s="14">
        <f>IFERROR(IF(OR($A133="",$F133=""),"",IF(INDEX(Accounts!$P$2:$P$11,$F133)="static",INDEX(Accounts!$Q$2:$Q$11,$F133),IF(INDEX(Accounts!$P$2:$P$11,$F133)="eod_trailing",MAX(INDEX(Accounts!$Q$2:$Q$11,$F133),_xlfn.MAXIFS($C$2:$C$1001,$A$2:$A$1001,$A133,$B$2:$B$1001,"&lt;"&amp;$B133)),MAX(INDEX(Accounts!$Q$2:$Q$11,$F133),_xlfn.MAXIFS($C$2:$C$1001,$A$2:$A$1001,$A133,$B$2:$B$1001,"&lt;"&amp;$B133),_xlfn.MAXIFS($D$2:$D$1001,$A$2:$A$1001,$A133,$B$2:$B$1001,"&lt;="&amp;$B133),$C133)))),"")</f>
        <v/>
      </c>
      <c r="H133" s="15">
        <f>IFERROR(IF(G133="","",IF(INDEX(Accounts!$P$2:$P$11,$F133)="static",INDEX(Accounts!$Q$2:$Q$11,$F133)-INDEX(Accounts!$R$2:$R$11,$F133),IF(INDEX(Accounts!$S$2:$S$11,$F133)="NONE",G133-INDEX(Accounts!$R$2:$R$11,$F133),MIN(G133-INDEX(Accounts!$R$2:$R$11,$F133),INDEX(Accounts!$Q$2:$Q$11,$F133)+INDEX(Accounts!$S$2:$S$11,$F133))))),"")</f>
        <v/>
      </c>
      <c r="I133" s="16">
        <f>IF(AND($A133="",$B133="",$C133="",$D133="",$E133=""),"",IF(OR($A133="",$F133=""),"UNKNOWN_ACCOUNT",IF(OR($B133="",$C133=""),"INCOMPLETE",IFERROR(IF(OR(NOT(ISNUMBER($B133)),NOT(ISNUMBER($C133)),IF(C133="",FALSE,IF(ISNUMBER(C133),OR(C133&lt;=0,C133&gt;100000000,ROUND(C133*100,6)&lt;&gt;INT(ROUND(C133*100,6))),TRUE)),IF(D133="",FALSE,IF(ISNUMBER(D133),OR(D133&lt;=0,D133&gt;100000000,ROUND(D133*100,6)&lt;&gt;INT(ROUND(D133*100,6))),TRUE)),IF(E133="",FALSE,IF(ISNUMBER(E133),OR(E133&lt;=0,E133&gt;100000000,ROUND(E133*100,6)&lt;&gt;INT(ROUND(E133*100,6))),TRUE)),AND($D133&lt;&gt;"",$D133&lt;MAX($C133,$E133)),AND($E133&lt;&gt;"",$E133&gt;MIN($C133,IF($D133="",$C133,$D133))),COUNTIFS($A$2:$A$1001,$A133,$B$2:$B$1001,$B133)&gt;1),"INVALID",IFERROR(IF(IF(INDEX(Accounts!$T$2:$T$11,$F133),ROUND(IF($E133="",$C133,MIN($C133,$E133))-(H133),6)&lt;=0,ROUND(IF($E133="",$C133,MIN($C133,$E133))-(H133),6)&lt;0),"BREACHED","OK"),"INCOMPLETE")),"INVALID"))))</f>
        <v/>
      </c>
      <c r="J133" s="33">
        <f>IF(OR(I133="OK",I133="BREACHED"),-INT(ROUND(-(H133)*100,6))/100,I133)</f>
        <v/>
      </c>
    </row>
    <row r="134" ht="18" customHeight="1">
      <c r="A134" s="9" t="n"/>
      <c r="B134" s="32" t="n"/>
      <c r="C134" s="12" t="n"/>
      <c r="D134" s="12" t="n"/>
      <c r="E134" s="12" t="n"/>
      <c r="F134" s="15">
        <f>IFERROR(MATCH($A134,Accounts!$A$2:$A$11,0),"")</f>
        <v/>
      </c>
      <c r="G134" s="14">
        <f>IFERROR(IF(OR($A134="",$F134=""),"",IF(INDEX(Accounts!$P$2:$P$11,$F134)="static",INDEX(Accounts!$Q$2:$Q$11,$F134),IF(INDEX(Accounts!$P$2:$P$11,$F134)="eod_trailing",MAX(INDEX(Accounts!$Q$2:$Q$11,$F134),_xlfn.MAXIFS($C$2:$C$1001,$A$2:$A$1001,$A134,$B$2:$B$1001,"&lt;"&amp;$B134)),MAX(INDEX(Accounts!$Q$2:$Q$11,$F134),_xlfn.MAXIFS($C$2:$C$1001,$A$2:$A$1001,$A134,$B$2:$B$1001,"&lt;"&amp;$B134),_xlfn.MAXIFS($D$2:$D$1001,$A$2:$A$1001,$A134,$B$2:$B$1001,"&lt;="&amp;$B134),$C134)))),"")</f>
        <v/>
      </c>
      <c r="H134" s="15">
        <f>IFERROR(IF(G134="","",IF(INDEX(Accounts!$P$2:$P$11,$F134)="static",INDEX(Accounts!$Q$2:$Q$11,$F134)-INDEX(Accounts!$R$2:$R$11,$F134),IF(INDEX(Accounts!$S$2:$S$11,$F134)="NONE",G134-INDEX(Accounts!$R$2:$R$11,$F134),MIN(G134-INDEX(Accounts!$R$2:$R$11,$F134),INDEX(Accounts!$Q$2:$Q$11,$F134)+INDEX(Accounts!$S$2:$S$11,$F134))))),"")</f>
        <v/>
      </c>
      <c r="I134" s="16">
        <f>IF(AND($A134="",$B134="",$C134="",$D134="",$E134=""),"",IF(OR($A134="",$F134=""),"UNKNOWN_ACCOUNT",IF(OR($B134="",$C134=""),"INCOMPLETE",IFERROR(IF(OR(NOT(ISNUMBER($B134)),NOT(ISNUMBER($C134)),IF(C134="",FALSE,IF(ISNUMBER(C134),OR(C134&lt;=0,C134&gt;100000000,ROUND(C134*100,6)&lt;&gt;INT(ROUND(C134*100,6))),TRUE)),IF(D134="",FALSE,IF(ISNUMBER(D134),OR(D134&lt;=0,D134&gt;100000000,ROUND(D134*100,6)&lt;&gt;INT(ROUND(D134*100,6))),TRUE)),IF(E134="",FALSE,IF(ISNUMBER(E134),OR(E134&lt;=0,E134&gt;100000000,ROUND(E134*100,6)&lt;&gt;INT(ROUND(E134*100,6))),TRUE)),AND($D134&lt;&gt;"",$D134&lt;MAX($C134,$E134)),AND($E134&lt;&gt;"",$E134&gt;MIN($C134,IF($D134="",$C134,$D134))),COUNTIFS($A$2:$A$1001,$A134,$B$2:$B$1001,$B134)&gt;1),"INVALID",IFERROR(IF(IF(INDEX(Accounts!$T$2:$T$11,$F134),ROUND(IF($E134="",$C134,MIN($C134,$E134))-(H134),6)&lt;=0,ROUND(IF($E134="",$C134,MIN($C134,$E134))-(H134),6)&lt;0),"BREACHED","OK"),"INCOMPLETE")),"INVALID"))))</f>
        <v/>
      </c>
      <c r="J134" s="33">
        <f>IF(OR(I134="OK",I134="BREACHED"),-INT(ROUND(-(H134)*100,6))/100,I134)</f>
        <v/>
      </c>
    </row>
    <row r="135" ht="18" customHeight="1">
      <c r="A135" s="9" t="n"/>
      <c r="B135" s="32" t="n"/>
      <c r="C135" s="12" t="n"/>
      <c r="D135" s="12" t="n"/>
      <c r="E135" s="12" t="n"/>
      <c r="F135" s="15">
        <f>IFERROR(MATCH($A135,Accounts!$A$2:$A$11,0),"")</f>
        <v/>
      </c>
      <c r="G135" s="14">
        <f>IFERROR(IF(OR($A135="",$F135=""),"",IF(INDEX(Accounts!$P$2:$P$11,$F135)="static",INDEX(Accounts!$Q$2:$Q$11,$F135),IF(INDEX(Accounts!$P$2:$P$11,$F135)="eod_trailing",MAX(INDEX(Accounts!$Q$2:$Q$11,$F135),_xlfn.MAXIFS($C$2:$C$1001,$A$2:$A$1001,$A135,$B$2:$B$1001,"&lt;"&amp;$B135)),MAX(INDEX(Accounts!$Q$2:$Q$11,$F135),_xlfn.MAXIFS($C$2:$C$1001,$A$2:$A$1001,$A135,$B$2:$B$1001,"&lt;"&amp;$B135),_xlfn.MAXIFS($D$2:$D$1001,$A$2:$A$1001,$A135,$B$2:$B$1001,"&lt;="&amp;$B135),$C135)))),"")</f>
        <v/>
      </c>
      <c r="H135" s="15">
        <f>IFERROR(IF(G135="","",IF(INDEX(Accounts!$P$2:$P$11,$F135)="static",INDEX(Accounts!$Q$2:$Q$11,$F135)-INDEX(Accounts!$R$2:$R$11,$F135),IF(INDEX(Accounts!$S$2:$S$11,$F135)="NONE",G135-INDEX(Accounts!$R$2:$R$11,$F135),MIN(G135-INDEX(Accounts!$R$2:$R$11,$F135),INDEX(Accounts!$Q$2:$Q$11,$F135)+INDEX(Accounts!$S$2:$S$11,$F135))))),"")</f>
        <v/>
      </c>
      <c r="I135" s="16">
        <f>IF(AND($A135="",$B135="",$C135="",$D135="",$E135=""),"",IF(OR($A135="",$F135=""),"UNKNOWN_ACCOUNT",IF(OR($B135="",$C135=""),"INCOMPLETE",IFERROR(IF(OR(NOT(ISNUMBER($B135)),NOT(ISNUMBER($C135)),IF(C135="",FALSE,IF(ISNUMBER(C135),OR(C135&lt;=0,C135&gt;100000000,ROUND(C135*100,6)&lt;&gt;INT(ROUND(C135*100,6))),TRUE)),IF(D135="",FALSE,IF(ISNUMBER(D135),OR(D135&lt;=0,D135&gt;100000000,ROUND(D135*100,6)&lt;&gt;INT(ROUND(D135*100,6))),TRUE)),IF(E135="",FALSE,IF(ISNUMBER(E135),OR(E135&lt;=0,E135&gt;100000000,ROUND(E135*100,6)&lt;&gt;INT(ROUND(E135*100,6))),TRUE)),AND($D135&lt;&gt;"",$D135&lt;MAX($C135,$E135)),AND($E135&lt;&gt;"",$E135&gt;MIN($C135,IF($D135="",$C135,$D135))),COUNTIFS($A$2:$A$1001,$A135,$B$2:$B$1001,$B135)&gt;1),"INVALID",IFERROR(IF(IF(INDEX(Accounts!$T$2:$T$11,$F135),ROUND(IF($E135="",$C135,MIN($C135,$E135))-(H135),6)&lt;=0,ROUND(IF($E135="",$C135,MIN($C135,$E135))-(H135),6)&lt;0),"BREACHED","OK"),"INCOMPLETE")),"INVALID"))))</f>
        <v/>
      </c>
      <c r="J135" s="33">
        <f>IF(OR(I135="OK",I135="BREACHED"),-INT(ROUND(-(H135)*100,6))/100,I135)</f>
        <v/>
      </c>
    </row>
    <row r="136" ht="18" customHeight="1">
      <c r="A136" s="9" t="n"/>
      <c r="B136" s="32" t="n"/>
      <c r="C136" s="12" t="n"/>
      <c r="D136" s="12" t="n"/>
      <c r="E136" s="12" t="n"/>
      <c r="F136" s="15">
        <f>IFERROR(MATCH($A136,Accounts!$A$2:$A$11,0),"")</f>
        <v/>
      </c>
      <c r="G136" s="14">
        <f>IFERROR(IF(OR($A136="",$F136=""),"",IF(INDEX(Accounts!$P$2:$P$11,$F136)="static",INDEX(Accounts!$Q$2:$Q$11,$F136),IF(INDEX(Accounts!$P$2:$P$11,$F136)="eod_trailing",MAX(INDEX(Accounts!$Q$2:$Q$11,$F136),_xlfn.MAXIFS($C$2:$C$1001,$A$2:$A$1001,$A136,$B$2:$B$1001,"&lt;"&amp;$B136)),MAX(INDEX(Accounts!$Q$2:$Q$11,$F136),_xlfn.MAXIFS($C$2:$C$1001,$A$2:$A$1001,$A136,$B$2:$B$1001,"&lt;"&amp;$B136),_xlfn.MAXIFS($D$2:$D$1001,$A$2:$A$1001,$A136,$B$2:$B$1001,"&lt;="&amp;$B136),$C136)))),"")</f>
        <v/>
      </c>
      <c r="H136" s="15">
        <f>IFERROR(IF(G136="","",IF(INDEX(Accounts!$P$2:$P$11,$F136)="static",INDEX(Accounts!$Q$2:$Q$11,$F136)-INDEX(Accounts!$R$2:$R$11,$F136),IF(INDEX(Accounts!$S$2:$S$11,$F136)="NONE",G136-INDEX(Accounts!$R$2:$R$11,$F136),MIN(G136-INDEX(Accounts!$R$2:$R$11,$F136),INDEX(Accounts!$Q$2:$Q$11,$F136)+INDEX(Accounts!$S$2:$S$11,$F136))))),"")</f>
        <v/>
      </c>
      <c r="I136" s="16">
        <f>IF(AND($A136="",$B136="",$C136="",$D136="",$E136=""),"",IF(OR($A136="",$F136=""),"UNKNOWN_ACCOUNT",IF(OR($B136="",$C136=""),"INCOMPLETE",IFERROR(IF(OR(NOT(ISNUMBER($B136)),NOT(ISNUMBER($C136)),IF(C136="",FALSE,IF(ISNUMBER(C136),OR(C136&lt;=0,C136&gt;100000000,ROUND(C136*100,6)&lt;&gt;INT(ROUND(C136*100,6))),TRUE)),IF(D136="",FALSE,IF(ISNUMBER(D136),OR(D136&lt;=0,D136&gt;100000000,ROUND(D136*100,6)&lt;&gt;INT(ROUND(D136*100,6))),TRUE)),IF(E136="",FALSE,IF(ISNUMBER(E136),OR(E136&lt;=0,E136&gt;100000000,ROUND(E136*100,6)&lt;&gt;INT(ROUND(E136*100,6))),TRUE)),AND($D136&lt;&gt;"",$D136&lt;MAX($C136,$E136)),AND($E136&lt;&gt;"",$E136&gt;MIN($C136,IF($D136="",$C136,$D136))),COUNTIFS($A$2:$A$1001,$A136,$B$2:$B$1001,$B136)&gt;1),"INVALID",IFERROR(IF(IF(INDEX(Accounts!$T$2:$T$11,$F136),ROUND(IF($E136="",$C136,MIN($C136,$E136))-(H136),6)&lt;=0,ROUND(IF($E136="",$C136,MIN($C136,$E136))-(H136),6)&lt;0),"BREACHED","OK"),"INCOMPLETE")),"INVALID"))))</f>
        <v/>
      </c>
      <c r="J136" s="33">
        <f>IF(OR(I136="OK",I136="BREACHED"),-INT(ROUND(-(H136)*100,6))/100,I136)</f>
        <v/>
      </c>
    </row>
    <row r="137" ht="18" customHeight="1">
      <c r="A137" s="9" t="n"/>
      <c r="B137" s="32" t="n"/>
      <c r="C137" s="12" t="n"/>
      <c r="D137" s="12" t="n"/>
      <c r="E137" s="12" t="n"/>
      <c r="F137" s="15">
        <f>IFERROR(MATCH($A137,Accounts!$A$2:$A$11,0),"")</f>
        <v/>
      </c>
      <c r="G137" s="14">
        <f>IFERROR(IF(OR($A137="",$F137=""),"",IF(INDEX(Accounts!$P$2:$P$11,$F137)="static",INDEX(Accounts!$Q$2:$Q$11,$F137),IF(INDEX(Accounts!$P$2:$P$11,$F137)="eod_trailing",MAX(INDEX(Accounts!$Q$2:$Q$11,$F137),_xlfn.MAXIFS($C$2:$C$1001,$A$2:$A$1001,$A137,$B$2:$B$1001,"&lt;"&amp;$B137)),MAX(INDEX(Accounts!$Q$2:$Q$11,$F137),_xlfn.MAXIFS($C$2:$C$1001,$A$2:$A$1001,$A137,$B$2:$B$1001,"&lt;"&amp;$B137),_xlfn.MAXIFS($D$2:$D$1001,$A$2:$A$1001,$A137,$B$2:$B$1001,"&lt;="&amp;$B137),$C137)))),"")</f>
        <v/>
      </c>
      <c r="H137" s="15">
        <f>IFERROR(IF(G137="","",IF(INDEX(Accounts!$P$2:$P$11,$F137)="static",INDEX(Accounts!$Q$2:$Q$11,$F137)-INDEX(Accounts!$R$2:$R$11,$F137),IF(INDEX(Accounts!$S$2:$S$11,$F137)="NONE",G137-INDEX(Accounts!$R$2:$R$11,$F137),MIN(G137-INDEX(Accounts!$R$2:$R$11,$F137),INDEX(Accounts!$Q$2:$Q$11,$F137)+INDEX(Accounts!$S$2:$S$11,$F137))))),"")</f>
        <v/>
      </c>
      <c r="I137" s="16">
        <f>IF(AND($A137="",$B137="",$C137="",$D137="",$E137=""),"",IF(OR($A137="",$F137=""),"UNKNOWN_ACCOUNT",IF(OR($B137="",$C137=""),"INCOMPLETE",IFERROR(IF(OR(NOT(ISNUMBER($B137)),NOT(ISNUMBER($C137)),IF(C137="",FALSE,IF(ISNUMBER(C137),OR(C137&lt;=0,C137&gt;100000000,ROUND(C137*100,6)&lt;&gt;INT(ROUND(C137*100,6))),TRUE)),IF(D137="",FALSE,IF(ISNUMBER(D137),OR(D137&lt;=0,D137&gt;100000000,ROUND(D137*100,6)&lt;&gt;INT(ROUND(D137*100,6))),TRUE)),IF(E137="",FALSE,IF(ISNUMBER(E137),OR(E137&lt;=0,E137&gt;100000000,ROUND(E137*100,6)&lt;&gt;INT(ROUND(E137*100,6))),TRUE)),AND($D137&lt;&gt;"",$D137&lt;MAX($C137,$E137)),AND($E137&lt;&gt;"",$E137&gt;MIN($C137,IF($D137="",$C137,$D137))),COUNTIFS($A$2:$A$1001,$A137,$B$2:$B$1001,$B137)&gt;1),"INVALID",IFERROR(IF(IF(INDEX(Accounts!$T$2:$T$11,$F137),ROUND(IF($E137="",$C137,MIN($C137,$E137))-(H137),6)&lt;=0,ROUND(IF($E137="",$C137,MIN($C137,$E137))-(H137),6)&lt;0),"BREACHED","OK"),"INCOMPLETE")),"INVALID"))))</f>
        <v/>
      </c>
      <c r="J137" s="33">
        <f>IF(OR(I137="OK",I137="BREACHED"),-INT(ROUND(-(H137)*100,6))/100,I137)</f>
        <v/>
      </c>
    </row>
    <row r="138" ht="18" customHeight="1">
      <c r="A138" s="9" t="n"/>
      <c r="B138" s="32" t="n"/>
      <c r="C138" s="12" t="n"/>
      <c r="D138" s="12" t="n"/>
      <c r="E138" s="12" t="n"/>
      <c r="F138" s="15">
        <f>IFERROR(MATCH($A138,Accounts!$A$2:$A$11,0),"")</f>
        <v/>
      </c>
      <c r="G138" s="14">
        <f>IFERROR(IF(OR($A138="",$F138=""),"",IF(INDEX(Accounts!$P$2:$P$11,$F138)="static",INDEX(Accounts!$Q$2:$Q$11,$F138),IF(INDEX(Accounts!$P$2:$P$11,$F138)="eod_trailing",MAX(INDEX(Accounts!$Q$2:$Q$11,$F138),_xlfn.MAXIFS($C$2:$C$1001,$A$2:$A$1001,$A138,$B$2:$B$1001,"&lt;"&amp;$B138)),MAX(INDEX(Accounts!$Q$2:$Q$11,$F138),_xlfn.MAXIFS($C$2:$C$1001,$A$2:$A$1001,$A138,$B$2:$B$1001,"&lt;"&amp;$B138),_xlfn.MAXIFS($D$2:$D$1001,$A$2:$A$1001,$A138,$B$2:$B$1001,"&lt;="&amp;$B138),$C138)))),"")</f>
        <v/>
      </c>
      <c r="H138" s="15">
        <f>IFERROR(IF(G138="","",IF(INDEX(Accounts!$P$2:$P$11,$F138)="static",INDEX(Accounts!$Q$2:$Q$11,$F138)-INDEX(Accounts!$R$2:$R$11,$F138),IF(INDEX(Accounts!$S$2:$S$11,$F138)="NONE",G138-INDEX(Accounts!$R$2:$R$11,$F138),MIN(G138-INDEX(Accounts!$R$2:$R$11,$F138),INDEX(Accounts!$Q$2:$Q$11,$F138)+INDEX(Accounts!$S$2:$S$11,$F138))))),"")</f>
        <v/>
      </c>
      <c r="I138" s="16">
        <f>IF(AND($A138="",$B138="",$C138="",$D138="",$E138=""),"",IF(OR($A138="",$F138=""),"UNKNOWN_ACCOUNT",IF(OR($B138="",$C138=""),"INCOMPLETE",IFERROR(IF(OR(NOT(ISNUMBER($B138)),NOT(ISNUMBER($C138)),IF(C138="",FALSE,IF(ISNUMBER(C138),OR(C138&lt;=0,C138&gt;100000000,ROUND(C138*100,6)&lt;&gt;INT(ROUND(C138*100,6))),TRUE)),IF(D138="",FALSE,IF(ISNUMBER(D138),OR(D138&lt;=0,D138&gt;100000000,ROUND(D138*100,6)&lt;&gt;INT(ROUND(D138*100,6))),TRUE)),IF(E138="",FALSE,IF(ISNUMBER(E138),OR(E138&lt;=0,E138&gt;100000000,ROUND(E138*100,6)&lt;&gt;INT(ROUND(E138*100,6))),TRUE)),AND($D138&lt;&gt;"",$D138&lt;MAX($C138,$E138)),AND($E138&lt;&gt;"",$E138&gt;MIN($C138,IF($D138="",$C138,$D138))),COUNTIFS($A$2:$A$1001,$A138,$B$2:$B$1001,$B138)&gt;1),"INVALID",IFERROR(IF(IF(INDEX(Accounts!$T$2:$T$11,$F138),ROUND(IF($E138="",$C138,MIN($C138,$E138))-(H138),6)&lt;=0,ROUND(IF($E138="",$C138,MIN($C138,$E138))-(H138),6)&lt;0),"BREACHED","OK"),"INCOMPLETE")),"INVALID"))))</f>
        <v/>
      </c>
      <c r="J138" s="33">
        <f>IF(OR(I138="OK",I138="BREACHED"),-INT(ROUND(-(H138)*100,6))/100,I138)</f>
        <v/>
      </c>
    </row>
    <row r="139" ht="18" customHeight="1">
      <c r="A139" s="9" t="n"/>
      <c r="B139" s="32" t="n"/>
      <c r="C139" s="12" t="n"/>
      <c r="D139" s="12" t="n"/>
      <c r="E139" s="12" t="n"/>
      <c r="F139" s="15">
        <f>IFERROR(MATCH($A139,Accounts!$A$2:$A$11,0),"")</f>
        <v/>
      </c>
      <c r="G139" s="14">
        <f>IFERROR(IF(OR($A139="",$F139=""),"",IF(INDEX(Accounts!$P$2:$P$11,$F139)="static",INDEX(Accounts!$Q$2:$Q$11,$F139),IF(INDEX(Accounts!$P$2:$P$11,$F139)="eod_trailing",MAX(INDEX(Accounts!$Q$2:$Q$11,$F139),_xlfn.MAXIFS($C$2:$C$1001,$A$2:$A$1001,$A139,$B$2:$B$1001,"&lt;"&amp;$B139)),MAX(INDEX(Accounts!$Q$2:$Q$11,$F139),_xlfn.MAXIFS($C$2:$C$1001,$A$2:$A$1001,$A139,$B$2:$B$1001,"&lt;"&amp;$B139),_xlfn.MAXIFS($D$2:$D$1001,$A$2:$A$1001,$A139,$B$2:$B$1001,"&lt;="&amp;$B139),$C139)))),"")</f>
        <v/>
      </c>
      <c r="H139" s="15">
        <f>IFERROR(IF(G139="","",IF(INDEX(Accounts!$P$2:$P$11,$F139)="static",INDEX(Accounts!$Q$2:$Q$11,$F139)-INDEX(Accounts!$R$2:$R$11,$F139),IF(INDEX(Accounts!$S$2:$S$11,$F139)="NONE",G139-INDEX(Accounts!$R$2:$R$11,$F139),MIN(G139-INDEX(Accounts!$R$2:$R$11,$F139),INDEX(Accounts!$Q$2:$Q$11,$F139)+INDEX(Accounts!$S$2:$S$11,$F139))))),"")</f>
        <v/>
      </c>
      <c r="I139" s="16">
        <f>IF(AND($A139="",$B139="",$C139="",$D139="",$E139=""),"",IF(OR($A139="",$F139=""),"UNKNOWN_ACCOUNT",IF(OR($B139="",$C139=""),"INCOMPLETE",IFERROR(IF(OR(NOT(ISNUMBER($B139)),NOT(ISNUMBER($C139)),IF(C139="",FALSE,IF(ISNUMBER(C139),OR(C139&lt;=0,C139&gt;100000000,ROUND(C139*100,6)&lt;&gt;INT(ROUND(C139*100,6))),TRUE)),IF(D139="",FALSE,IF(ISNUMBER(D139),OR(D139&lt;=0,D139&gt;100000000,ROUND(D139*100,6)&lt;&gt;INT(ROUND(D139*100,6))),TRUE)),IF(E139="",FALSE,IF(ISNUMBER(E139),OR(E139&lt;=0,E139&gt;100000000,ROUND(E139*100,6)&lt;&gt;INT(ROUND(E139*100,6))),TRUE)),AND($D139&lt;&gt;"",$D139&lt;MAX($C139,$E139)),AND($E139&lt;&gt;"",$E139&gt;MIN($C139,IF($D139="",$C139,$D139))),COUNTIFS($A$2:$A$1001,$A139,$B$2:$B$1001,$B139)&gt;1),"INVALID",IFERROR(IF(IF(INDEX(Accounts!$T$2:$T$11,$F139),ROUND(IF($E139="",$C139,MIN($C139,$E139))-(H139),6)&lt;=0,ROUND(IF($E139="",$C139,MIN($C139,$E139))-(H139),6)&lt;0),"BREACHED","OK"),"INCOMPLETE")),"INVALID"))))</f>
        <v/>
      </c>
      <c r="J139" s="33">
        <f>IF(OR(I139="OK",I139="BREACHED"),-INT(ROUND(-(H139)*100,6))/100,I139)</f>
        <v/>
      </c>
    </row>
    <row r="140" ht="18" customHeight="1">
      <c r="A140" s="9" t="n"/>
      <c r="B140" s="32" t="n"/>
      <c r="C140" s="12" t="n"/>
      <c r="D140" s="12" t="n"/>
      <c r="E140" s="12" t="n"/>
      <c r="F140" s="15">
        <f>IFERROR(MATCH($A140,Accounts!$A$2:$A$11,0),"")</f>
        <v/>
      </c>
      <c r="G140" s="14">
        <f>IFERROR(IF(OR($A140="",$F140=""),"",IF(INDEX(Accounts!$P$2:$P$11,$F140)="static",INDEX(Accounts!$Q$2:$Q$11,$F140),IF(INDEX(Accounts!$P$2:$P$11,$F140)="eod_trailing",MAX(INDEX(Accounts!$Q$2:$Q$11,$F140),_xlfn.MAXIFS($C$2:$C$1001,$A$2:$A$1001,$A140,$B$2:$B$1001,"&lt;"&amp;$B140)),MAX(INDEX(Accounts!$Q$2:$Q$11,$F140),_xlfn.MAXIFS($C$2:$C$1001,$A$2:$A$1001,$A140,$B$2:$B$1001,"&lt;"&amp;$B140),_xlfn.MAXIFS($D$2:$D$1001,$A$2:$A$1001,$A140,$B$2:$B$1001,"&lt;="&amp;$B140),$C140)))),"")</f>
        <v/>
      </c>
      <c r="H140" s="15">
        <f>IFERROR(IF(G140="","",IF(INDEX(Accounts!$P$2:$P$11,$F140)="static",INDEX(Accounts!$Q$2:$Q$11,$F140)-INDEX(Accounts!$R$2:$R$11,$F140),IF(INDEX(Accounts!$S$2:$S$11,$F140)="NONE",G140-INDEX(Accounts!$R$2:$R$11,$F140),MIN(G140-INDEX(Accounts!$R$2:$R$11,$F140),INDEX(Accounts!$Q$2:$Q$11,$F140)+INDEX(Accounts!$S$2:$S$11,$F140))))),"")</f>
        <v/>
      </c>
      <c r="I140" s="16">
        <f>IF(AND($A140="",$B140="",$C140="",$D140="",$E140=""),"",IF(OR($A140="",$F140=""),"UNKNOWN_ACCOUNT",IF(OR($B140="",$C140=""),"INCOMPLETE",IFERROR(IF(OR(NOT(ISNUMBER($B140)),NOT(ISNUMBER($C140)),IF(C140="",FALSE,IF(ISNUMBER(C140),OR(C140&lt;=0,C140&gt;100000000,ROUND(C140*100,6)&lt;&gt;INT(ROUND(C140*100,6))),TRUE)),IF(D140="",FALSE,IF(ISNUMBER(D140),OR(D140&lt;=0,D140&gt;100000000,ROUND(D140*100,6)&lt;&gt;INT(ROUND(D140*100,6))),TRUE)),IF(E140="",FALSE,IF(ISNUMBER(E140),OR(E140&lt;=0,E140&gt;100000000,ROUND(E140*100,6)&lt;&gt;INT(ROUND(E140*100,6))),TRUE)),AND($D140&lt;&gt;"",$D140&lt;MAX($C140,$E140)),AND($E140&lt;&gt;"",$E140&gt;MIN($C140,IF($D140="",$C140,$D140))),COUNTIFS($A$2:$A$1001,$A140,$B$2:$B$1001,$B140)&gt;1),"INVALID",IFERROR(IF(IF(INDEX(Accounts!$T$2:$T$11,$F140),ROUND(IF($E140="",$C140,MIN($C140,$E140))-(H140),6)&lt;=0,ROUND(IF($E140="",$C140,MIN($C140,$E140))-(H140),6)&lt;0),"BREACHED","OK"),"INCOMPLETE")),"INVALID"))))</f>
        <v/>
      </c>
      <c r="J140" s="33">
        <f>IF(OR(I140="OK",I140="BREACHED"),-INT(ROUND(-(H140)*100,6))/100,I140)</f>
        <v/>
      </c>
    </row>
    <row r="141" ht="18" customHeight="1">
      <c r="A141" s="9" t="n"/>
      <c r="B141" s="32" t="n"/>
      <c r="C141" s="12" t="n"/>
      <c r="D141" s="12" t="n"/>
      <c r="E141" s="12" t="n"/>
      <c r="F141" s="15">
        <f>IFERROR(MATCH($A141,Accounts!$A$2:$A$11,0),"")</f>
        <v/>
      </c>
      <c r="G141" s="14">
        <f>IFERROR(IF(OR($A141="",$F141=""),"",IF(INDEX(Accounts!$P$2:$P$11,$F141)="static",INDEX(Accounts!$Q$2:$Q$11,$F141),IF(INDEX(Accounts!$P$2:$P$11,$F141)="eod_trailing",MAX(INDEX(Accounts!$Q$2:$Q$11,$F141),_xlfn.MAXIFS($C$2:$C$1001,$A$2:$A$1001,$A141,$B$2:$B$1001,"&lt;"&amp;$B141)),MAX(INDEX(Accounts!$Q$2:$Q$11,$F141),_xlfn.MAXIFS($C$2:$C$1001,$A$2:$A$1001,$A141,$B$2:$B$1001,"&lt;"&amp;$B141),_xlfn.MAXIFS($D$2:$D$1001,$A$2:$A$1001,$A141,$B$2:$B$1001,"&lt;="&amp;$B141),$C141)))),"")</f>
        <v/>
      </c>
      <c r="H141" s="15">
        <f>IFERROR(IF(G141="","",IF(INDEX(Accounts!$P$2:$P$11,$F141)="static",INDEX(Accounts!$Q$2:$Q$11,$F141)-INDEX(Accounts!$R$2:$R$11,$F141),IF(INDEX(Accounts!$S$2:$S$11,$F141)="NONE",G141-INDEX(Accounts!$R$2:$R$11,$F141),MIN(G141-INDEX(Accounts!$R$2:$R$11,$F141),INDEX(Accounts!$Q$2:$Q$11,$F141)+INDEX(Accounts!$S$2:$S$11,$F141))))),"")</f>
        <v/>
      </c>
      <c r="I141" s="16">
        <f>IF(AND($A141="",$B141="",$C141="",$D141="",$E141=""),"",IF(OR($A141="",$F141=""),"UNKNOWN_ACCOUNT",IF(OR($B141="",$C141=""),"INCOMPLETE",IFERROR(IF(OR(NOT(ISNUMBER($B141)),NOT(ISNUMBER($C141)),IF(C141="",FALSE,IF(ISNUMBER(C141),OR(C141&lt;=0,C141&gt;100000000,ROUND(C141*100,6)&lt;&gt;INT(ROUND(C141*100,6))),TRUE)),IF(D141="",FALSE,IF(ISNUMBER(D141),OR(D141&lt;=0,D141&gt;100000000,ROUND(D141*100,6)&lt;&gt;INT(ROUND(D141*100,6))),TRUE)),IF(E141="",FALSE,IF(ISNUMBER(E141),OR(E141&lt;=0,E141&gt;100000000,ROUND(E141*100,6)&lt;&gt;INT(ROUND(E141*100,6))),TRUE)),AND($D141&lt;&gt;"",$D141&lt;MAX($C141,$E141)),AND($E141&lt;&gt;"",$E141&gt;MIN($C141,IF($D141="",$C141,$D141))),COUNTIFS($A$2:$A$1001,$A141,$B$2:$B$1001,$B141)&gt;1),"INVALID",IFERROR(IF(IF(INDEX(Accounts!$T$2:$T$11,$F141),ROUND(IF($E141="",$C141,MIN($C141,$E141))-(H141),6)&lt;=0,ROUND(IF($E141="",$C141,MIN($C141,$E141))-(H141),6)&lt;0),"BREACHED","OK"),"INCOMPLETE")),"INVALID"))))</f>
        <v/>
      </c>
      <c r="J141" s="33">
        <f>IF(OR(I141="OK",I141="BREACHED"),-INT(ROUND(-(H141)*100,6))/100,I141)</f>
        <v/>
      </c>
    </row>
    <row r="142" ht="18" customHeight="1">
      <c r="A142" s="9" t="n"/>
      <c r="B142" s="32" t="n"/>
      <c r="C142" s="12" t="n"/>
      <c r="D142" s="12" t="n"/>
      <c r="E142" s="12" t="n"/>
      <c r="F142" s="15">
        <f>IFERROR(MATCH($A142,Accounts!$A$2:$A$11,0),"")</f>
        <v/>
      </c>
      <c r="G142" s="14">
        <f>IFERROR(IF(OR($A142="",$F142=""),"",IF(INDEX(Accounts!$P$2:$P$11,$F142)="static",INDEX(Accounts!$Q$2:$Q$11,$F142),IF(INDEX(Accounts!$P$2:$P$11,$F142)="eod_trailing",MAX(INDEX(Accounts!$Q$2:$Q$11,$F142),_xlfn.MAXIFS($C$2:$C$1001,$A$2:$A$1001,$A142,$B$2:$B$1001,"&lt;"&amp;$B142)),MAX(INDEX(Accounts!$Q$2:$Q$11,$F142),_xlfn.MAXIFS($C$2:$C$1001,$A$2:$A$1001,$A142,$B$2:$B$1001,"&lt;"&amp;$B142),_xlfn.MAXIFS($D$2:$D$1001,$A$2:$A$1001,$A142,$B$2:$B$1001,"&lt;="&amp;$B142),$C142)))),"")</f>
        <v/>
      </c>
      <c r="H142" s="15">
        <f>IFERROR(IF(G142="","",IF(INDEX(Accounts!$P$2:$P$11,$F142)="static",INDEX(Accounts!$Q$2:$Q$11,$F142)-INDEX(Accounts!$R$2:$R$11,$F142),IF(INDEX(Accounts!$S$2:$S$11,$F142)="NONE",G142-INDEX(Accounts!$R$2:$R$11,$F142),MIN(G142-INDEX(Accounts!$R$2:$R$11,$F142),INDEX(Accounts!$Q$2:$Q$11,$F142)+INDEX(Accounts!$S$2:$S$11,$F142))))),"")</f>
        <v/>
      </c>
      <c r="I142" s="16">
        <f>IF(AND($A142="",$B142="",$C142="",$D142="",$E142=""),"",IF(OR($A142="",$F142=""),"UNKNOWN_ACCOUNT",IF(OR($B142="",$C142=""),"INCOMPLETE",IFERROR(IF(OR(NOT(ISNUMBER($B142)),NOT(ISNUMBER($C142)),IF(C142="",FALSE,IF(ISNUMBER(C142),OR(C142&lt;=0,C142&gt;100000000,ROUND(C142*100,6)&lt;&gt;INT(ROUND(C142*100,6))),TRUE)),IF(D142="",FALSE,IF(ISNUMBER(D142),OR(D142&lt;=0,D142&gt;100000000,ROUND(D142*100,6)&lt;&gt;INT(ROUND(D142*100,6))),TRUE)),IF(E142="",FALSE,IF(ISNUMBER(E142),OR(E142&lt;=0,E142&gt;100000000,ROUND(E142*100,6)&lt;&gt;INT(ROUND(E142*100,6))),TRUE)),AND($D142&lt;&gt;"",$D142&lt;MAX($C142,$E142)),AND($E142&lt;&gt;"",$E142&gt;MIN($C142,IF($D142="",$C142,$D142))),COUNTIFS($A$2:$A$1001,$A142,$B$2:$B$1001,$B142)&gt;1),"INVALID",IFERROR(IF(IF(INDEX(Accounts!$T$2:$T$11,$F142),ROUND(IF($E142="",$C142,MIN($C142,$E142))-(H142),6)&lt;=0,ROUND(IF($E142="",$C142,MIN($C142,$E142))-(H142),6)&lt;0),"BREACHED","OK"),"INCOMPLETE")),"INVALID"))))</f>
        <v/>
      </c>
      <c r="J142" s="33">
        <f>IF(OR(I142="OK",I142="BREACHED"),-INT(ROUND(-(H142)*100,6))/100,I142)</f>
        <v/>
      </c>
    </row>
    <row r="143" ht="18" customHeight="1">
      <c r="A143" s="9" t="n"/>
      <c r="B143" s="32" t="n"/>
      <c r="C143" s="12" t="n"/>
      <c r="D143" s="12" t="n"/>
      <c r="E143" s="12" t="n"/>
      <c r="F143" s="15">
        <f>IFERROR(MATCH($A143,Accounts!$A$2:$A$11,0),"")</f>
        <v/>
      </c>
      <c r="G143" s="14">
        <f>IFERROR(IF(OR($A143="",$F143=""),"",IF(INDEX(Accounts!$P$2:$P$11,$F143)="static",INDEX(Accounts!$Q$2:$Q$11,$F143),IF(INDEX(Accounts!$P$2:$P$11,$F143)="eod_trailing",MAX(INDEX(Accounts!$Q$2:$Q$11,$F143),_xlfn.MAXIFS($C$2:$C$1001,$A$2:$A$1001,$A143,$B$2:$B$1001,"&lt;"&amp;$B143)),MAX(INDEX(Accounts!$Q$2:$Q$11,$F143),_xlfn.MAXIFS($C$2:$C$1001,$A$2:$A$1001,$A143,$B$2:$B$1001,"&lt;"&amp;$B143),_xlfn.MAXIFS($D$2:$D$1001,$A$2:$A$1001,$A143,$B$2:$B$1001,"&lt;="&amp;$B143),$C143)))),"")</f>
        <v/>
      </c>
      <c r="H143" s="15">
        <f>IFERROR(IF(G143="","",IF(INDEX(Accounts!$P$2:$P$11,$F143)="static",INDEX(Accounts!$Q$2:$Q$11,$F143)-INDEX(Accounts!$R$2:$R$11,$F143),IF(INDEX(Accounts!$S$2:$S$11,$F143)="NONE",G143-INDEX(Accounts!$R$2:$R$11,$F143),MIN(G143-INDEX(Accounts!$R$2:$R$11,$F143),INDEX(Accounts!$Q$2:$Q$11,$F143)+INDEX(Accounts!$S$2:$S$11,$F143))))),"")</f>
        <v/>
      </c>
      <c r="I143" s="16">
        <f>IF(AND($A143="",$B143="",$C143="",$D143="",$E143=""),"",IF(OR($A143="",$F143=""),"UNKNOWN_ACCOUNT",IF(OR($B143="",$C143=""),"INCOMPLETE",IFERROR(IF(OR(NOT(ISNUMBER($B143)),NOT(ISNUMBER($C143)),IF(C143="",FALSE,IF(ISNUMBER(C143),OR(C143&lt;=0,C143&gt;100000000,ROUND(C143*100,6)&lt;&gt;INT(ROUND(C143*100,6))),TRUE)),IF(D143="",FALSE,IF(ISNUMBER(D143),OR(D143&lt;=0,D143&gt;100000000,ROUND(D143*100,6)&lt;&gt;INT(ROUND(D143*100,6))),TRUE)),IF(E143="",FALSE,IF(ISNUMBER(E143),OR(E143&lt;=0,E143&gt;100000000,ROUND(E143*100,6)&lt;&gt;INT(ROUND(E143*100,6))),TRUE)),AND($D143&lt;&gt;"",$D143&lt;MAX($C143,$E143)),AND($E143&lt;&gt;"",$E143&gt;MIN($C143,IF($D143="",$C143,$D143))),COUNTIFS($A$2:$A$1001,$A143,$B$2:$B$1001,$B143)&gt;1),"INVALID",IFERROR(IF(IF(INDEX(Accounts!$T$2:$T$11,$F143),ROUND(IF($E143="",$C143,MIN($C143,$E143))-(H143),6)&lt;=0,ROUND(IF($E143="",$C143,MIN($C143,$E143))-(H143),6)&lt;0),"BREACHED","OK"),"INCOMPLETE")),"INVALID"))))</f>
        <v/>
      </c>
      <c r="J143" s="33">
        <f>IF(OR(I143="OK",I143="BREACHED"),-INT(ROUND(-(H143)*100,6))/100,I143)</f>
        <v/>
      </c>
    </row>
    <row r="144" ht="18" customHeight="1">
      <c r="A144" s="9" t="n"/>
      <c r="B144" s="32" t="n"/>
      <c r="C144" s="12" t="n"/>
      <c r="D144" s="12" t="n"/>
      <c r="E144" s="12" t="n"/>
      <c r="F144" s="15">
        <f>IFERROR(MATCH($A144,Accounts!$A$2:$A$11,0),"")</f>
        <v/>
      </c>
      <c r="G144" s="14">
        <f>IFERROR(IF(OR($A144="",$F144=""),"",IF(INDEX(Accounts!$P$2:$P$11,$F144)="static",INDEX(Accounts!$Q$2:$Q$11,$F144),IF(INDEX(Accounts!$P$2:$P$11,$F144)="eod_trailing",MAX(INDEX(Accounts!$Q$2:$Q$11,$F144),_xlfn.MAXIFS($C$2:$C$1001,$A$2:$A$1001,$A144,$B$2:$B$1001,"&lt;"&amp;$B144)),MAX(INDEX(Accounts!$Q$2:$Q$11,$F144),_xlfn.MAXIFS($C$2:$C$1001,$A$2:$A$1001,$A144,$B$2:$B$1001,"&lt;"&amp;$B144),_xlfn.MAXIFS($D$2:$D$1001,$A$2:$A$1001,$A144,$B$2:$B$1001,"&lt;="&amp;$B144),$C144)))),"")</f>
        <v/>
      </c>
      <c r="H144" s="15">
        <f>IFERROR(IF(G144="","",IF(INDEX(Accounts!$P$2:$P$11,$F144)="static",INDEX(Accounts!$Q$2:$Q$11,$F144)-INDEX(Accounts!$R$2:$R$11,$F144),IF(INDEX(Accounts!$S$2:$S$11,$F144)="NONE",G144-INDEX(Accounts!$R$2:$R$11,$F144),MIN(G144-INDEX(Accounts!$R$2:$R$11,$F144),INDEX(Accounts!$Q$2:$Q$11,$F144)+INDEX(Accounts!$S$2:$S$11,$F144))))),"")</f>
        <v/>
      </c>
      <c r="I144" s="16">
        <f>IF(AND($A144="",$B144="",$C144="",$D144="",$E144=""),"",IF(OR($A144="",$F144=""),"UNKNOWN_ACCOUNT",IF(OR($B144="",$C144=""),"INCOMPLETE",IFERROR(IF(OR(NOT(ISNUMBER($B144)),NOT(ISNUMBER($C144)),IF(C144="",FALSE,IF(ISNUMBER(C144),OR(C144&lt;=0,C144&gt;100000000,ROUND(C144*100,6)&lt;&gt;INT(ROUND(C144*100,6))),TRUE)),IF(D144="",FALSE,IF(ISNUMBER(D144),OR(D144&lt;=0,D144&gt;100000000,ROUND(D144*100,6)&lt;&gt;INT(ROUND(D144*100,6))),TRUE)),IF(E144="",FALSE,IF(ISNUMBER(E144),OR(E144&lt;=0,E144&gt;100000000,ROUND(E144*100,6)&lt;&gt;INT(ROUND(E144*100,6))),TRUE)),AND($D144&lt;&gt;"",$D144&lt;MAX($C144,$E144)),AND($E144&lt;&gt;"",$E144&gt;MIN($C144,IF($D144="",$C144,$D144))),COUNTIFS($A$2:$A$1001,$A144,$B$2:$B$1001,$B144)&gt;1),"INVALID",IFERROR(IF(IF(INDEX(Accounts!$T$2:$T$11,$F144),ROUND(IF($E144="",$C144,MIN($C144,$E144))-(H144),6)&lt;=0,ROUND(IF($E144="",$C144,MIN($C144,$E144))-(H144),6)&lt;0),"BREACHED","OK"),"INCOMPLETE")),"INVALID"))))</f>
        <v/>
      </c>
      <c r="J144" s="33">
        <f>IF(OR(I144="OK",I144="BREACHED"),-INT(ROUND(-(H144)*100,6))/100,I144)</f>
        <v/>
      </c>
    </row>
    <row r="145" ht="18" customHeight="1">
      <c r="A145" s="9" t="n"/>
      <c r="B145" s="32" t="n"/>
      <c r="C145" s="12" t="n"/>
      <c r="D145" s="12" t="n"/>
      <c r="E145" s="12" t="n"/>
      <c r="F145" s="15">
        <f>IFERROR(MATCH($A145,Accounts!$A$2:$A$11,0),"")</f>
        <v/>
      </c>
      <c r="G145" s="14">
        <f>IFERROR(IF(OR($A145="",$F145=""),"",IF(INDEX(Accounts!$P$2:$P$11,$F145)="static",INDEX(Accounts!$Q$2:$Q$11,$F145),IF(INDEX(Accounts!$P$2:$P$11,$F145)="eod_trailing",MAX(INDEX(Accounts!$Q$2:$Q$11,$F145),_xlfn.MAXIFS($C$2:$C$1001,$A$2:$A$1001,$A145,$B$2:$B$1001,"&lt;"&amp;$B145)),MAX(INDEX(Accounts!$Q$2:$Q$11,$F145),_xlfn.MAXIFS($C$2:$C$1001,$A$2:$A$1001,$A145,$B$2:$B$1001,"&lt;"&amp;$B145),_xlfn.MAXIFS($D$2:$D$1001,$A$2:$A$1001,$A145,$B$2:$B$1001,"&lt;="&amp;$B145),$C145)))),"")</f>
        <v/>
      </c>
      <c r="H145" s="15">
        <f>IFERROR(IF(G145="","",IF(INDEX(Accounts!$P$2:$P$11,$F145)="static",INDEX(Accounts!$Q$2:$Q$11,$F145)-INDEX(Accounts!$R$2:$R$11,$F145),IF(INDEX(Accounts!$S$2:$S$11,$F145)="NONE",G145-INDEX(Accounts!$R$2:$R$11,$F145),MIN(G145-INDEX(Accounts!$R$2:$R$11,$F145),INDEX(Accounts!$Q$2:$Q$11,$F145)+INDEX(Accounts!$S$2:$S$11,$F145))))),"")</f>
        <v/>
      </c>
      <c r="I145" s="16">
        <f>IF(AND($A145="",$B145="",$C145="",$D145="",$E145=""),"",IF(OR($A145="",$F145=""),"UNKNOWN_ACCOUNT",IF(OR($B145="",$C145=""),"INCOMPLETE",IFERROR(IF(OR(NOT(ISNUMBER($B145)),NOT(ISNUMBER($C145)),IF(C145="",FALSE,IF(ISNUMBER(C145),OR(C145&lt;=0,C145&gt;100000000,ROUND(C145*100,6)&lt;&gt;INT(ROUND(C145*100,6))),TRUE)),IF(D145="",FALSE,IF(ISNUMBER(D145),OR(D145&lt;=0,D145&gt;100000000,ROUND(D145*100,6)&lt;&gt;INT(ROUND(D145*100,6))),TRUE)),IF(E145="",FALSE,IF(ISNUMBER(E145),OR(E145&lt;=0,E145&gt;100000000,ROUND(E145*100,6)&lt;&gt;INT(ROUND(E145*100,6))),TRUE)),AND($D145&lt;&gt;"",$D145&lt;MAX($C145,$E145)),AND($E145&lt;&gt;"",$E145&gt;MIN($C145,IF($D145="",$C145,$D145))),COUNTIFS($A$2:$A$1001,$A145,$B$2:$B$1001,$B145)&gt;1),"INVALID",IFERROR(IF(IF(INDEX(Accounts!$T$2:$T$11,$F145),ROUND(IF($E145="",$C145,MIN($C145,$E145))-(H145),6)&lt;=0,ROUND(IF($E145="",$C145,MIN($C145,$E145))-(H145),6)&lt;0),"BREACHED","OK"),"INCOMPLETE")),"INVALID"))))</f>
        <v/>
      </c>
      <c r="J145" s="33">
        <f>IF(OR(I145="OK",I145="BREACHED"),-INT(ROUND(-(H145)*100,6))/100,I145)</f>
        <v/>
      </c>
    </row>
    <row r="146" ht="18" customHeight="1">
      <c r="A146" s="9" t="n"/>
      <c r="B146" s="32" t="n"/>
      <c r="C146" s="12" t="n"/>
      <c r="D146" s="12" t="n"/>
      <c r="E146" s="12" t="n"/>
      <c r="F146" s="15">
        <f>IFERROR(MATCH($A146,Accounts!$A$2:$A$11,0),"")</f>
        <v/>
      </c>
      <c r="G146" s="14">
        <f>IFERROR(IF(OR($A146="",$F146=""),"",IF(INDEX(Accounts!$P$2:$P$11,$F146)="static",INDEX(Accounts!$Q$2:$Q$11,$F146),IF(INDEX(Accounts!$P$2:$P$11,$F146)="eod_trailing",MAX(INDEX(Accounts!$Q$2:$Q$11,$F146),_xlfn.MAXIFS($C$2:$C$1001,$A$2:$A$1001,$A146,$B$2:$B$1001,"&lt;"&amp;$B146)),MAX(INDEX(Accounts!$Q$2:$Q$11,$F146),_xlfn.MAXIFS($C$2:$C$1001,$A$2:$A$1001,$A146,$B$2:$B$1001,"&lt;"&amp;$B146),_xlfn.MAXIFS($D$2:$D$1001,$A$2:$A$1001,$A146,$B$2:$B$1001,"&lt;="&amp;$B146),$C146)))),"")</f>
        <v/>
      </c>
      <c r="H146" s="15">
        <f>IFERROR(IF(G146="","",IF(INDEX(Accounts!$P$2:$P$11,$F146)="static",INDEX(Accounts!$Q$2:$Q$11,$F146)-INDEX(Accounts!$R$2:$R$11,$F146),IF(INDEX(Accounts!$S$2:$S$11,$F146)="NONE",G146-INDEX(Accounts!$R$2:$R$11,$F146),MIN(G146-INDEX(Accounts!$R$2:$R$11,$F146),INDEX(Accounts!$Q$2:$Q$11,$F146)+INDEX(Accounts!$S$2:$S$11,$F146))))),"")</f>
        <v/>
      </c>
      <c r="I146" s="16">
        <f>IF(AND($A146="",$B146="",$C146="",$D146="",$E146=""),"",IF(OR($A146="",$F146=""),"UNKNOWN_ACCOUNT",IF(OR($B146="",$C146=""),"INCOMPLETE",IFERROR(IF(OR(NOT(ISNUMBER($B146)),NOT(ISNUMBER($C146)),IF(C146="",FALSE,IF(ISNUMBER(C146),OR(C146&lt;=0,C146&gt;100000000,ROUND(C146*100,6)&lt;&gt;INT(ROUND(C146*100,6))),TRUE)),IF(D146="",FALSE,IF(ISNUMBER(D146),OR(D146&lt;=0,D146&gt;100000000,ROUND(D146*100,6)&lt;&gt;INT(ROUND(D146*100,6))),TRUE)),IF(E146="",FALSE,IF(ISNUMBER(E146),OR(E146&lt;=0,E146&gt;100000000,ROUND(E146*100,6)&lt;&gt;INT(ROUND(E146*100,6))),TRUE)),AND($D146&lt;&gt;"",$D146&lt;MAX($C146,$E146)),AND($E146&lt;&gt;"",$E146&gt;MIN($C146,IF($D146="",$C146,$D146))),COUNTIFS($A$2:$A$1001,$A146,$B$2:$B$1001,$B146)&gt;1),"INVALID",IFERROR(IF(IF(INDEX(Accounts!$T$2:$T$11,$F146),ROUND(IF($E146="",$C146,MIN($C146,$E146))-(H146),6)&lt;=0,ROUND(IF($E146="",$C146,MIN($C146,$E146))-(H146),6)&lt;0),"BREACHED","OK"),"INCOMPLETE")),"INVALID"))))</f>
        <v/>
      </c>
      <c r="J146" s="33">
        <f>IF(OR(I146="OK",I146="BREACHED"),-INT(ROUND(-(H146)*100,6))/100,I146)</f>
        <v/>
      </c>
    </row>
    <row r="147" ht="18" customHeight="1">
      <c r="A147" s="9" t="n"/>
      <c r="B147" s="32" t="n"/>
      <c r="C147" s="12" t="n"/>
      <c r="D147" s="12" t="n"/>
      <c r="E147" s="12" t="n"/>
      <c r="F147" s="15">
        <f>IFERROR(MATCH($A147,Accounts!$A$2:$A$11,0),"")</f>
        <v/>
      </c>
      <c r="G147" s="14">
        <f>IFERROR(IF(OR($A147="",$F147=""),"",IF(INDEX(Accounts!$P$2:$P$11,$F147)="static",INDEX(Accounts!$Q$2:$Q$11,$F147),IF(INDEX(Accounts!$P$2:$P$11,$F147)="eod_trailing",MAX(INDEX(Accounts!$Q$2:$Q$11,$F147),_xlfn.MAXIFS($C$2:$C$1001,$A$2:$A$1001,$A147,$B$2:$B$1001,"&lt;"&amp;$B147)),MAX(INDEX(Accounts!$Q$2:$Q$11,$F147),_xlfn.MAXIFS($C$2:$C$1001,$A$2:$A$1001,$A147,$B$2:$B$1001,"&lt;"&amp;$B147),_xlfn.MAXIFS($D$2:$D$1001,$A$2:$A$1001,$A147,$B$2:$B$1001,"&lt;="&amp;$B147),$C147)))),"")</f>
        <v/>
      </c>
      <c r="H147" s="15">
        <f>IFERROR(IF(G147="","",IF(INDEX(Accounts!$P$2:$P$11,$F147)="static",INDEX(Accounts!$Q$2:$Q$11,$F147)-INDEX(Accounts!$R$2:$R$11,$F147),IF(INDEX(Accounts!$S$2:$S$11,$F147)="NONE",G147-INDEX(Accounts!$R$2:$R$11,$F147),MIN(G147-INDEX(Accounts!$R$2:$R$11,$F147),INDEX(Accounts!$Q$2:$Q$11,$F147)+INDEX(Accounts!$S$2:$S$11,$F147))))),"")</f>
        <v/>
      </c>
      <c r="I147" s="16">
        <f>IF(AND($A147="",$B147="",$C147="",$D147="",$E147=""),"",IF(OR($A147="",$F147=""),"UNKNOWN_ACCOUNT",IF(OR($B147="",$C147=""),"INCOMPLETE",IFERROR(IF(OR(NOT(ISNUMBER($B147)),NOT(ISNUMBER($C147)),IF(C147="",FALSE,IF(ISNUMBER(C147),OR(C147&lt;=0,C147&gt;100000000,ROUND(C147*100,6)&lt;&gt;INT(ROUND(C147*100,6))),TRUE)),IF(D147="",FALSE,IF(ISNUMBER(D147),OR(D147&lt;=0,D147&gt;100000000,ROUND(D147*100,6)&lt;&gt;INT(ROUND(D147*100,6))),TRUE)),IF(E147="",FALSE,IF(ISNUMBER(E147),OR(E147&lt;=0,E147&gt;100000000,ROUND(E147*100,6)&lt;&gt;INT(ROUND(E147*100,6))),TRUE)),AND($D147&lt;&gt;"",$D147&lt;MAX($C147,$E147)),AND($E147&lt;&gt;"",$E147&gt;MIN($C147,IF($D147="",$C147,$D147))),COUNTIFS($A$2:$A$1001,$A147,$B$2:$B$1001,$B147)&gt;1),"INVALID",IFERROR(IF(IF(INDEX(Accounts!$T$2:$T$11,$F147),ROUND(IF($E147="",$C147,MIN($C147,$E147))-(H147),6)&lt;=0,ROUND(IF($E147="",$C147,MIN($C147,$E147))-(H147),6)&lt;0),"BREACHED","OK"),"INCOMPLETE")),"INVALID"))))</f>
        <v/>
      </c>
      <c r="J147" s="33">
        <f>IF(OR(I147="OK",I147="BREACHED"),-INT(ROUND(-(H147)*100,6))/100,I147)</f>
        <v/>
      </c>
    </row>
    <row r="148" ht="18" customHeight="1">
      <c r="A148" s="9" t="n"/>
      <c r="B148" s="32" t="n"/>
      <c r="C148" s="12" t="n"/>
      <c r="D148" s="12" t="n"/>
      <c r="E148" s="12" t="n"/>
      <c r="F148" s="15">
        <f>IFERROR(MATCH($A148,Accounts!$A$2:$A$11,0),"")</f>
        <v/>
      </c>
      <c r="G148" s="14">
        <f>IFERROR(IF(OR($A148="",$F148=""),"",IF(INDEX(Accounts!$P$2:$P$11,$F148)="static",INDEX(Accounts!$Q$2:$Q$11,$F148),IF(INDEX(Accounts!$P$2:$P$11,$F148)="eod_trailing",MAX(INDEX(Accounts!$Q$2:$Q$11,$F148),_xlfn.MAXIFS($C$2:$C$1001,$A$2:$A$1001,$A148,$B$2:$B$1001,"&lt;"&amp;$B148)),MAX(INDEX(Accounts!$Q$2:$Q$11,$F148),_xlfn.MAXIFS($C$2:$C$1001,$A$2:$A$1001,$A148,$B$2:$B$1001,"&lt;"&amp;$B148),_xlfn.MAXIFS($D$2:$D$1001,$A$2:$A$1001,$A148,$B$2:$B$1001,"&lt;="&amp;$B148),$C148)))),"")</f>
        <v/>
      </c>
      <c r="H148" s="15">
        <f>IFERROR(IF(G148="","",IF(INDEX(Accounts!$P$2:$P$11,$F148)="static",INDEX(Accounts!$Q$2:$Q$11,$F148)-INDEX(Accounts!$R$2:$R$11,$F148),IF(INDEX(Accounts!$S$2:$S$11,$F148)="NONE",G148-INDEX(Accounts!$R$2:$R$11,$F148),MIN(G148-INDEX(Accounts!$R$2:$R$11,$F148),INDEX(Accounts!$Q$2:$Q$11,$F148)+INDEX(Accounts!$S$2:$S$11,$F148))))),"")</f>
        <v/>
      </c>
      <c r="I148" s="16">
        <f>IF(AND($A148="",$B148="",$C148="",$D148="",$E148=""),"",IF(OR($A148="",$F148=""),"UNKNOWN_ACCOUNT",IF(OR($B148="",$C148=""),"INCOMPLETE",IFERROR(IF(OR(NOT(ISNUMBER($B148)),NOT(ISNUMBER($C148)),IF(C148="",FALSE,IF(ISNUMBER(C148),OR(C148&lt;=0,C148&gt;100000000,ROUND(C148*100,6)&lt;&gt;INT(ROUND(C148*100,6))),TRUE)),IF(D148="",FALSE,IF(ISNUMBER(D148),OR(D148&lt;=0,D148&gt;100000000,ROUND(D148*100,6)&lt;&gt;INT(ROUND(D148*100,6))),TRUE)),IF(E148="",FALSE,IF(ISNUMBER(E148),OR(E148&lt;=0,E148&gt;100000000,ROUND(E148*100,6)&lt;&gt;INT(ROUND(E148*100,6))),TRUE)),AND($D148&lt;&gt;"",$D148&lt;MAX($C148,$E148)),AND($E148&lt;&gt;"",$E148&gt;MIN($C148,IF($D148="",$C148,$D148))),COUNTIFS($A$2:$A$1001,$A148,$B$2:$B$1001,$B148)&gt;1),"INVALID",IFERROR(IF(IF(INDEX(Accounts!$T$2:$T$11,$F148),ROUND(IF($E148="",$C148,MIN($C148,$E148))-(H148),6)&lt;=0,ROUND(IF($E148="",$C148,MIN($C148,$E148))-(H148),6)&lt;0),"BREACHED","OK"),"INCOMPLETE")),"INVALID"))))</f>
        <v/>
      </c>
      <c r="J148" s="33">
        <f>IF(OR(I148="OK",I148="BREACHED"),-INT(ROUND(-(H148)*100,6))/100,I148)</f>
        <v/>
      </c>
    </row>
    <row r="149" ht="18" customHeight="1">
      <c r="A149" s="9" t="n"/>
      <c r="B149" s="32" t="n"/>
      <c r="C149" s="12" t="n"/>
      <c r="D149" s="12" t="n"/>
      <c r="E149" s="12" t="n"/>
      <c r="F149" s="15">
        <f>IFERROR(MATCH($A149,Accounts!$A$2:$A$11,0),"")</f>
        <v/>
      </c>
      <c r="G149" s="14">
        <f>IFERROR(IF(OR($A149="",$F149=""),"",IF(INDEX(Accounts!$P$2:$P$11,$F149)="static",INDEX(Accounts!$Q$2:$Q$11,$F149),IF(INDEX(Accounts!$P$2:$P$11,$F149)="eod_trailing",MAX(INDEX(Accounts!$Q$2:$Q$11,$F149),_xlfn.MAXIFS($C$2:$C$1001,$A$2:$A$1001,$A149,$B$2:$B$1001,"&lt;"&amp;$B149)),MAX(INDEX(Accounts!$Q$2:$Q$11,$F149),_xlfn.MAXIFS($C$2:$C$1001,$A$2:$A$1001,$A149,$B$2:$B$1001,"&lt;"&amp;$B149),_xlfn.MAXIFS($D$2:$D$1001,$A$2:$A$1001,$A149,$B$2:$B$1001,"&lt;="&amp;$B149),$C149)))),"")</f>
        <v/>
      </c>
      <c r="H149" s="15">
        <f>IFERROR(IF(G149="","",IF(INDEX(Accounts!$P$2:$P$11,$F149)="static",INDEX(Accounts!$Q$2:$Q$11,$F149)-INDEX(Accounts!$R$2:$R$11,$F149),IF(INDEX(Accounts!$S$2:$S$11,$F149)="NONE",G149-INDEX(Accounts!$R$2:$R$11,$F149),MIN(G149-INDEX(Accounts!$R$2:$R$11,$F149),INDEX(Accounts!$Q$2:$Q$11,$F149)+INDEX(Accounts!$S$2:$S$11,$F149))))),"")</f>
        <v/>
      </c>
      <c r="I149" s="16">
        <f>IF(AND($A149="",$B149="",$C149="",$D149="",$E149=""),"",IF(OR($A149="",$F149=""),"UNKNOWN_ACCOUNT",IF(OR($B149="",$C149=""),"INCOMPLETE",IFERROR(IF(OR(NOT(ISNUMBER($B149)),NOT(ISNUMBER($C149)),IF(C149="",FALSE,IF(ISNUMBER(C149),OR(C149&lt;=0,C149&gt;100000000,ROUND(C149*100,6)&lt;&gt;INT(ROUND(C149*100,6))),TRUE)),IF(D149="",FALSE,IF(ISNUMBER(D149),OR(D149&lt;=0,D149&gt;100000000,ROUND(D149*100,6)&lt;&gt;INT(ROUND(D149*100,6))),TRUE)),IF(E149="",FALSE,IF(ISNUMBER(E149),OR(E149&lt;=0,E149&gt;100000000,ROUND(E149*100,6)&lt;&gt;INT(ROUND(E149*100,6))),TRUE)),AND($D149&lt;&gt;"",$D149&lt;MAX($C149,$E149)),AND($E149&lt;&gt;"",$E149&gt;MIN($C149,IF($D149="",$C149,$D149))),COUNTIFS($A$2:$A$1001,$A149,$B$2:$B$1001,$B149)&gt;1),"INVALID",IFERROR(IF(IF(INDEX(Accounts!$T$2:$T$11,$F149),ROUND(IF($E149="",$C149,MIN($C149,$E149))-(H149),6)&lt;=0,ROUND(IF($E149="",$C149,MIN($C149,$E149))-(H149),6)&lt;0),"BREACHED","OK"),"INCOMPLETE")),"INVALID"))))</f>
        <v/>
      </c>
      <c r="J149" s="33">
        <f>IF(OR(I149="OK",I149="BREACHED"),-INT(ROUND(-(H149)*100,6))/100,I149)</f>
        <v/>
      </c>
    </row>
    <row r="150" ht="18" customHeight="1">
      <c r="A150" s="9" t="n"/>
      <c r="B150" s="32" t="n"/>
      <c r="C150" s="12" t="n"/>
      <c r="D150" s="12" t="n"/>
      <c r="E150" s="12" t="n"/>
      <c r="F150" s="15">
        <f>IFERROR(MATCH($A150,Accounts!$A$2:$A$11,0),"")</f>
        <v/>
      </c>
      <c r="G150" s="14">
        <f>IFERROR(IF(OR($A150="",$F150=""),"",IF(INDEX(Accounts!$P$2:$P$11,$F150)="static",INDEX(Accounts!$Q$2:$Q$11,$F150),IF(INDEX(Accounts!$P$2:$P$11,$F150)="eod_trailing",MAX(INDEX(Accounts!$Q$2:$Q$11,$F150),_xlfn.MAXIFS($C$2:$C$1001,$A$2:$A$1001,$A150,$B$2:$B$1001,"&lt;"&amp;$B150)),MAX(INDEX(Accounts!$Q$2:$Q$11,$F150),_xlfn.MAXIFS($C$2:$C$1001,$A$2:$A$1001,$A150,$B$2:$B$1001,"&lt;"&amp;$B150),_xlfn.MAXIFS($D$2:$D$1001,$A$2:$A$1001,$A150,$B$2:$B$1001,"&lt;="&amp;$B150),$C150)))),"")</f>
        <v/>
      </c>
      <c r="H150" s="15">
        <f>IFERROR(IF(G150="","",IF(INDEX(Accounts!$P$2:$P$11,$F150)="static",INDEX(Accounts!$Q$2:$Q$11,$F150)-INDEX(Accounts!$R$2:$R$11,$F150),IF(INDEX(Accounts!$S$2:$S$11,$F150)="NONE",G150-INDEX(Accounts!$R$2:$R$11,$F150),MIN(G150-INDEX(Accounts!$R$2:$R$11,$F150),INDEX(Accounts!$Q$2:$Q$11,$F150)+INDEX(Accounts!$S$2:$S$11,$F150))))),"")</f>
        <v/>
      </c>
      <c r="I150" s="16">
        <f>IF(AND($A150="",$B150="",$C150="",$D150="",$E150=""),"",IF(OR($A150="",$F150=""),"UNKNOWN_ACCOUNT",IF(OR($B150="",$C150=""),"INCOMPLETE",IFERROR(IF(OR(NOT(ISNUMBER($B150)),NOT(ISNUMBER($C150)),IF(C150="",FALSE,IF(ISNUMBER(C150),OR(C150&lt;=0,C150&gt;100000000,ROUND(C150*100,6)&lt;&gt;INT(ROUND(C150*100,6))),TRUE)),IF(D150="",FALSE,IF(ISNUMBER(D150),OR(D150&lt;=0,D150&gt;100000000,ROUND(D150*100,6)&lt;&gt;INT(ROUND(D150*100,6))),TRUE)),IF(E150="",FALSE,IF(ISNUMBER(E150),OR(E150&lt;=0,E150&gt;100000000,ROUND(E150*100,6)&lt;&gt;INT(ROUND(E150*100,6))),TRUE)),AND($D150&lt;&gt;"",$D150&lt;MAX($C150,$E150)),AND($E150&lt;&gt;"",$E150&gt;MIN($C150,IF($D150="",$C150,$D150))),COUNTIFS($A$2:$A$1001,$A150,$B$2:$B$1001,$B150)&gt;1),"INVALID",IFERROR(IF(IF(INDEX(Accounts!$T$2:$T$11,$F150),ROUND(IF($E150="",$C150,MIN($C150,$E150))-(H150),6)&lt;=0,ROUND(IF($E150="",$C150,MIN($C150,$E150))-(H150),6)&lt;0),"BREACHED","OK"),"INCOMPLETE")),"INVALID"))))</f>
        <v/>
      </c>
      <c r="J150" s="33">
        <f>IF(OR(I150="OK",I150="BREACHED"),-INT(ROUND(-(H150)*100,6))/100,I150)</f>
        <v/>
      </c>
    </row>
    <row r="151" ht="18" customHeight="1">
      <c r="A151" s="9" t="n"/>
      <c r="B151" s="32" t="n"/>
      <c r="C151" s="12" t="n"/>
      <c r="D151" s="12" t="n"/>
      <c r="E151" s="12" t="n"/>
      <c r="F151" s="15">
        <f>IFERROR(MATCH($A151,Accounts!$A$2:$A$11,0),"")</f>
        <v/>
      </c>
      <c r="G151" s="14">
        <f>IFERROR(IF(OR($A151="",$F151=""),"",IF(INDEX(Accounts!$P$2:$P$11,$F151)="static",INDEX(Accounts!$Q$2:$Q$11,$F151),IF(INDEX(Accounts!$P$2:$P$11,$F151)="eod_trailing",MAX(INDEX(Accounts!$Q$2:$Q$11,$F151),_xlfn.MAXIFS($C$2:$C$1001,$A$2:$A$1001,$A151,$B$2:$B$1001,"&lt;"&amp;$B151)),MAX(INDEX(Accounts!$Q$2:$Q$11,$F151),_xlfn.MAXIFS($C$2:$C$1001,$A$2:$A$1001,$A151,$B$2:$B$1001,"&lt;"&amp;$B151),_xlfn.MAXIFS($D$2:$D$1001,$A$2:$A$1001,$A151,$B$2:$B$1001,"&lt;="&amp;$B151),$C151)))),"")</f>
        <v/>
      </c>
      <c r="H151" s="15">
        <f>IFERROR(IF(G151="","",IF(INDEX(Accounts!$P$2:$P$11,$F151)="static",INDEX(Accounts!$Q$2:$Q$11,$F151)-INDEX(Accounts!$R$2:$R$11,$F151),IF(INDEX(Accounts!$S$2:$S$11,$F151)="NONE",G151-INDEX(Accounts!$R$2:$R$11,$F151),MIN(G151-INDEX(Accounts!$R$2:$R$11,$F151),INDEX(Accounts!$Q$2:$Q$11,$F151)+INDEX(Accounts!$S$2:$S$11,$F151))))),"")</f>
        <v/>
      </c>
      <c r="I151" s="16">
        <f>IF(AND($A151="",$B151="",$C151="",$D151="",$E151=""),"",IF(OR($A151="",$F151=""),"UNKNOWN_ACCOUNT",IF(OR($B151="",$C151=""),"INCOMPLETE",IFERROR(IF(OR(NOT(ISNUMBER($B151)),NOT(ISNUMBER($C151)),IF(C151="",FALSE,IF(ISNUMBER(C151),OR(C151&lt;=0,C151&gt;100000000,ROUND(C151*100,6)&lt;&gt;INT(ROUND(C151*100,6))),TRUE)),IF(D151="",FALSE,IF(ISNUMBER(D151),OR(D151&lt;=0,D151&gt;100000000,ROUND(D151*100,6)&lt;&gt;INT(ROUND(D151*100,6))),TRUE)),IF(E151="",FALSE,IF(ISNUMBER(E151),OR(E151&lt;=0,E151&gt;100000000,ROUND(E151*100,6)&lt;&gt;INT(ROUND(E151*100,6))),TRUE)),AND($D151&lt;&gt;"",$D151&lt;MAX($C151,$E151)),AND($E151&lt;&gt;"",$E151&gt;MIN($C151,IF($D151="",$C151,$D151))),COUNTIFS($A$2:$A$1001,$A151,$B$2:$B$1001,$B151)&gt;1),"INVALID",IFERROR(IF(IF(INDEX(Accounts!$T$2:$T$11,$F151),ROUND(IF($E151="",$C151,MIN($C151,$E151))-(H151),6)&lt;=0,ROUND(IF($E151="",$C151,MIN($C151,$E151))-(H151),6)&lt;0),"BREACHED","OK"),"INCOMPLETE")),"INVALID"))))</f>
        <v/>
      </c>
      <c r="J151" s="33">
        <f>IF(OR(I151="OK",I151="BREACHED"),-INT(ROUND(-(H151)*100,6))/100,I151)</f>
        <v/>
      </c>
    </row>
    <row r="152" ht="18" customHeight="1">
      <c r="A152" s="9" t="n"/>
      <c r="B152" s="32" t="n"/>
      <c r="C152" s="12" t="n"/>
      <c r="D152" s="12" t="n"/>
      <c r="E152" s="12" t="n"/>
      <c r="F152" s="15">
        <f>IFERROR(MATCH($A152,Accounts!$A$2:$A$11,0),"")</f>
        <v/>
      </c>
      <c r="G152" s="14">
        <f>IFERROR(IF(OR($A152="",$F152=""),"",IF(INDEX(Accounts!$P$2:$P$11,$F152)="static",INDEX(Accounts!$Q$2:$Q$11,$F152),IF(INDEX(Accounts!$P$2:$P$11,$F152)="eod_trailing",MAX(INDEX(Accounts!$Q$2:$Q$11,$F152),_xlfn.MAXIFS($C$2:$C$1001,$A$2:$A$1001,$A152,$B$2:$B$1001,"&lt;"&amp;$B152)),MAX(INDEX(Accounts!$Q$2:$Q$11,$F152),_xlfn.MAXIFS($C$2:$C$1001,$A$2:$A$1001,$A152,$B$2:$B$1001,"&lt;"&amp;$B152),_xlfn.MAXIFS($D$2:$D$1001,$A$2:$A$1001,$A152,$B$2:$B$1001,"&lt;="&amp;$B152),$C152)))),"")</f>
        <v/>
      </c>
      <c r="H152" s="15">
        <f>IFERROR(IF(G152="","",IF(INDEX(Accounts!$P$2:$P$11,$F152)="static",INDEX(Accounts!$Q$2:$Q$11,$F152)-INDEX(Accounts!$R$2:$R$11,$F152),IF(INDEX(Accounts!$S$2:$S$11,$F152)="NONE",G152-INDEX(Accounts!$R$2:$R$11,$F152),MIN(G152-INDEX(Accounts!$R$2:$R$11,$F152),INDEX(Accounts!$Q$2:$Q$11,$F152)+INDEX(Accounts!$S$2:$S$11,$F152))))),"")</f>
        <v/>
      </c>
      <c r="I152" s="16">
        <f>IF(AND($A152="",$B152="",$C152="",$D152="",$E152=""),"",IF(OR($A152="",$F152=""),"UNKNOWN_ACCOUNT",IF(OR($B152="",$C152=""),"INCOMPLETE",IFERROR(IF(OR(NOT(ISNUMBER($B152)),NOT(ISNUMBER($C152)),IF(C152="",FALSE,IF(ISNUMBER(C152),OR(C152&lt;=0,C152&gt;100000000,ROUND(C152*100,6)&lt;&gt;INT(ROUND(C152*100,6))),TRUE)),IF(D152="",FALSE,IF(ISNUMBER(D152),OR(D152&lt;=0,D152&gt;100000000,ROUND(D152*100,6)&lt;&gt;INT(ROUND(D152*100,6))),TRUE)),IF(E152="",FALSE,IF(ISNUMBER(E152),OR(E152&lt;=0,E152&gt;100000000,ROUND(E152*100,6)&lt;&gt;INT(ROUND(E152*100,6))),TRUE)),AND($D152&lt;&gt;"",$D152&lt;MAX($C152,$E152)),AND($E152&lt;&gt;"",$E152&gt;MIN($C152,IF($D152="",$C152,$D152))),COUNTIFS($A$2:$A$1001,$A152,$B$2:$B$1001,$B152)&gt;1),"INVALID",IFERROR(IF(IF(INDEX(Accounts!$T$2:$T$11,$F152),ROUND(IF($E152="",$C152,MIN($C152,$E152))-(H152),6)&lt;=0,ROUND(IF($E152="",$C152,MIN($C152,$E152))-(H152),6)&lt;0),"BREACHED","OK"),"INCOMPLETE")),"INVALID"))))</f>
        <v/>
      </c>
      <c r="J152" s="33">
        <f>IF(OR(I152="OK",I152="BREACHED"),-INT(ROUND(-(H152)*100,6))/100,I152)</f>
        <v/>
      </c>
    </row>
    <row r="153" ht="18" customHeight="1">
      <c r="A153" s="9" t="n"/>
      <c r="B153" s="32" t="n"/>
      <c r="C153" s="12" t="n"/>
      <c r="D153" s="12" t="n"/>
      <c r="E153" s="12" t="n"/>
      <c r="F153" s="15">
        <f>IFERROR(MATCH($A153,Accounts!$A$2:$A$11,0),"")</f>
        <v/>
      </c>
      <c r="G153" s="14">
        <f>IFERROR(IF(OR($A153="",$F153=""),"",IF(INDEX(Accounts!$P$2:$P$11,$F153)="static",INDEX(Accounts!$Q$2:$Q$11,$F153),IF(INDEX(Accounts!$P$2:$P$11,$F153)="eod_trailing",MAX(INDEX(Accounts!$Q$2:$Q$11,$F153),_xlfn.MAXIFS($C$2:$C$1001,$A$2:$A$1001,$A153,$B$2:$B$1001,"&lt;"&amp;$B153)),MAX(INDEX(Accounts!$Q$2:$Q$11,$F153),_xlfn.MAXIFS($C$2:$C$1001,$A$2:$A$1001,$A153,$B$2:$B$1001,"&lt;"&amp;$B153),_xlfn.MAXIFS($D$2:$D$1001,$A$2:$A$1001,$A153,$B$2:$B$1001,"&lt;="&amp;$B153),$C153)))),"")</f>
        <v/>
      </c>
      <c r="H153" s="15">
        <f>IFERROR(IF(G153="","",IF(INDEX(Accounts!$P$2:$P$11,$F153)="static",INDEX(Accounts!$Q$2:$Q$11,$F153)-INDEX(Accounts!$R$2:$R$11,$F153),IF(INDEX(Accounts!$S$2:$S$11,$F153)="NONE",G153-INDEX(Accounts!$R$2:$R$11,$F153),MIN(G153-INDEX(Accounts!$R$2:$R$11,$F153),INDEX(Accounts!$Q$2:$Q$11,$F153)+INDEX(Accounts!$S$2:$S$11,$F153))))),"")</f>
        <v/>
      </c>
      <c r="I153" s="16">
        <f>IF(AND($A153="",$B153="",$C153="",$D153="",$E153=""),"",IF(OR($A153="",$F153=""),"UNKNOWN_ACCOUNT",IF(OR($B153="",$C153=""),"INCOMPLETE",IFERROR(IF(OR(NOT(ISNUMBER($B153)),NOT(ISNUMBER($C153)),IF(C153="",FALSE,IF(ISNUMBER(C153),OR(C153&lt;=0,C153&gt;100000000,ROUND(C153*100,6)&lt;&gt;INT(ROUND(C153*100,6))),TRUE)),IF(D153="",FALSE,IF(ISNUMBER(D153),OR(D153&lt;=0,D153&gt;100000000,ROUND(D153*100,6)&lt;&gt;INT(ROUND(D153*100,6))),TRUE)),IF(E153="",FALSE,IF(ISNUMBER(E153),OR(E153&lt;=0,E153&gt;100000000,ROUND(E153*100,6)&lt;&gt;INT(ROUND(E153*100,6))),TRUE)),AND($D153&lt;&gt;"",$D153&lt;MAX($C153,$E153)),AND($E153&lt;&gt;"",$E153&gt;MIN($C153,IF($D153="",$C153,$D153))),COUNTIFS($A$2:$A$1001,$A153,$B$2:$B$1001,$B153)&gt;1),"INVALID",IFERROR(IF(IF(INDEX(Accounts!$T$2:$T$11,$F153),ROUND(IF($E153="",$C153,MIN($C153,$E153))-(H153),6)&lt;=0,ROUND(IF($E153="",$C153,MIN($C153,$E153))-(H153),6)&lt;0),"BREACHED","OK"),"INCOMPLETE")),"INVALID"))))</f>
        <v/>
      </c>
      <c r="J153" s="33">
        <f>IF(OR(I153="OK",I153="BREACHED"),-INT(ROUND(-(H153)*100,6))/100,I153)</f>
        <v/>
      </c>
    </row>
    <row r="154" ht="18" customHeight="1">
      <c r="A154" s="9" t="n"/>
      <c r="B154" s="32" t="n"/>
      <c r="C154" s="12" t="n"/>
      <c r="D154" s="12" t="n"/>
      <c r="E154" s="12" t="n"/>
      <c r="F154" s="15">
        <f>IFERROR(MATCH($A154,Accounts!$A$2:$A$11,0),"")</f>
        <v/>
      </c>
      <c r="G154" s="14">
        <f>IFERROR(IF(OR($A154="",$F154=""),"",IF(INDEX(Accounts!$P$2:$P$11,$F154)="static",INDEX(Accounts!$Q$2:$Q$11,$F154),IF(INDEX(Accounts!$P$2:$P$11,$F154)="eod_trailing",MAX(INDEX(Accounts!$Q$2:$Q$11,$F154),_xlfn.MAXIFS($C$2:$C$1001,$A$2:$A$1001,$A154,$B$2:$B$1001,"&lt;"&amp;$B154)),MAX(INDEX(Accounts!$Q$2:$Q$11,$F154),_xlfn.MAXIFS($C$2:$C$1001,$A$2:$A$1001,$A154,$B$2:$B$1001,"&lt;"&amp;$B154),_xlfn.MAXIFS($D$2:$D$1001,$A$2:$A$1001,$A154,$B$2:$B$1001,"&lt;="&amp;$B154),$C154)))),"")</f>
        <v/>
      </c>
      <c r="H154" s="15">
        <f>IFERROR(IF(G154="","",IF(INDEX(Accounts!$P$2:$P$11,$F154)="static",INDEX(Accounts!$Q$2:$Q$11,$F154)-INDEX(Accounts!$R$2:$R$11,$F154),IF(INDEX(Accounts!$S$2:$S$11,$F154)="NONE",G154-INDEX(Accounts!$R$2:$R$11,$F154),MIN(G154-INDEX(Accounts!$R$2:$R$11,$F154),INDEX(Accounts!$Q$2:$Q$11,$F154)+INDEX(Accounts!$S$2:$S$11,$F154))))),"")</f>
        <v/>
      </c>
      <c r="I154" s="16">
        <f>IF(AND($A154="",$B154="",$C154="",$D154="",$E154=""),"",IF(OR($A154="",$F154=""),"UNKNOWN_ACCOUNT",IF(OR($B154="",$C154=""),"INCOMPLETE",IFERROR(IF(OR(NOT(ISNUMBER($B154)),NOT(ISNUMBER($C154)),IF(C154="",FALSE,IF(ISNUMBER(C154),OR(C154&lt;=0,C154&gt;100000000,ROUND(C154*100,6)&lt;&gt;INT(ROUND(C154*100,6))),TRUE)),IF(D154="",FALSE,IF(ISNUMBER(D154),OR(D154&lt;=0,D154&gt;100000000,ROUND(D154*100,6)&lt;&gt;INT(ROUND(D154*100,6))),TRUE)),IF(E154="",FALSE,IF(ISNUMBER(E154),OR(E154&lt;=0,E154&gt;100000000,ROUND(E154*100,6)&lt;&gt;INT(ROUND(E154*100,6))),TRUE)),AND($D154&lt;&gt;"",$D154&lt;MAX($C154,$E154)),AND($E154&lt;&gt;"",$E154&gt;MIN($C154,IF($D154="",$C154,$D154))),COUNTIFS($A$2:$A$1001,$A154,$B$2:$B$1001,$B154)&gt;1),"INVALID",IFERROR(IF(IF(INDEX(Accounts!$T$2:$T$11,$F154),ROUND(IF($E154="",$C154,MIN($C154,$E154))-(H154),6)&lt;=0,ROUND(IF($E154="",$C154,MIN($C154,$E154))-(H154),6)&lt;0),"BREACHED","OK"),"INCOMPLETE")),"INVALID"))))</f>
        <v/>
      </c>
      <c r="J154" s="33">
        <f>IF(OR(I154="OK",I154="BREACHED"),-INT(ROUND(-(H154)*100,6))/100,I154)</f>
        <v/>
      </c>
    </row>
    <row r="155" ht="18" customHeight="1">
      <c r="A155" s="9" t="n"/>
      <c r="B155" s="32" t="n"/>
      <c r="C155" s="12" t="n"/>
      <c r="D155" s="12" t="n"/>
      <c r="E155" s="12" t="n"/>
      <c r="F155" s="15">
        <f>IFERROR(MATCH($A155,Accounts!$A$2:$A$11,0),"")</f>
        <v/>
      </c>
      <c r="G155" s="14">
        <f>IFERROR(IF(OR($A155="",$F155=""),"",IF(INDEX(Accounts!$P$2:$P$11,$F155)="static",INDEX(Accounts!$Q$2:$Q$11,$F155),IF(INDEX(Accounts!$P$2:$P$11,$F155)="eod_trailing",MAX(INDEX(Accounts!$Q$2:$Q$11,$F155),_xlfn.MAXIFS($C$2:$C$1001,$A$2:$A$1001,$A155,$B$2:$B$1001,"&lt;"&amp;$B155)),MAX(INDEX(Accounts!$Q$2:$Q$11,$F155),_xlfn.MAXIFS($C$2:$C$1001,$A$2:$A$1001,$A155,$B$2:$B$1001,"&lt;"&amp;$B155),_xlfn.MAXIFS($D$2:$D$1001,$A$2:$A$1001,$A155,$B$2:$B$1001,"&lt;="&amp;$B155),$C155)))),"")</f>
        <v/>
      </c>
      <c r="H155" s="15">
        <f>IFERROR(IF(G155="","",IF(INDEX(Accounts!$P$2:$P$11,$F155)="static",INDEX(Accounts!$Q$2:$Q$11,$F155)-INDEX(Accounts!$R$2:$R$11,$F155),IF(INDEX(Accounts!$S$2:$S$11,$F155)="NONE",G155-INDEX(Accounts!$R$2:$R$11,$F155),MIN(G155-INDEX(Accounts!$R$2:$R$11,$F155),INDEX(Accounts!$Q$2:$Q$11,$F155)+INDEX(Accounts!$S$2:$S$11,$F155))))),"")</f>
        <v/>
      </c>
      <c r="I155" s="16">
        <f>IF(AND($A155="",$B155="",$C155="",$D155="",$E155=""),"",IF(OR($A155="",$F155=""),"UNKNOWN_ACCOUNT",IF(OR($B155="",$C155=""),"INCOMPLETE",IFERROR(IF(OR(NOT(ISNUMBER($B155)),NOT(ISNUMBER($C155)),IF(C155="",FALSE,IF(ISNUMBER(C155),OR(C155&lt;=0,C155&gt;100000000,ROUND(C155*100,6)&lt;&gt;INT(ROUND(C155*100,6))),TRUE)),IF(D155="",FALSE,IF(ISNUMBER(D155),OR(D155&lt;=0,D155&gt;100000000,ROUND(D155*100,6)&lt;&gt;INT(ROUND(D155*100,6))),TRUE)),IF(E155="",FALSE,IF(ISNUMBER(E155),OR(E155&lt;=0,E155&gt;100000000,ROUND(E155*100,6)&lt;&gt;INT(ROUND(E155*100,6))),TRUE)),AND($D155&lt;&gt;"",$D155&lt;MAX($C155,$E155)),AND($E155&lt;&gt;"",$E155&gt;MIN($C155,IF($D155="",$C155,$D155))),COUNTIFS($A$2:$A$1001,$A155,$B$2:$B$1001,$B155)&gt;1),"INVALID",IFERROR(IF(IF(INDEX(Accounts!$T$2:$T$11,$F155),ROUND(IF($E155="",$C155,MIN($C155,$E155))-(H155),6)&lt;=0,ROUND(IF($E155="",$C155,MIN($C155,$E155))-(H155),6)&lt;0),"BREACHED","OK"),"INCOMPLETE")),"INVALID"))))</f>
        <v/>
      </c>
      <c r="J155" s="33">
        <f>IF(OR(I155="OK",I155="BREACHED"),-INT(ROUND(-(H155)*100,6))/100,I155)</f>
        <v/>
      </c>
    </row>
    <row r="156" ht="18" customHeight="1">
      <c r="A156" s="9" t="n"/>
      <c r="B156" s="32" t="n"/>
      <c r="C156" s="12" t="n"/>
      <c r="D156" s="12" t="n"/>
      <c r="E156" s="12" t="n"/>
      <c r="F156" s="15">
        <f>IFERROR(MATCH($A156,Accounts!$A$2:$A$11,0),"")</f>
        <v/>
      </c>
      <c r="G156" s="14">
        <f>IFERROR(IF(OR($A156="",$F156=""),"",IF(INDEX(Accounts!$P$2:$P$11,$F156)="static",INDEX(Accounts!$Q$2:$Q$11,$F156),IF(INDEX(Accounts!$P$2:$P$11,$F156)="eod_trailing",MAX(INDEX(Accounts!$Q$2:$Q$11,$F156),_xlfn.MAXIFS($C$2:$C$1001,$A$2:$A$1001,$A156,$B$2:$B$1001,"&lt;"&amp;$B156)),MAX(INDEX(Accounts!$Q$2:$Q$11,$F156),_xlfn.MAXIFS($C$2:$C$1001,$A$2:$A$1001,$A156,$B$2:$B$1001,"&lt;"&amp;$B156),_xlfn.MAXIFS($D$2:$D$1001,$A$2:$A$1001,$A156,$B$2:$B$1001,"&lt;="&amp;$B156),$C156)))),"")</f>
        <v/>
      </c>
      <c r="H156" s="15">
        <f>IFERROR(IF(G156="","",IF(INDEX(Accounts!$P$2:$P$11,$F156)="static",INDEX(Accounts!$Q$2:$Q$11,$F156)-INDEX(Accounts!$R$2:$R$11,$F156),IF(INDEX(Accounts!$S$2:$S$11,$F156)="NONE",G156-INDEX(Accounts!$R$2:$R$11,$F156),MIN(G156-INDEX(Accounts!$R$2:$R$11,$F156),INDEX(Accounts!$Q$2:$Q$11,$F156)+INDEX(Accounts!$S$2:$S$11,$F156))))),"")</f>
        <v/>
      </c>
      <c r="I156" s="16">
        <f>IF(AND($A156="",$B156="",$C156="",$D156="",$E156=""),"",IF(OR($A156="",$F156=""),"UNKNOWN_ACCOUNT",IF(OR($B156="",$C156=""),"INCOMPLETE",IFERROR(IF(OR(NOT(ISNUMBER($B156)),NOT(ISNUMBER($C156)),IF(C156="",FALSE,IF(ISNUMBER(C156),OR(C156&lt;=0,C156&gt;100000000,ROUND(C156*100,6)&lt;&gt;INT(ROUND(C156*100,6))),TRUE)),IF(D156="",FALSE,IF(ISNUMBER(D156),OR(D156&lt;=0,D156&gt;100000000,ROUND(D156*100,6)&lt;&gt;INT(ROUND(D156*100,6))),TRUE)),IF(E156="",FALSE,IF(ISNUMBER(E156),OR(E156&lt;=0,E156&gt;100000000,ROUND(E156*100,6)&lt;&gt;INT(ROUND(E156*100,6))),TRUE)),AND($D156&lt;&gt;"",$D156&lt;MAX($C156,$E156)),AND($E156&lt;&gt;"",$E156&gt;MIN($C156,IF($D156="",$C156,$D156))),COUNTIFS($A$2:$A$1001,$A156,$B$2:$B$1001,$B156)&gt;1),"INVALID",IFERROR(IF(IF(INDEX(Accounts!$T$2:$T$11,$F156),ROUND(IF($E156="",$C156,MIN($C156,$E156))-(H156),6)&lt;=0,ROUND(IF($E156="",$C156,MIN($C156,$E156))-(H156),6)&lt;0),"BREACHED","OK"),"INCOMPLETE")),"INVALID"))))</f>
        <v/>
      </c>
      <c r="J156" s="33">
        <f>IF(OR(I156="OK",I156="BREACHED"),-INT(ROUND(-(H156)*100,6))/100,I156)</f>
        <v/>
      </c>
    </row>
    <row r="157" ht="18" customHeight="1">
      <c r="A157" s="9" t="n"/>
      <c r="B157" s="32" t="n"/>
      <c r="C157" s="12" t="n"/>
      <c r="D157" s="12" t="n"/>
      <c r="E157" s="12" t="n"/>
      <c r="F157" s="15">
        <f>IFERROR(MATCH($A157,Accounts!$A$2:$A$11,0),"")</f>
        <v/>
      </c>
      <c r="G157" s="14">
        <f>IFERROR(IF(OR($A157="",$F157=""),"",IF(INDEX(Accounts!$P$2:$P$11,$F157)="static",INDEX(Accounts!$Q$2:$Q$11,$F157),IF(INDEX(Accounts!$P$2:$P$11,$F157)="eod_trailing",MAX(INDEX(Accounts!$Q$2:$Q$11,$F157),_xlfn.MAXIFS($C$2:$C$1001,$A$2:$A$1001,$A157,$B$2:$B$1001,"&lt;"&amp;$B157)),MAX(INDEX(Accounts!$Q$2:$Q$11,$F157),_xlfn.MAXIFS($C$2:$C$1001,$A$2:$A$1001,$A157,$B$2:$B$1001,"&lt;"&amp;$B157),_xlfn.MAXIFS($D$2:$D$1001,$A$2:$A$1001,$A157,$B$2:$B$1001,"&lt;="&amp;$B157),$C157)))),"")</f>
        <v/>
      </c>
      <c r="H157" s="15">
        <f>IFERROR(IF(G157="","",IF(INDEX(Accounts!$P$2:$P$11,$F157)="static",INDEX(Accounts!$Q$2:$Q$11,$F157)-INDEX(Accounts!$R$2:$R$11,$F157),IF(INDEX(Accounts!$S$2:$S$11,$F157)="NONE",G157-INDEX(Accounts!$R$2:$R$11,$F157),MIN(G157-INDEX(Accounts!$R$2:$R$11,$F157),INDEX(Accounts!$Q$2:$Q$11,$F157)+INDEX(Accounts!$S$2:$S$11,$F157))))),"")</f>
        <v/>
      </c>
      <c r="I157" s="16">
        <f>IF(AND($A157="",$B157="",$C157="",$D157="",$E157=""),"",IF(OR($A157="",$F157=""),"UNKNOWN_ACCOUNT",IF(OR($B157="",$C157=""),"INCOMPLETE",IFERROR(IF(OR(NOT(ISNUMBER($B157)),NOT(ISNUMBER($C157)),IF(C157="",FALSE,IF(ISNUMBER(C157),OR(C157&lt;=0,C157&gt;100000000,ROUND(C157*100,6)&lt;&gt;INT(ROUND(C157*100,6))),TRUE)),IF(D157="",FALSE,IF(ISNUMBER(D157),OR(D157&lt;=0,D157&gt;100000000,ROUND(D157*100,6)&lt;&gt;INT(ROUND(D157*100,6))),TRUE)),IF(E157="",FALSE,IF(ISNUMBER(E157),OR(E157&lt;=0,E157&gt;100000000,ROUND(E157*100,6)&lt;&gt;INT(ROUND(E157*100,6))),TRUE)),AND($D157&lt;&gt;"",$D157&lt;MAX($C157,$E157)),AND($E157&lt;&gt;"",$E157&gt;MIN($C157,IF($D157="",$C157,$D157))),COUNTIFS($A$2:$A$1001,$A157,$B$2:$B$1001,$B157)&gt;1),"INVALID",IFERROR(IF(IF(INDEX(Accounts!$T$2:$T$11,$F157),ROUND(IF($E157="",$C157,MIN($C157,$E157))-(H157),6)&lt;=0,ROUND(IF($E157="",$C157,MIN($C157,$E157))-(H157),6)&lt;0),"BREACHED","OK"),"INCOMPLETE")),"INVALID"))))</f>
        <v/>
      </c>
      <c r="J157" s="33">
        <f>IF(OR(I157="OK",I157="BREACHED"),-INT(ROUND(-(H157)*100,6))/100,I157)</f>
        <v/>
      </c>
    </row>
    <row r="158" ht="18" customHeight="1">
      <c r="A158" s="9" t="n"/>
      <c r="B158" s="32" t="n"/>
      <c r="C158" s="12" t="n"/>
      <c r="D158" s="12" t="n"/>
      <c r="E158" s="12" t="n"/>
      <c r="F158" s="15">
        <f>IFERROR(MATCH($A158,Accounts!$A$2:$A$11,0),"")</f>
        <v/>
      </c>
      <c r="G158" s="14">
        <f>IFERROR(IF(OR($A158="",$F158=""),"",IF(INDEX(Accounts!$P$2:$P$11,$F158)="static",INDEX(Accounts!$Q$2:$Q$11,$F158),IF(INDEX(Accounts!$P$2:$P$11,$F158)="eod_trailing",MAX(INDEX(Accounts!$Q$2:$Q$11,$F158),_xlfn.MAXIFS($C$2:$C$1001,$A$2:$A$1001,$A158,$B$2:$B$1001,"&lt;"&amp;$B158)),MAX(INDEX(Accounts!$Q$2:$Q$11,$F158),_xlfn.MAXIFS($C$2:$C$1001,$A$2:$A$1001,$A158,$B$2:$B$1001,"&lt;"&amp;$B158),_xlfn.MAXIFS($D$2:$D$1001,$A$2:$A$1001,$A158,$B$2:$B$1001,"&lt;="&amp;$B158),$C158)))),"")</f>
        <v/>
      </c>
      <c r="H158" s="15">
        <f>IFERROR(IF(G158="","",IF(INDEX(Accounts!$P$2:$P$11,$F158)="static",INDEX(Accounts!$Q$2:$Q$11,$F158)-INDEX(Accounts!$R$2:$R$11,$F158),IF(INDEX(Accounts!$S$2:$S$11,$F158)="NONE",G158-INDEX(Accounts!$R$2:$R$11,$F158),MIN(G158-INDEX(Accounts!$R$2:$R$11,$F158),INDEX(Accounts!$Q$2:$Q$11,$F158)+INDEX(Accounts!$S$2:$S$11,$F158))))),"")</f>
        <v/>
      </c>
      <c r="I158" s="16">
        <f>IF(AND($A158="",$B158="",$C158="",$D158="",$E158=""),"",IF(OR($A158="",$F158=""),"UNKNOWN_ACCOUNT",IF(OR($B158="",$C158=""),"INCOMPLETE",IFERROR(IF(OR(NOT(ISNUMBER($B158)),NOT(ISNUMBER($C158)),IF(C158="",FALSE,IF(ISNUMBER(C158),OR(C158&lt;=0,C158&gt;100000000,ROUND(C158*100,6)&lt;&gt;INT(ROUND(C158*100,6))),TRUE)),IF(D158="",FALSE,IF(ISNUMBER(D158),OR(D158&lt;=0,D158&gt;100000000,ROUND(D158*100,6)&lt;&gt;INT(ROUND(D158*100,6))),TRUE)),IF(E158="",FALSE,IF(ISNUMBER(E158),OR(E158&lt;=0,E158&gt;100000000,ROUND(E158*100,6)&lt;&gt;INT(ROUND(E158*100,6))),TRUE)),AND($D158&lt;&gt;"",$D158&lt;MAX($C158,$E158)),AND($E158&lt;&gt;"",$E158&gt;MIN($C158,IF($D158="",$C158,$D158))),COUNTIFS($A$2:$A$1001,$A158,$B$2:$B$1001,$B158)&gt;1),"INVALID",IFERROR(IF(IF(INDEX(Accounts!$T$2:$T$11,$F158),ROUND(IF($E158="",$C158,MIN($C158,$E158))-(H158),6)&lt;=0,ROUND(IF($E158="",$C158,MIN($C158,$E158))-(H158),6)&lt;0),"BREACHED","OK"),"INCOMPLETE")),"INVALID"))))</f>
        <v/>
      </c>
      <c r="J158" s="33">
        <f>IF(OR(I158="OK",I158="BREACHED"),-INT(ROUND(-(H158)*100,6))/100,I158)</f>
        <v/>
      </c>
    </row>
    <row r="159" ht="18" customHeight="1">
      <c r="A159" s="9" t="n"/>
      <c r="B159" s="32" t="n"/>
      <c r="C159" s="12" t="n"/>
      <c r="D159" s="12" t="n"/>
      <c r="E159" s="12" t="n"/>
      <c r="F159" s="15">
        <f>IFERROR(MATCH($A159,Accounts!$A$2:$A$11,0),"")</f>
        <v/>
      </c>
      <c r="G159" s="14">
        <f>IFERROR(IF(OR($A159="",$F159=""),"",IF(INDEX(Accounts!$P$2:$P$11,$F159)="static",INDEX(Accounts!$Q$2:$Q$11,$F159),IF(INDEX(Accounts!$P$2:$P$11,$F159)="eod_trailing",MAX(INDEX(Accounts!$Q$2:$Q$11,$F159),_xlfn.MAXIFS($C$2:$C$1001,$A$2:$A$1001,$A159,$B$2:$B$1001,"&lt;"&amp;$B159)),MAX(INDEX(Accounts!$Q$2:$Q$11,$F159),_xlfn.MAXIFS($C$2:$C$1001,$A$2:$A$1001,$A159,$B$2:$B$1001,"&lt;"&amp;$B159),_xlfn.MAXIFS($D$2:$D$1001,$A$2:$A$1001,$A159,$B$2:$B$1001,"&lt;="&amp;$B159),$C159)))),"")</f>
        <v/>
      </c>
      <c r="H159" s="15">
        <f>IFERROR(IF(G159="","",IF(INDEX(Accounts!$P$2:$P$11,$F159)="static",INDEX(Accounts!$Q$2:$Q$11,$F159)-INDEX(Accounts!$R$2:$R$11,$F159),IF(INDEX(Accounts!$S$2:$S$11,$F159)="NONE",G159-INDEX(Accounts!$R$2:$R$11,$F159),MIN(G159-INDEX(Accounts!$R$2:$R$11,$F159),INDEX(Accounts!$Q$2:$Q$11,$F159)+INDEX(Accounts!$S$2:$S$11,$F159))))),"")</f>
        <v/>
      </c>
      <c r="I159" s="16">
        <f>IF(AND($A159="",$B159="",$C159="",$D159="",$E159=""),"",IF(OR($A159="",$F159=""),"UNKNOWN_ACCOUNT",IF(OR($B159="",$C159=""),"INCOMPLETE",IFERROR(IF(OR(NOT(ISNUMBER($B159)),NOT(ISNUMBER($C159)),IF(C159="",FALSE,IF(ISNUMBER(C159),OR(C159&lt;=0,C159&gt;100000000,ROUND(C159*100,6)&lt;&gt;INT(ROUND(C159*100,6))),TRUE)),IF(D159="",FALSE,IF(ISNUMBER(D159),OR(D159&lt;=0,D159&gt;100000000,ROUND(D159*100,6)&lt;&gt;INT(ROUND(D159*100,6))),TRUE)),IF(E159="",FALSE,IF(ISNUMBER(E159),OR(E159&lt;=0,E159&gt;100000000,ROUND(E159*100,6)&lt;&gt;INT(ROUND(E159*100,6))),TRUE)),AND($D159&lt;&gt;"",$D159&lt;MAX($C159,$E159)),AND($E159&lt;&gt;"",$E159&gt;MIN($C159,IF($D159="",$C159,$D159))),COUNTIFS($A$2:$A$1001,$A159,$B$2:$B$1001,$B159)&gt;1),"INVALID",IFERROR(IF(IF(INDEX(Accounts!$T$2:$T$11,$F159),ROUND(IF($E159="",$C159,MIN($C159,$E159))-(H159),6)&lt;=0,ROUND(IF($E159="",$C159,MIN($C159,$E159))-(H159),6)&lt;0),"BREACHED","OK"),"INCOMPLETE")),"INVALID"))))</f>
        <v/>
      </c>
      <c r="J159" s="33">
        <f>IF(OR(I159="OK",I159="BREACHED"),-INT(ROUND(-(H159)*100,6))/100,I159)</f>
        <v/>
      </c>
    </row>
    <row r="160" ht="18" customHeight="1">
      <c r="A160" s="9" t="n"/>
      <c r="B160" s="32" t="n"/>
      <c r="C160" s="12" t="n"/>
      <c r="D160" s="12" t="n"/>
      <c r="E160" s="12" t="n"/>
      <c r="F160" s="15">
        <f>IFERROR(MATCH($A160,Accounts!$A$2:$A$11,0),"")</f>
        <v/>
      </c>
      <c r="G160" s="14">
        <f>IFERROR(IF(OR($A160="",$F160=""),"",IF(INDEX(Accounts!$P$2:$P$11,$F160)="static",INDEX(Accounts!$Q$2:$Q$11,$F160),IF(INDEX(Accounts!$P$2:$P$11,$F160)="eod_trailing",MAX(INDEX(Accounts!$Q$2:$Q$11,$F160),_xlfn.MAXIFS($C$2:$C$1001,$A$2:$A$1001,$A160,$B$2:$B$1001,"&lt;"&amp;$B160)),MAX(INDEX(Accounts!$Q$2:$Q$11,$F160),_xlfn.MAXIFS($C$2:$C$1001,$A$2:$A$1001,$A160,$B$2:$B$1001,"&lt;"&amp;$B160),_xlfn.MAXIFS($D$2:$D$1001,$A$2:$A$1001,$A160,$B$2:$B$1001,"&lt;="&amp;$B160),$C160)))),"")</f>
        <v/>
      </c>
      <c r="H160" s="15">
        <f>IFERROR(IF(G160="","",IF(INDEX(Accounts!$P$2:$P$11,$F160)="static",INDEX(Accounts!$Q$2:$Q$11,$F160)-INDEX(Accounts!$R$2:$R$11,$F160),IF(INDEX(Accounts!$S$2:$S$11,$F160)="NONE",G160-INDEX(Accounts!$R$2:$R$11,$F160),MIN(G160-INDEX(Accounts!$R$2:$R$11,$F160),INDEX(Accounts!$Q$2:$Q$11,$F160)+INDEX(Accounts!$S$2:$S$11,$F160))))),"")</f>
        <v/>
      </c>
      <c r="I160" s="16">
        <f>IF(AND($A160="",$B160="",$C160="",$D160="",$E160=""),"",IF(OR($A160="",$F160=""),"UNKNOWN_ACCOUNT",IF(OR($B160="",$C160=""),"INCOMPLETE",IFERROR(IF(OR(NOT(ISNUMBER($B160)),NOT(ISNUMBER($C160)),IF(C160="",FALSE,IF(ISNUMBER(C160),OR(C160&lt;=0,C160&gt;100000000,ROUND(C160*100,6)&lt;&gt;INT(ROUND(C160*100,6))),TRUE)),IF(D160="",FALSE,IF(ISNUMBER(D160),OR(D160&lt;=0,D160&gt;100000000,ROUND(D160*100,6)&lt;&gt;INT(ROUND(D160*100,6))),TRUE)),IF(E160="",FALSE,IF(ISNUMBER(E160),OR(E160&lt;=0,E160&gt;100000000,ROUND(E160*100,6)&lt;&gt;INT(ROUND(E160*100,6))),TRUE)),AND($D160&lt;&gt;"",$D160&lt;MAX($C160,$E160)),AND($E160&lt;&gt;"",$E160&gt;MIN($C160,IF($D160="",$C160,$D160))),COUNTIFS($A$2:$A$1001,$A160,$B$2:$B$1001,$B160)&gt;1),"INVALID",IFERROR(IF(IF(INDEX(Accounts!$T$2:$T$11,$F160),ROUND(IF($E160="",$C160,MIN($C160,$E160))-(H160),6)&lt;=0,ROUND(IF($E160="",$C160,MIN($C160,$E160))-(H160),6)&lt;0),"BREACHED","OK"),"INCOMPLETE")),"INVALID"))))</f>
        <v/>
      </c>
      <c r="J160" s="33">
        <f>IF(OR(I160="OK",I160="BREACHED"),-INT(ROUND(-(H160)*100,6))/100,I160)</f>
        <v/>
      </c>
    </row>
    <row r="161" ht="18" customHeight="1">
      <c r="A161" s="9" t="n"/>
      <c r="B161" s="32" t="n"/>
      <c r="C161" s="12" t="n"/>
      <c r="D161" s="12" t="n"/>
      <c r="E161" s="12" t="n"/>
      <c r="F161" s="15">
        <f>IFERROR(MATCH($A161,Accounts!$A$2:$A$11,0),"")</f>
        <v/>
      </c>
      <c r="G161" s="14">
        <f>IFERROR(IF(OR($A161="",$F161=""),"",IF(INDEX(Accounts!$P$2:$P$11,$F161)="static",INDEX(Accounts!$Q$2:$Q$11,$F161),IF(INDEX(Accounts!$P$2:$P$11,$F161)="eod_trailing",MAX(INDEX(Accounts!$Q$2:$Q$11,$F161),_xlfn.MAXIFS($C$2:$C$1001,$A$2:$A$1001,$A161,$B$2:$B$1001,"&lt;"&amp;$B161)),MAX(INDEX(Accounts!$Q$2:$Q$11,$F161),_xlfn.MAXIFS($C$2:$C$1001,$A$2:$A$1001,$A161,$B$2:$B$1001,"&lt;"&amp;$B161),_xlfn.MAXIFS($D$2:$D$1001,$A$2:$A$1001,$A161,$B$2:$B$1001,"&lt;="&amp;$B161),$C161)))),"")</f>
        <v/>
      </c>
      <c r="H161" s="15">
        <f>IFERROR(IF(G161="","",IF(INDEX(Accounts!$P$2:$P$11,$F161)="static",INDEX(Accounts!$Q$2:$Q$11,$F161)-INDEX(Accounts!$R$2:$R$11,$F161),IF(INDEX(Accounts!$S$2:$S$11,$F161)="NONE",G161-INDEX(Accounts!$R$2:$R$11,$F161),MIN(G161-INDEX(Accounts!$R$2:$R$11,$F161),INDEX(Accounts!$Q$2:$Q$11,$F161)+INDEX(Accounts!$S$2:$S$11,$F161))))),"")</f>
        <v/>
      </c>
      <c r="I161" s="16">
        <f>IF(AND($A161="",$B161="",$C161="",$D161="",$E161=""),"",IF(OR($A161="",$F161=""),"UNKNOWN_ACCOUNT",IF(OR($B161="",$C161=""),"INCOMPLETE",IFERROR(IF(OR(NOT(ISNUMBER($B161)),NOT(ISNUMBER($C161)),IF(C161="",FALSE,IF(ISNUMBER(C161),OR(C161&lt;=0,C161&gt;100000000,ROUND(C161*100,6)&lt;&gt;INT(ROUND(C161*100,6))),TRUE)),IF(D161="",FALSE,IF(ISNUMBER(D161),OR(D161&lt;=0,D161&gt;100000000,ROUND(D161*100,6)&lt;&gt;INT(ROUND(D161*100,6))),TRUE)),IF(E161="",FALSE,IF(ISNUMBER(E161),OR(E161&lt;=0,E161&gt;100000000,ROUND(E161*100,6)&lt;&gt;INT(ROUND(E161*100,6))),TRUE)),AND($D161&lt;&gt;"",$D161&lt;MAX($C161,$E161)),AND($E161&lt;&gt;"",$E161&gt;MIN($C161,IF($D161="",$C161,$D161))),COUNTIFS($A$2:$A$1001,$A161,$B$2:$B$1001,$B161)&gt;1),"INVALID",IFERROR(IF(IF(INDEX(Accounts!$T$2:$T$11,$F161),ROUND(IF($E161="",$C161,MIN($C161,$E161))-(H161),6)&lt;=0,ROUND(IF($E161="",$C161,MIN($C161,$E161))-(H161),6)&lt;0),"BREACHED","OK"),"INCOMPLETE")),"INVALID"))))</f>
        <v/>
      </c>
      <c r="J161" s="33">
        <f>IF(OR(I161="OK",I161="BREACHED"),-INT(ROUND(-(H161)*100,6))/100,I161)</f>
        <v/>
      </c>
    </row>
    <row r="162" ht="18" customHeight="1">
      <c r="A162" s="9" t="n"/>
      <c r="B162" s="32" t="n"/>
      <c r="C162" s="12" t="n"/>
      <c r="D162" s="12" t="n"/>
      <c r="E162" s="12" t="n"/>
      <c r="F162" s="15">
        <f>IFERROR(MATCH($A162,Accounts!$A$2:$A$11,0),"")</f>
        <v/>
      </c>
      <c r="G162" s="14">
        <f>IFERROR(IF(OR($A162="",$F162=""),"",IF(INDEX(Accounts!$P$2:$P$11,$F162)="static",INDEX(Accounts!$Q$2:$Q$11,$F162),IF(INDEX(Accounts!$P$2:$P$11,$F162)="eod_trailing",MAX(INDEX(Accounts!$Q$2:$Q$11,$F162),_xlfn.MAXIFS($C$2:$C$1001,$A$2:$A$1001,$A162,$B$2:$B$1001,"&lt;"&amp;$B162)),MAX(INDEX(Accounts!$Q$2:$Q$11,$F162),_xlfn.MAXIFS($C$2:$C$1001,$A$2:$A$1001,$A162,$B$2:$B$1001,"&lt;"&amp;$B162),_xlfn.MAXIFS($D$2:$D$1001,$A$2:$A$1001,$A162,$B$2:$B$1001,"&lt;="&amp;$B162),$C162)))),"")</f>
        <v/>
      </c>
      <c r="H162" s="15">
        <f>IFERROR(IF(G162="","",IF(INDEX(Accounts!$P$2:$P$11,$F162)="static",INDEX(Accounts!$Q$2:$Q$11,$F162)-INDEX(Accounts!$R$2:$R$11,$F162),IF(INDEX(Accounts!$S$2:$S$11,$F162)="NONE",G162-INDEX(Accounts!$R$2:$R$11,$F162),MIN(G162-INDEX(Accounts!$R$2:$R$11,$F162),INDEX(Accounts!$Q$2:$Q$11,$F162)+INDEX(Accounts!$S$2:$S$11,$F162))))),"")</f>
        <v/>
      </c>
      <c r="I162" s="16">
        <f>IF(AND($A162="",$B162="",$C162="",$D162="",$E162=""),"",IF(OR($A162="",$F162=""),"UNKNOWN_ACCOUNT",IF(OR($B162="",$C162=""),"INCOMPLETE",IFERROR(IF(OR(NOT(ISNUMBER($B162)),NOT(ISNUMBER($C162)),IF(C162="",FALSE,IF(ISNUMBER(C162),OR(C162&lt;=0,C162&gt;100000000,ROUND(C162*100,6)&lt;&gt;INT(ROUND(C162*100,6))),TRUE)),IF(D162="",FALSE,IF(ISNUMBER(D162),OR(D162&lt;=0,D162&gt;100000000,ROUND(D162*100,6)&lt;&gt;INT(ROUND(D162*100,6))),TRUE)),IF(E162="",FALSE,IF(ISNUMBER(E162),OR(E162&lt;=0,E162&gt;100000000,ROUND(E162*100,6)&lt;&gt;INT(ROUND(E162*100,6))),TRUE)),AND($D162&lt;&gt;"",$D162&lt;MAX($C162,$E162)),AND($E162&lt;&gt;"",$E162&gt;MIN($C162,IF($D162="",$C162,$D162))),COUNTIFS($A$2:$A$1001,$A162,$B$2:$B$1001,$B162)&gt;1),"INVALID",IFERROR(IF(IF(INDEX(Accounts!$T$2:$T$11,$F162),ROUND(IF($E162="",$C162,MIN($C162,$E162))-(H162),6)&lt;=0,ROUND(IF($E162="",$C162,MIN($C162,$E162))-(H162),6)&lt;0),"BREACHED","OK"),"INCOMPLETE")),"INVALID"))))</f>
        <v/>
      </c>
      <c r="J162" s="33">
        <f>IF(OR(I162="OK",I162="BREACHED"),-INT(ROUND(-(H162)*100,6))/100,I162)</f>
        <v/>
      </c>
    </row>
    <row r="163" ht="18" customHeight="1">
      <c r="A163" s="9" t="n"/>
      <c r="B163" s="32" t="n"/>
      <c r="C163" s="12" t="n"/>
      <c r="D163" s="12" t="n"/>
      <c r="E163" s="12" t="n"/>
      <c r="F163" s="15">
        <f>IFERROR(MATCH($A163,Accounts!$A$2:$A$11,0),"")</f>
        <v/>
      </c>
      <c r="G163" s="14">
        <f>IFERROR(IF(OR($A163="",$F163=""),"",IF(INDEX(Accounts!$P$2:$P$11,$F163)="static",INDEX(Accounts!$Q$2:$Q$11,$F163),IF(INDEX(Accounts!$P$2:$P$11,$F163)="eod_trailing",MAX(INDEX(Accounts!$Q$2:$Q$11,$F163),_xlfn.MAXIFS($C$2:$C$1001,$A$2:$A$1001,$A163,$B$2:$B$1001,"&lt;"&amp;$B163)),MAX(INDEX(Accounts!$Q$2:$Q$11,$F163),_xlfn.MAXIFS($C$2:$C$1001,$A$2:$A$1001,$A163,$B$2:$B$1001,"&lt;"&amp;$B163),_xlfn.MAXIFS($D$2:$D$1001,$A$2:$A$1001,$A163,$B$2:$B$1001,"&lt;="&amp;$B163),$C163)))),"")</f>
        <v/>
      </c>
      <c r="H163" s="15">
        <f>IFERROR(IF(G163="","",IF(INDEX(Accounts!$P$2:$P$11,$F163)="static",INDEX(Accounts!$Q$2:$Q$11,$F163)-INDEX(Accounts!$R$2:$R$11,$F163),IF(INDEX(Accounts!$S$2:$S$11,$F163)="NONE",G163-INDEX(Accounts!$R$2:$R$11,$F163),MIN(G163-INDEX(Accounts!$R$2:$R$11,$F163),INDEX(Accounts!$Q$2:$Q$11,$F163)+INDEX(Accounts!$S$2:$S$11,$F163))))),"")</f>
        <v/>
      </c>
      <c r="I163" s="16">
        <f>IF(AND($A163="",$B163="",$C163="",$D163="",$E163=""),"",IF(OR($A163="",$F163=""),"UNKNOWN_ACCOUNT",IF(OR($B163="",$C163=""),"INCOMPLETE",IFERROR(IF(OR(NOT(ISNUMBER($B163)),NOT(ISNUMBER($C163)),IF(C163="",FALSE,IF(ISNUMBER(C163),OR(C163&lt;=0,C163&gt;100000000,ROUND(C163*100,6)&lt;&gt;INT(ROUND(C163*100,6))),TRUE)),IF(D163="",FALSE,IF(ISNUMBER(D163),OR(D163&lt;=0,D163&gt;100000000,ROUND(D163*100,6)&lt;&gt;INT(ROUND(D163*100,6))),TRUE)),IF(E163="",FALSE,IF(ISNUMBER(E163),OR(E163&lt;=0,E163&gt;100000000,ROUND(E163*100,6)&lt;&gt;INT(ROUND(E163*100,6))),TRUE)),AND($D163&lt;&gt;"",$D163&lt;MAX($C163,$E163)),AND($E163&lt;&gt;"",$E163&gt;MIN($C163,IF($D163="",$C163,$D163))),COUNTIFS($A$2:$A$1001,$A163,$B$2:$B$1001,$B163)&gt;1),"INVALID",IFERROR(IF(IF(INDEX(Accounts!$T$2:$T$11,$F163),ROUND(IF($E163="",$C163,MIN($C163,$E163))-(H163),6)&lt;=0,ROUND(IF($E163="",$C163,MIN($C163,$E163))-(H163),6)&lt;0),"BREACHED","OK"),"INCOMPLETE")),"INVALID"))))</f>
        <v/>
      </c>
      <c r="J163" s="33">
        <f>IF(OR(I163="OK",I163="BREACHED"),-INT(ROUND(-(H163)*100,6))/100,I163)</f>
        <v/>
      </c>
    </row>
    <row r="164" ht="18" customHeight="1">
      <c r="A164" s="9" t="n"/>
      <c r="B164" s="32" t="n"/>
      <c r="C164" s="12" t="n"/>
      <c r="D164" s="12" t="n"/>
      <c r="E164" s="12" t="n"/>
      <c r="F164" s="15">
        <f>IFERROR(MATCH($A164,Accounts!$A$2:$A$11,0),"")</f>
        <v/>
      </c>
      <c r="G164" s="14">
        <f>IFERROR(IF(OR($A164="",$F164=""),"",IF(INDEX(Accounts!$P$2:$P$11,$F164)="static",INDEX(Accounts!$Q$2:$Q$11,$F164),IF(INDEX(Accounts!$P$2:$P$11,$F164)="eod_trailing",MAX(INDEX(Accounts!$Q$2:$Q$11,$F164),_xlfn.MAXIFS($C$2:$C$1001,$A$2:$A$1001,$A164,$B$2:$B$1001,"&lt;"&amp;$B164)),MAX(INDEX(Accounts!$Q$2:$Q$11,$F164),_xlfn.MAXIFS($C$2:$C$1001,$A$2:$A$1001,$A164,$B$2:$B$1001,"&lt;"&amp;$B164),_xlfn.MAXIFS($D$2:$D$1001,$A$2:$A$1001,$A164,$B$2:$B$1001,"&lt;="&amp;$B164),$C164)))),"")</f>
        <v/>
      </c>
      <c r="H164" s="15">
        <f>IFERROR(IF(G164="","",IF(INDEX(Accounts!$P$2:$P$11,$F164)="static",INDEX(Accounts!$Q$2:$Q$11,$F164)-INDEX(Accounts!$R$2:$R$11,$F164),IF(INDEX(Accounts!$S$2:$S$11,$F164)="NONE",G164-INDEX(Accounts!$R$2:$R$11,$F164),MIN(G164-INDEX(Accounts!$R$2:$R$11,$F164),INDEX(Accounts!$Q$2:$Q$11,$F164)+INDEX(Accounts!$S$2:$S$11,$F164))))),"")</f>
        <v/>
      </c>
      <c r="I164" s="16">
        <f>IF(AND($A164="",$B164="",$C164="",$D164="",$E164=""),"",IF(OR($A164="",$F164=""),"UNKNOWN_ACCOUNT",IF(OR($B164="",$C164=""),"INCOMPLETE",IFERROR(IF(OR(NOT(ISNUMBER($B164)),NOT(ISNUMBER($C164)),IF(C164="",FALSE,IF(ISNUMBER(C164),OR(C164&lt;=0,C164&gt;100000000,ROUND(C164*100,6)&lt;&gt;INT(ROUND(C164*100,6))),TRUE)),IF(D164="",FALSE,IF(ISNUMBER(D164),OR(D164&lt;=0,D164&gt;100000000,ROUND(D164*100,6)&lt;&gt;INT(ROUND(D164*100,6))),TRUE)),IF(E164="",FALSE,IF(ISNUMBER(E164),OR(E164&lt;=0,E164&gt;100000000,ROUND(E164*100,6)&lt;&gt;INT(ROUND(E164*100,6))),TRUE)),AND($D164&lt;&gt;"",$D164&lt;MAX($C164,$E164)),AND($E164&lt;&gt;"",$E164&gt;MIN($C164,IF($D164="",$C164,$D164))),COUNTIFS($A$2:$A$1001,$A164,$B$2:$B$1001,$B164)&gt;1),"INVALID",IFERROR(IF(IF(INDEX(Accounts!$T$2:$T$11,$F164),ROUND(IF($E164="",$C164,MIN($C164,$E164))-(H164),6)&lt;=0,ROUND(IF($E164="",$C164,MIN($C164,$E164))-(H164),6)&lt;0),"BREACHED","OK"),"INCOMPLETE")),"INVALID"))))</f>
        <v/>
      </c>
      <c r="J164" s="33">
        <f>IF(OR(I164="OK",I164="BREACHED"),-INT(ROUND(-(H164)*100,6))/100,I164)</f>
        <v/>
      </c>
    </row>
    <row r="165" ht="18" customHeight="1">
      <c r="A165" s="9" t="n"/>
      <c r="B165" s="32" t="n"/>
      <c r="C165" s="12" t="n"/>
      <c r="D165" s="12" t="n"/>
      <c r="E165" s="12" t="n"/>
      <c r="F165" s="15">
        <f>IFERROR(MATCH($A165,Accounts!$A$2:$A$11,0),"")</f>
        <v/>
      </c>
      <c r="G165" s="14">
        <f>IFERROR(IF(OR($A165="",$F165=""),"",IF(INDEX(Accounts!$P$2:$P$11,$F165)="static",INDEX(Accounts!$Q$2:$Q$11,$F165),IF(INDEX(Accounts!$P$2:$P$11,$F165)="eod_trailing",MAX(INDEX(Accounts!$Q$2:$Q$11,$F165),_xlfn.MAXIFS($C$2:$C$1001,$A$2:$A$1001,$A165,$B$2:$B$1001,"&lt;"&amp;$B165)),MAX(INDEX(Accounts!$Q$2:$Q$11,$F165),_xlfn.MAXIFS($C$2:$C$1001,$A$2:$A$1001,$A165,$B$2:$B$1001,"&lt;"&amp;$B165),_xlfn.MAXIFS($D$2:$D$1001,$A$2:$A$1001,$A165,$B$2:$B$1001,"&lt;="&amp;$B165),$C165)))),"")</f>
        <v/>
      </c>
      <c r="H165" s="15">
        <f>IFERROR(IF(G165="","",IF(INDEX(Accounts!$P$2:$P$11,$F165)="static",INDEX(Accounts!$Q$2:$Q$11,$F165)-INDEX(Accounts!$R$2:$R$11,$F165),IF(INDEX(Accounts!$S$2:$S$11,$F165)="NONE",G165-INDEX(Accounts!$R$2:$R$11,$F165),MIN(G165-INDEX(Accounts!$R$2:$R$11,$F165),INDEX(Accounts!$Q$2:$Q$11,$F165)+INDEX(Accounts!$S$2:$S$11,$F165))))),"")</f>
        <v/>
      </c>
      <c r="I165" s="16">
        <f>IF(AND($A165="",$B165="",$C165="",$D165="",$E165=""),"",IF(OR($A165="",$F165=""),"UNKNOWN_ACCOUNT",IF(OR($B165="",$C165=""),"INCOMPLETE",IFERROR(IF(OR(NOT(ISNUMBER($B165)),NOT(ISNUMBER($C165)),IF(C165="",FALSE,IF(ISNUMBER(C165),OR(C165&lt;=0,C165&gt;100000000,ROUND(C165*100,6)&lt;&gt;INT(ROUND(C165*100,6))),TRUE)),IF(D165="",FALSE,IF(ISNUMBER(D165),OR(D165&lt;=0,D165&gt;100000000,ROUND(D165*100,6)&lt;&gt;INT(ROUND(D165*100,6))),TRUE)),IF(E165="",FALSE,IF(ISNUMBER(E165),OR(E165&lt;=0,E165&gt;100000000,ROUND(E165*100,6)&lt;&gt;INT(ROUND(E165*100,6))),TRUE)),AND($D165&lt;&gt;"",$D165&lt;MAX($C165,$E165)),AND($E165&lt;&gt;"",$E165&gt;MIN($C165,IF($D165="",$C165,$D165))),COUNTIFS($A$2:$A$1001,$A165,$B$2:$B$1001,$B165)&gt;1),"INVALID",IFERROR(IF(IF(INDEX(Accounts!$T$2:$T$11,$F165),ROUND(IF($E165="",$C165,MIN($C165,$E165))-(H165),6)&lt;=0,ROUND(IF($E165="",$C165,MIN($C165,$E165))-(H165),6)&lt;0),"BREACHED","OK"),"INCOMPLETE")),"INVALID"))))</f>
        <v/>
      </c>
      <c r="J165" s="33">
        <f>IF(OR(I165="OK",I165="BREACHED"),-INT(ROUND(-(H165)*100,6))/100,I165)</f>
        <v/>
      </c>
    </row>
    <row r="166" ht="18" customHeight="1">
      <c r="A166" s="9" t="n"/>
      <c r="B166" s="32" t="n"/>
      <c r="C166" s="12" t="n"/>
      <c r="D166" s="12" t="n"/>
      <c r="E166" s="12" t="n"/>
      <c r="F166" s="15">
        <f>IFERROR(MATCH($A166,Accounts!$A$2:$A$11,0),"")</f>
        <v/>
      </c>
      <c r="G166" s="14">
        <f>IFERROR(IF(OR($A166="",$F166=""),"",IF(INDEX(Accounts!$P$2:$P$11,$F166)="static",INDEX(Accounts!$Q$2:$Q$11,$F166),IF(INDEX(Accounts!$P$2:$P$11,$F166)="eod_trailing",MAX(INDEX(Accounts!$Q$2:$Q$11,$F166),_xlfn.MAXIFS($C$2:$C$1001,$A$2:$A$1001,$A166,$B$2:$B$1001,"&lt;"&amp;$B166)),MAX(INDEX(Accounts!$Q$2:$Q$11,$F166),_xlfn.MAXIFS($C$2:$C$1001,$A$2:$A$1001,$A166,$B$2:$B$1001,"&lt;"&amp;$B166),_xlfn.MAXIFS($D$2:$D$1001,$A$2:$A$1001,$A166,$B$2:$B$1001,"&lt;="&amp;$B166),$C166)))),"")</f>
        <v/>
      </c>
      <c r="H166" s="15">
        <f>IFERROR(IF(G166="","",IF(INDEX(Accounts!$P$2:$P$11,$F166)="static",INDEX(Accounts!$Q$2:$Q$11,$F166)-INDEX(Accounts!$R$2:$R$11,$F166),IF(INDEX(Accounts!$S$2:$S$11,$F166)="NONE",G166-INDEX(Accounts!$R$2:$R$11,$F166),MIN(G166-INDEX(Accounts!$R$2:$R$11,$F166),INDEX(Accounts!$Q$2:$Q$11,$F166)+INDEX(Accounts!$S$2:$S$11,$F166))))),"")</f>
        <v/>
      </c>
      <c r="I166" s="16">
        <f>IF(AND($A166="",$B166="",$C166="",$D166="",$E166=""),"",IF(OR($A166="",$F166=""),"UNKNOWN_ACCOUNT",IF(OR($B166="",$C166=""),"INCOMPLETE",IFERROR(IF(OR(NOT(ISNUMBER($B166)),NOT(ISNUMBER($C166)),IF(C166="",FALSE,IF(ISNUMBER(C166),OR(C166&lt;=0,C166&gt;100000000,ROUND(C166*100,6)&lt;&gt;INT(ROUND(C166*100,6))),TRUE)),IF(D166="",FALSE,IF(ISNUMBER(D166),OR(D166&lt;=0,D166&gt;100000000,ROUND(D166*100,6)&lt;&gt;INT(ROUND(D166*100,6))),TRUE)),IF(E166="",FALSE,IF(ISNUMBER(E166),OR(E166&lt;=0,E166&gt;100000000,ROUND(E166*100,6)&lt;&gt;INT(ROUND(E166*100,6))),TRUE)),AND($D166&lt;&gt;"",$D166&lt;MAX($C166,$E166)),AND($E166&lt;&gt;"",$E166&gt;MIN($C166,IF($D166="",$C166,$D166))),COUNTIFS($A$2:$A$1001,$A166,$B$2:$B$1001,$B166)&gt;1),"INVALID",IFERROR(IF(IF(INDEX(Accounts!$T$2:$T$11,$F166),ROUND(IF($E166="",$C166,MIN($C166,$E166))-(H166),6)&lt;=0,ROUND(IF($E166="",$C166,MIN($C166,$E166))-(H166),6)&lt;0),"BREACHED","OK"),"INCOMPLETE")),"INVALID"))))</f>
        <v/>
      </c>
      <c r="J166" s="33">
        <f>IF(OR(I166="OK",I166="BREACHED"),-INT(ROUND(-(H166)*100,6))/100,I166)</f>
        <v/>
      </c>
    </row>
    <row r="167" ht="18" customHeight="1">
      <c r="A167" s="9" t="n"/>
      <c r="B167" s="32" t="n"/>
      <c r="C167" s="12" t="n"/>
      <c r="D167" s="12" t="n"/>
      <c r="E167" s="12" t="n"/>
      <c r="F167" s="15">
        <f>IFERROR(MATCH($A167,Accounts!$A$2:$A$11,0),"")</f>
        <v/>
      </c>
      <c r="G167" s="14">
        <f>IFERROR(IF(OR($A167="",$F167=""),"",IF(INDEX(Accounts!$P$2:$P$11,$F167)="static",INDEX(Accounts!$Q$2:$Q$11,$F167),IF(INDEX(Accounts!$P$2:$P$11,$F167)="eod_trailing",MAX(INDEX(Accounts!$Q$2:$Q$11,$F167),_xlfn.MAXIFS($C$2:$C$1001,$A$2:$A$1001,$A167,$B$2:$B$1001,"&lt;"&amp;$B167)),MAX(INDEX(Accounts!$Q$2:$Q$11,$F167),_xlfn.MAXIFS($C$2:$C$1001,$A$2:$A$1001,$A167,$B$2:$B$1001,"&lt;"&amp;$B167),_xlfn.MAXIFS($D$2:$D$1001,$A$2:$A$1001,$A167,$B$2:$B$1001,"&lt;="&amp;$B167),$C167)))),"")</f>
        <v/>
      </c>
      <c r="H167" s="15">
        <f>IFERROR(IF(G167="","",IF(INDEX(Accounts!$P$2:$P$11,$F167)="static",INDEX(Accounts!$Q$2:$Q$11,$F167)-INDEX(Accounts!$R$2:$R$11,$F167),IF(INDEX(Accounts!$S$2:$S$11,$F167)="NONE",G167-INDEX(Accounts!$R$2:$R$11,$F167),MIN(G167-INDEX(Accounts!$R$2:$R$11,$F167),INDEX(Accounts!$Q$2:$Q$11,$F167)+INDEX(Accounts!$S$2:$S$11,$F167))))),"")</f>
        <v/>
      </c>
      <c r="I167" s="16">
        <f>IF(AND($A167="",$B167="",$C167="",$D167="",$E167=""),"",IF(OR($A167="",$F167=""),"UNKNOWN_ACCOUNT",IF(OR($B167="",$C167=""),"INCOMPLETE",IFERROR(IF(OR(NOT(ISNUMBER($B167)),NOT(ISNUMBER($C167)),IF(C167="",FALSE,IF(ISNUMBER(C167),OR(C167&lt;=0,C167&gt;100000000,ROUND(C167*100,6)&lt;&gt;INT(ROUND(C167*100,6))),TRUE)),IF(D167="",FALSE,IF(ISNUMBER(D167),OR(D167&lt;=0,D167&gt;100000000,ROUND(D167*100,6)&lt;&gt;INT(ROUND(D167*100,6))),TRUE)),IF(E167="",FALSE,IF(ISNUMBER(E167),OR(E167&lt;=0,E167&gt;100000000,ROUND(E167*100,6)&lt;&gt;INT(ROUND(E167*100,6))),TRUE)),AND($D167&lt;&gt;"",$D167&lt;MAX($C167,$E167)),AND($E167&lt;&gt;"",$E167&gt;MIN($C167,IF($D167="",$C167,$D167))),COUNTIFS($A$2:$A$1001,$A167,$B$2:$B$1001,$B167)&gt;1),"INVALID",IFERROR(IF(IF(INDEX(Accounts!$T$2:$T$11,$F167),ROUND(IF($E167="",$C167,MIN($C167,$E167))-(H167),6)&lt;=0,ROUND(IF($E167="",$C167,MIN($C167,$E167))-(H167),6)&lt;0),"BREACHED","OK"),"INCOMPLETE")),"INVALID"))))</f>
        <v/>
      </c>
      <c r="J167" s="33">
        <f>IF(OR(I167="OK",I167="BREACHED"),-INT(ROUND(-(H167)*100,6))/100,I167)</f>
        <v/>
      </c>
    </row>
    <row r="168" ht="18" customHeight="1">
      <c r="A168" s="9" t="n"/>
      <c r="B168" s="32" t="n"/>
      <c r="C168" s="12" t="n"/>
      <c r="D168" s="12" t="n"/>
      <c r="E168" s="12" t="n"/>
      <c r="F168" s="15">
        <f>IFERROR(MATCH($A168,Accounts!$A$2:$A$11,0),"")</f>
        <v/>
      </c>
      <c r="G168" s="14">
        <f>IFERROR(IF(OR($A168="",$F168=""),"",IF(INDEX(Accounts!$P$2:$P$11,$F168)="static",INDEX(Accounts!$Q$2:$Q$11,$F168),IF(INDEX(Accounts!$P$2:$P$11,$F168)="eod_trailing",MAX(INDEX(Accounts!$Q$2:$Q$11,$F168),_xlfn.MAXIFS($C$2:$C$1001,$A$2:$A$1001,$A168,$B$2:$B$1001,"&lt;"&amp;$B168)),MAX(INDEX(Accounts!$Q$2:$Q$11,$F168),_xlfn.MAXIFS($C$2:$C$1001,$A$2:$A$1001,$A168,$B$2:$B$1001,"&lt;"&amp;$B168),_xlfn.MAXIFS($D$2:$D$1001,$A$2:$A$1001,$A168,$B$2:$B$1001,"&lt;="&amp;$B168),$C168)))),"")</f>
        <v/>
      </c>
      <c r="H168" s="15">
        <f>IFERROR(IF(G168="","",IF(INDEX(Accounts!$P$2:$P$11,$F168)="static",INDEX(Accounts!$Q$2:$Q$11,$F168)-INDEX(Accounts!$R$2:$R$11,$F168),IF(INDEX(Accounts!$S$2:$S$11,$F168)="NONE",G168-INDEX(Accounts!$R$2:$R$11,$F168),MIN(G168-INDEX(Accounts!$R$2:$R$11,$F168),INDEX(Accounts!$Q$2:$Q$11,$F168)+INDEX(Accounts!$S$2:$S$11,$F168))))),"")</f>
        <v/>
      </c>
      <c r="I168" s="16">
        <f>IF(AND($A168="",$B168="",$C168="",$D168="",$E168=""),"",IF(OR($A168="",$F168=""),"UNKNOWN_ACCOUNT",IF(OR($B168="",$C168=""),"INCOMPLETE",IFERROR(IF(OR(NOT(ISNUMBER($B168)),NOT(ISNUMBER($C168)),IF(C168="",FALSE,IF(ISNUMBER(C168),OR(C168&lt;=0,C168&gt;100000000,ROUND(C168*100,6)&lt;&gt;INT(ROUND(C168*100,6))),TRUE)),IF(D168="",FALSE,IF(ISNUMBER(D168),OR(D168&lt;=0,D168&gt;100000000,ROUND(D168*100,6)&lt;&gt;INT(ROUND(D168*100,6))),TRUE)),IF(E168="",FALSE,IF(ISNUMBER(E168),OR(E168&lt;=0,E168&gt;100000000,ROUND(E168*100,6)&lt;&gt;INT(ROUND(E168*100,6))),TRUE)),AND($D168&lt;&gt;"",$D168&lt;MAX($C168,$E168)),AND($E168&lt;&gt;"",$E168&gt;MIN($C168,IF($D168="",$C168,$D168))),COUNTIFS($A$2:$A$1001,$A168,$B$2:$B$1001,$B168)&gt;1),"INVALID",IFERROR(IF(IF(INDEX(Accounts!$T$2:$T$11,$F168),ROUND(IF($E168="",$C168,MIN($C168,$E168))-(H168),6)&lt;=0,ROUND(IF($E168="",$C168,MIN($C168,$E168))-(H168),6)&lt;0),"BREACHED","OK"),"INCOMPLETE")),"INVALID"))))</f>
        <v/>
      </c>
      <c r="J168" s="33">
        <f>IF(OR(I168="OK",I168="BREACHED"),-INT(ROUND(-(H168)*100,6))/100,I168)</f>
        <v/>
      </c>
    </row>
    <row r="169" ht="18" customHeight="1">
      <c r="A169" s="9" t="n"/>
      <c r="B169" s="32" t="n"/>
      <c r="C169" s="12" t="n"/>
      <c r="D169" s="12" t="n"/>
      <c r="E169" s="12" t="n"/>
      <c r="F169" s="15">
        <f>IFERROR(MATCH($A169,Accounts!$A$2:$A$11,0),"")</f>
        <v/>
      </c>
      <c r="G169" s="14">
        <f>IFERROR(IF(OR($A169="",$F169=""),"",IF(INDEX(Accounts!$P$2:$P$11,$F169)="static",INDEX(Accounts!$Q$2:$Q$11,$F169),IF(INDEX(Accounts!$P$2:$P$11,$F169)="eod_trailing",MAX(INDEX(Accounts!$Q$2:$Q$11,$F169),_xlfn.MAXIFS($C$2:$C$1001,$A$2:$A$1001,$A169,$B$2:$B$1001,"&lt;"&amp;$B169)),MAX(INDEX(Accounts!$Q$2:$Q$11,$F169),_xlfn.MAXIFS($C$2:$C$1001,$A$2:$A$1001,$A169,$B$2:$B$1001,"&lt;"&amp;$B169),_xlfn.MAXIFS($D$2:$D$1001,$A$2:$A$1001,$A169,$B$2:$B$1001,"&lt;="&amp;$B169),$C169)))),"")</f>
        <v/>
      </c>
      <c r="H169" s="15">
        <f>IFERROR(IF(G169="","",IF(INDEX(Accounts!$P$2:$P$11,$F169)="static",INDEX(Accounts!$Q$2:$Q$11,$F169)-INDEX(Accounts!$R$2:$R$11,$F169),IF(INDEX(Accounts!$S$2:$S$11,$F169)="NONE",G169-INDEX(Accounts!$R$2:$R$11,$F169),MIN(G169-INDEX(Accounts!$R$2:$R$11,$F169),INDEX(Accounts!$Q$2:$Q$11,$F169)+INDEX(Accounts!$S$2:$S$11,$F169))))),"")</f>
        <v/>
      </c>
      <c r="I169" s="16">
        <f>IF(AND($A169="",$B169="",$C169="",$D169="",$E169=""),"",IF(OR($A169="",$F169=""),"UNKNOWN_ACCOUNT",IF(OR($B169="",$C169=""),"INCOMPLETE",IFERROR(IF(OR(NOT(ISNUMBER($B169)),NOT(ISNUMBER($C169)),IF(C169="",FALSE,IF(ISNUMBER(C169),OR(C169&lt;=0,C169&gt;100000000,ROUND(C169*100,6)&lt;&gt;INT(ROUND(C169*100,6))),TRUE)),IF(D169="",FALSE,IF(ISNUMBER(D169),OR(D169&lt;=0,D169&gt;100000000,ROUND(D169*100,6)&lt;&gt;INT(ROUND(D169*100,6))),TRUE)),IF(E169="",FALSE,IF(ISNUMBER(E169),OR(E169&lt;=0,E169&gt;100000000,ROUND(E169*100,6)&lt;&gt;INT(ROUND(E169*100,6))),TRUE)),AND($D169&lt;&gt;"",$D169&lt;MAX($C169,$E169)),AND($E169&lt;&gt;"",$E169&gt;MIN($C169,IF($D169="",$C169,$D169))),COUNTIFS($A$2:$A$1001,$A169,$B$2:$B$1001,$B169)&gt;1),"INVALID",IFERROR(IF(IF(INDEX(Accounts!$T$2:$T$11,$F169),ROUND(IF($E169="",$C169,MIN($C169,$E169))-(H169),6)&lt;=0,ROUND(IF($E169="",$C169,MIN($C169,$E169))-(H169),6)&lt;0),"BREACHED","OK"),"INCOMPLETE")),"INVALID"))))</f>
        <v/>
      </c>
      <c r="J169" s="33">
        <f>IF(OR(I169="OK",I169="BREACHED"),-INT(ROUND(-(H169)*100,6))/100,I169)</f>
        <v/>
      </c>
    </row>
    <row r="170" ht="18" customHeight="1">
      <c r="A170" s="9" t="n"/>
      <c r="B170" s="32" t="n"/>
      <c r="C170" s="12" t="n"/>
      <c r="D170" s="12" t="n"/>
      <c r="E170" s="12" t="n"/>
      <c r="F170" s="15">
        <f>IFERROR(MATCH($A170,Accounts!$A$2:$A$11,0),"")</f>
        <v/>
      </c>
      <c r="G170" s="14">
        <f>IFERROR(IF(OR($A170="",$F170=""),"",IF(INDEX(Accounts!$P$2:$P$11,$F170)="static",INDEX(Accounts!$Q$2:$Q$11,$F170),IF(INDEX(Accounts!$P$2:$P$11,$F170)="eod_trailing",MAX(INDEX(Accounts!$Q$2:$Q$11,$F170),_xlfn.MAXIFS($C$2:$C$1001,$A$2:$A$1001,$A170,$B$2:$B$1001,"&lt;"&amp;$B170)),MAX(INDEX(Accounts!$Q$2:$Q$11,$F170),_xlfn.MAXIFS($C$2:$C$1001,$A$2:$A$1001,$A170,$B$2:$B$1001,"&lt;"&amp;$B170),_xlfn.MAXIFS($D$2:$D$1001,$A$2:$A$1001,$A170,$B$2:$B$1001,"&lt;="&amp;$B170),$C170)))),"")</f>
        <v/>
      </c>
      <c r="H170" s="15">
        <f>IFERROR(IF(G170="","",IF(INDEX(Accounts!$P$2:$P$11,$F170)="static",INDEX(Accounts!$Q$2:$Q$11,$F170)-INDEX(Accounts!$R$2:$R$11,$F170),IF(INDEX(Accounts!$S$2:$S$11,$F170)="NONE",G170-INDEX(Accounts!$R$2:$R$11,$F170),MIN(G170-INDEX(Accounts!$R$2:$R$11,$F170),INDEX(Accounts!$Q$2:$Q$11,$F170)+INDEX(Accounts!$S$2:$S$11,$F170))))),"")</f>
        <v/>
      </c>
      <c r="I170" s="16">
        <f>IF(AND($A170="",$B170="",$C170="",$D170="",$E170=""),"",IF(OR($A170="",$F170=""),"UNKNOWN_ACCOUNT",IF(OR($B170="",$C170=""),"INCOMPLETE",IFERROR(IF(OR(NOT(ISNUMBER($B170)),NOT(ISNUMBER($C170)),IF(C170="",FALSE,IF(ISNUMBER(C170),OR(C170&lt;=0,C170&gt;100000000,ROUND(C170*100,6)&lt;&gt;INT(ROUND(C170*100,6))),TRUE)),IF(D170="",FALSE,IF(ISNUMBER(D170),OR(D170&lt;=0,D170&gt;100000000,ROUND(D170*100,6)&lt;&gt;INT(ROUND(D170*100,6))),TRUE)),IF(E170="",FALSE,IF(ISNUMBER(E170),OR(E170&lt;=0,E170&gt;100000000,ROUND(E170*100,6)&lt;&gt;INT(ROUND(E170*100,6))),TRUE)),AND($D170&lt;&gt;"",$D170&lt;MAX($C170,$E170)),AND($E170&lt;&gt;"",$E170&gt;MIN($C170,IF($D170="",$C170,$D170))),COUNTIFS($A$2:$A$1001,$A170,$B$2:$B$1001,$B170)&gt;1),"INVALID",IFERROR(IF(IF(INDEX(Accounts!$T$2:$T$11,$F170),ROUND(IF($E170="",$C170,MIN($C170,$E170))-(H170),6)&lt;=0,ROUND(IF($E170="",$C170,MIN($C170,$E170))-(H170),6)&lt;0),"BREACHED","OK"),"INCOMPLETE")),"INVALID"))))</f>
        <v/>
      </c>
      <c r="J170" s="33">
        <f>IF(OR(I170="OK",I170="BREACHED"),-INT(ROUND(-(H170)*100,6))/100,I170)</f>
        <v/>
      </c>
    </row>
    <row r="171" ht="18" customHeight="1">
      <c r="A171" s="9" t="n"/>
      <c r="B171" s="32" t="n"/>
      <c r="C171" s="12" t="n"/>
      <c r="D171" s="12" t="n"/>
      <c r="E171" s="12" t="n"/>
      <c r="F171" s="15">
        <f>IFERROR(MATCH($A171,Accounts!$A$2:$A$11,0),"")</f>
        <v/>
      </c>
      <c r="G171" s="14">
        <f>IFERROR(IF(OR($A171="",$F171=""),"",IF(INDEX(Accounts!$P$2:$P$11,$F171)="static",INDEX(Accounts!$Q$2:$Q$11,$F171),IF(INDEX(Accounts!$P$2:$P$11,$F171)="eod_trailing",MAX(INDEX(Accounts!$Q$2:$Q$11,$F171),_xlfn.MAXIFS($C$2:$C$1001,$A$2:$A$1001,$A171,$B$2:$B$1001,"&lt;"&amp;$B171)),MAX(INDEX(Accounts!$Q$2:$Q$11,$F171),_xlfn.MAXIFS($C$2:$C$1001,$A$2:$A$1001,$A171,$B$2:$B$1001,"&lt;"&amp;$B171),_xlfn.MAXIFS($D$2:$D$1001,$A$2:$A$1001,$A171,$B$2:$B$1001,"&lt;="&amp;$B171),$C171)))),"")</f>
        <v/>
      </c>
      <c r="H171" s="15">
        <f>IFERROR(IF(G171="","",IF(INDEX(Accounts!$P$2:$P$11,$F171)="static",INDEX(Accounts!$Q$2:$Q$11,$F171)-INDEX(Accounts!$R$2:$R$11,$F171),IF(INDEX(Accounts!$S$2:$S$11,$F171)="NONE",G171-INDEX(Accounts!$R$2:$R$11,$F171),MIN(G171-INDEX(Accounts!$R$2:$R$11,$F171),INDEX(Accounts!$Q$2:$Q$11,$F171)+INDEX(Accounts!$S$2:$S$11,$F171))))),"")</f>
        <v/>
      </c>
      <c r="I171" s="16">
        <f>IF(AND($A171="",$B171="",$C171="",$D171="",$E171=""),"",IF(OR($A171="",$F171=""),"UNKNOWN_ACCOUNT",IF(OR($B171="",$C171=""),"INCOMPLETE",IFERROR(IF(OR(NOT(ISNUMBER($B171)),NOT(ISNUMBER($C171)),IF(C171="",FALSE,IF(ISNUMBER(C171),OR(C171&lt;=0,C171&gt;100000000,ROUND(C171*100,6)&lt;&gt;INT(ROUND(C171*100,6))),TRUE)),IF(D171="",FALSE,IF(ISNUMBER(D171),OR(D171&lt;=0,D171&gt;100000000,ROUND(D171*100,6)&lt;&gt;INT(ROUND(D171*100,6))),TRUE)),IF(E171="",FALSE,IF(ISNUMBER(E171),OR(E171&lt;=0,E171&gt;100000000,ROUND(E171*100,6)&lt;&gt;INT(ROUND(E171*100,6))),TRUE)),AND($D171&lt;&gt;"",$D171&lt;MAX($C171,$E171)),AND($E171&lt;&gt;"",$E171&gt;MIN($C171,IF($D171="",$C171,$D171))),COUNTIFS($A$2:$A$1001,$A171,$B$2:$B$1001,$B171)&gt;1),"INVALID",IFERROR(IF(IF(INDEX(Accounts!$T$2:$T$11,$F171),ROUND(IF($E171="",$C171,MIN($C171,$E171))-(H171),6)&lt;=0,ROUND(IF($E171="",$C171,MIN($C171,$E171))-(H171),6)&lt;0),"BREACHED","OK"),"INCOMPLETE")),"INVALID"))))</f>
        <v/>
      </c>
      <c r="J171" s="33">
        <f>IF(OR(I171="OK",I171="BREACHED"),-INT(ROUND(-(H171)*100,6))/100,I171)</f>
        <v/>
      </c>
    </row>
    <row r="172" ht="18" customHeight="1">
      <c r="A172" s="9" t="n"/>
      <c r="B172" s="32" t="n"/>
      <c r="C172" s="12" t="n"/>
      <c r="D172" s="12" t="n"/>
      <c r="E172" s="12" t="n"/>
      <c r="F172" s="15">
        <f>IFERROR(MATCH($A172,Accounts!$A$2:$A$11,0),"")</f>
        <v/>
      </c>
      <c r="G172" s="14">
        <f>IFERROR(IF(OR($A172="",$F172=""),"",IF(INDEX(Accounts!$P$2:$P$11,$F172)="static",INDEX(Accounts!$Q$2:$Q$11,$F172),IF(INDEX(Accounts!$P$2:$P$11,$F172)="eod_trailing",MAX(INDEX(Accounts!$Q$2:$Q$11,$F172),_xlfn.MAXIFS($C$2:$C$1001,$A$2:$A$1001,$A172,$B$2:$B$1001,"&lt;"&amp;$B172)),MAX(INDEX(Accounts!$Q$2:$Q$11,$F172),_xlfn.MAXIFS($C$2:$C$1001,$A$2:$A$1001,$A172,$B$2:$B$1001,"&lt;"&amp;$B172),_xlfn.MAXIFS($D$2:$D$1001,$A$2:$A$1001,$A172,$B$2:$B$1001,"&lt;="&amp;$B172),$C172)))),"")</f>
        <v/>
      </c>
      <c r="H172" s="15">
        <f>IFERROR(IF(G172="","",IF(INDEX(Accounts!$P$2:$P$11,$F172)="static",INDEX(Accounts!$Q$2:$Q$11,$F172)-INDEX(Accounts!$R$2:$R$11,$F172),IF(INDEX(Accounts!$S$2:$S$11,$F172)="NONE",G172-INDEX(Accounts!$R$2:$R$11,$F172),MIN(G172-INDEX(Accounts!$R$2:$R$11,$F172),INDEX(Accounts!$Q$2:$Q$11,$F172)+INDEX(Accounts!$S$2:$S$11,$F172))))),"")</f>
        <v/>
      </c>
      <c r="I172" s="16">
        <f>IF(AND($A172="",$B172="",$C172="",$D172="",$E172=""),"",IF(OR($A172="",$F172=""),"UNKNOWN_ACCOUNT",IF(OR($B172="",$C172=""),"INCOMPLETE",IFERROR(IF(OR(NOT(ISNUMBER($B172)),NOT(ISNUMBER($C172)),IF(C172="",FALSE,IF(ISNUMBER(C172),OR(C172&lt;=0,C172&gt;100000000,ROUND(C172*100,6)&lt;&gt;INT(ROUND(C172*100,6))),TRUE)),IF(D172="",FALSE,IF(ISNUMBER(D172),OR(D172&lt;=0,D172&gt;100000000,ROUND(D172*100,6)&lt;&gt;INT(ROUND(D172*100,6))),TRUE)),IF(E172="",FALSE,IF(ISNUMBER(E172),OR(E172&lt;=0,E172&gt;100000000,ROUND(E172*100,6)&lt;&gt;INT(ROUND(E172*100,6))),TRUE)),AND($D172&lt;&gt;"",$D172&lt;MAX($C172,$E172)),AND($E172&lt;&gt;"",$E172&gt;MIN($C172,IF($D172="",$C172,$D172))),COUNTIFS($A$2:$A$1001,$A172,$B$2:$B$1001,$B172)&gt;1),"INVALID",IFERROR(IF(IF(INDEX(Accounts!$T$2:$T$11,$F172),ROUND(IF($E172="",$C172,MIN($C172,$E172))-(H172),6)&lt;=0,ROUND(IF($E172="",$C172,MIN($C172,$E172))-(H172),6)&lt;0),"BREACHED","OK"),"INCOMPLETE")),"INVALID"))))</f>
        <v/>
      </c>
      <c r="J172" s="33">
        <f>IF(OR(I172="OK",I172="BREACHED"),-INT(ROUND(-(H172)*100,6))/100,I172)</f>
        <v/>
      </c>
    </row>
    <row r="173" ht="18" customHeight="1">
      <c r="A173" s="9" t="n"/>
      <c r="B173" s="32" t="n"/>
      <c r="C173" s="12" t="n"/>
      <c r="D173" s="12" t="n"/>
      <c r="E173" s="12" t="n"/>
      <c r="F173" s="15">
        <f>IFERROR(MATCH($A173,Accounts!$A$2:$A$11,0),"")</f>
        <v/>
      </c>
      <c r="G173" s="14">
        <f>IFERROR(IF(OR($A173="",$F173=""),"",IF(INDEX(Accounts!$P$2:$P$11,$F173)="static",INDEX(Accounts!$Q$2:$Q$11,$F173),IF(INDEX(Accounts!$P$2:$P$11,$F173)="eod_trailing",MAX(INDEX(Accounts!$Q$2:$Q$11,$F173),_xlfn.MAXIFS($C$2:$C$1001,$A$2:$A$1001,$A173,$B$2:$B$1001,"&lt;"&amp;$B173)),MAX(INDEX(Accounts!$Q$2:$Q$11,$F173),_xlfn.MAXIFS($C$2:$C$1001,$A$2:$A$1001,$A173,$B$2:$B$1001,"&lt;"&amp;$B173),_xlfn.MAXIFS($D$2:$D$1001,$A$2:$A$1001,$A173,$B$2:$B$1001,"&lt;="&amp;$B173),$C173)))),"")</f>
        <v/>
      </c>
      <c r="H173" s="15">
        <f>IFERROR(IF(G173="","",IF(INDEX(Accounts!$P$2:$P$11,$F173)="static",INDEX(Accounts!$Q$2:$Q$11,$F173)-INDEX(Accounts!$R$2:$R$11,$F173),IF(INDEX(Accounts!$S$2:$S$11,$F173)="NONE",G173-INDEX(Accounts!$R$2:$R$11,$F173),MIN(G173-INDEX(Accounts!$R$2:$R$11,$F173),INDEX(Accounts!$Q$2:$Q$11,$F173)+INDEX(Accounts!$S$2:$S$11,$F173))))),"")</f>
        <v/>
      </c>
      <c r="I173" s="16">
        <f>IF(AND($A173="",$B173="",$C173="",$D173="",$E173=""),"",IF(OR($A173="",$F173=""),"UNKNOWN_ACCOUNT",IF(OR($B173="",$C173=""),"INCOMPLETE",IFERROR(IF(OR(NOT(ISNUMBER($B173)),NOT(ISNUMBER($C173)),IF(C173="",FALSE,IF(ISNUMBER(C173),OR(C173&lt;=0,C173&gt;100000000,ROUND(C173*100,6)&lt;&gt;INT(ROUND(C173*100,6))),TRUE)),IF(D173="",FALSE,IF(ISNUMBER(D173),OR(D173&lt;=0,D173&gt;100000000,ROUND(D173*100,6)&lt;&gt;INT(ROUND(D173*100,6))),TRUE)),IF(E173="",FALSE,IF(ISNUMBER(E173),OR(E173&lt;=0,E173&gt;100000000,ROUND(E173*100,6)&lt;&gt;INT(ROUND(E173*100,6))),TRUE)),AND($D173&lt;&gt;"",$D173&lt;MAX($C173,$E173)),AND($E173&lt;&gt;"",$E173&gt;MIN($C173,IF($D173="",$C173,$D173))),COUNTIFS($A$2:$A$1001,$A173,$B$2:$B$1001,$B173)&gt;1),"INVALID",IFERROR(IF(IF(INDEX(Accounts!$T$2:$T$11,$F173),ROUND(IF($E173="",$C173,MIN($C173,$E173))-(H173),6)&lt;=0,ROUND(IF($E173="",$C173,MIN($C173,$E173))-(H173),6)&lt;0),"BREACHED","OK"),"INCOMPLETE")),"INVALID"))))</f>
        <v/>
      </c>
      <c r="J173" s="33">
        <f>IF(OR(I173="OK",I173="BREACHED"),-INT(ROUND(-(H173)*100,6))/100,I173)</f>
        <v/>
      </c>
    </row>
    <row r="174" ht="18" customHeight="1">
      <c r="A174" s="9" t="n"/>
      <c r="B174" s="32" t="n"/>
      <c r="C174" s="12" t="n"/>
      <c r="D174" s="12" t="n"/>
      <c r="E174" s="12" t="n"/>
      <c r="F174" s="15">
        <f>IFERROR(MATCH($A174,Accounts!$A$2:$A$11,0),"")</f>
        <v/>
      </c>
      <c r="G174" s="14">
        <f>IFERROR(IF(OR($A174="",$F174=""),"",IF(INDEX(Accounts!$P$2:$P$11,$F174)="static",INDEX(Accounts!$Q$2:$Q$11,$F174),IF(INDEX(Accounts!$P$2:$P$11,$F174)="eod_trailing",MAX(INDEX(Accounts!$Q$2:$Q$11,$F174),_xlfn.MAXIFS($C$2:$C$1001,$A$2:$A$1001,$A174,$B$2:$B$1001,"&lt;"&amp;$B174)),MAX(INDEX(Accounts!$Q$2:$Q$11,$F174),_xlfn.MAXIFS($C$2:$C$1001,$A$2:$A$1001,$A174,$B$2:$B$1001,"&lt;"&amp;$B174),_xlfn.MAXIFS($D$2:$D$1001,$A$2:$A$1001,$A174,$B$2:$B$1001,"&lt;="&amp;$B174),$C174)))),"")</f>
        <v/>
      </c>
      <c r="H174" s="15">
        <f>IFERROR(IF(G174="","",IF(INDEX(Accounts!$P$2:$P$11,$F174)="static",INDEX(Accounts!$Q$2:$Q$11,$F174)-INDEX(Accounts!$R$2:$R$11,$F174),IF(INDEX(Accounts!$S$2:$S$11,$F174)="NONE",G174-INDEX(Accounts!$R$2:$R$11,$F174),MIN(G174-INDEX(Accounts!$R$2:$R$11,$F174),INDEX(Accounts!$Q$2:$Q$11,$F174)+INDEX(Accounts!$S$2:$S$11,$F174))))),"")</f>
        <v/>
      </c>
      <c r="I174" s="16">
        <f>IF(AND($A174="",$B174="",$C174="",$D174="",$E174=""),"",IF(OR($A174="",$F174=""),"UNKNOWN_ACCOUNT",IF(OR($B174="",$C174=""),"INCOMPLETE",IFERROR(IF(OR(NOT(ISNUMBER($B174)),NOT(ISNUMBER($C174)),IF(C174="",FALSE,IF(ISNUMBER(C174),OR(C174&lt;=0,C174&gt;100000000,ROUND(C174*100,6)&lt;&gt;INT(ROUND(C174*100,6))),TRUE)),IF(D174="",FALSE,IF(ISNUMBER(D174),OR(D174&lt;=0,D174&gt;100000000,ROUND(D174*100,6)&lt;&gt;INT(ROUND(D174*100,6))),TRUE)),IF(E174="",FALSE,IF(ISNUMBER(E174),OR(E174&lt;=0,E174&gt;100000000,ROUND(E174*100,6)&lt;&gt;INT(ROUND(E174*100,6))),TRUE)),AND($D174&lt;&gt;"",$D174&lt;MAX($C174,$E174)),AND($E174&lt;&gt;"",$E174&gt;MIN($C174,IF($D174="",$C174,$D174))),COUNTIFS($A$2:$A$1001,$A174,$B$2:$B$1001,$B174)&gt;1),"INVALID",IFERROR(IF(IF(INDEX(Accounts!$T$2:$T$11,$F174),ROUND(IF($E174="",$C174,MIN($C174,$E174))-(H174),6)&lt;=0,ROUND(IF($E174="",$C174,MIN($C174,$E174))-(H174),6)&lt;0),"BREACHED","OK"),"INCOMPLETE")),"INVALID"))))</f>
        <v/>
      </c>
      <c r="J174" s="33">
        <f>IF(OR(I174="OK",I174="BREACHED"),-INT(ROUND(-(H174)*100,6))/100,I174)</f>
        <v/>
      </c>
    </row>
    <row r="175" ht="18" customHeight="1">
      <c r="A175" s="9" t="n"/>
      <c r="B175" s="32" t="n"/>
      <c r="C175" s="12" t="n"/>
      <c r="D175" s="12" t="n"/>
      <c r="E175" s="12" t="n"/>
      <c r="F175" s="15">
        <f>IFERROR(MATCH($A175,Accounts!$A$2:$A$11,0),"")</f>
        <v/>
      </c>
      <c r="G175" s="14">
        <f>IFERROR(IF(OR($A175="",$F175=""),"",IF(INDEX(Accounts!$P$2:$P$11,$F175)="static",INDEX(Accounts!$Q$2:$Q$11,$F175),IF(INDEX(Accounts!$P$2:$P$11,$F175)="eod_trailing",MAX(INDEX(Accounts!$Q$2:$Q$11,$F175),_xlfn.MAXIFS($C$2:$C$1001,$A$2:$A$1001,$A175,$B$2:$B$1001,"&lt;"&amp;$B175)),MAX(INDEX(Accounts!$Q$2:$Q$11,$F175),_xlfn.MAXIFS($C$2:$C$1001,$A$2:$A$1001,$A175,$B$2:$B$1001,"&lt;"&amp;$B175),_xlfn.MAXIFS($D$2:$D$1001,$A$2:$A$1001,$A175,$B$2:$B$1001,"&lt;="&amp;$B175),$C175)))),"")</f>
        <v/>
      </c>
      <c r="H175" s="15">
        <f>IFERROR(IF(G175="","",IF(INDEX(Accounts!$P$2:$P$11,$F175)="static",INDEX(Accounts!$Q$2:$Q$11,$F175)-INDEX(Accounts!$R$2:$R$11,$F175),IF(INDEX(Accounts!$S$2:$S$11,$F175)="NONE",G175-INDEX(Accounts!$R$2:$R$11,$F175),MIN(G175-INDEX(Accounts!$R$2:$R$11,$F175),INDEX(Accounts!$Q$2:$Q$11,$F175)+INDEX(Accounts!$S$2:$S$11,$F175))))),"")</f>
        <v/>
      </c>
      <c r="I175" s="16">
        <f>IF(AND($A175="",$B175="",$C175="",$D175="",$E175=""),"",IF(OR($A175="",$F175=""),"UNKNOWN_ACCOUNT",IF(OR($B175="",$C175=""),"INCOMPLETE",IFERROR(IF(OR(NOT(ISNUMBER($B175)),NOT(ISNUMBER($C175)),IF(C175="",FALSE,IF(ISNUMBER(C175),OR(C175&lt;=0,C175&gt;100000000,ROUND(C175*100,6)&lt;&gt;INT(ROUND(C175*100,6))),TRUE)),IF(D175="",FALSE,IF(ISNUMBER(D175),OR(D175&lt;=0,D175&gt;100000000,ROUND(D175*100,6)&lt;&gt;INT(ROUND(D175*100,6))),TRUE)),IF(E175="",FALSE,IF(ISNUMBER(E175),OR(E175&lt;=0,E175&gt;100000000,ROUND(E175*100,6)&lt;&gt;INT(ROUND(E175*100,6))),TRUE)),AND($D175&lt;&gt;"",$D175&lt;MAX($C175,$E175)),AND($E175&lt;&gt;"",$E175&gt;MIN($C175,IF($D175="",$C175,$D175))),COUNTIFS($A$2:$A$1001,$A175,$B$2:$B$1001,$B175)&gt;1),"INVALID",IFERROR(IF(IF(INDEX(Accounts!$T$2:$T$11,$F175),ROUND(IF($E175="",$C175,MIN($C175,$E175))-(H175),6)&lt;=0,ROUND(IF($E175="",$C175,MIN($C175,$E175))-(H175),6)&lt;0),"BREACHED","OK"),"INCOMPLETE")),"INVALID"))))</f>
        <v/>
      </c>
      <c r="J175" s="33">
        <f>IF(OR(I175="OK",I175="BREACHED"),-INT(ROUND(-(H175)*100,6))/100,I175)</f>
        <v/>
      </c>
    </row>
    <row r="176" ht="18" customHeight="1">
      <c r="A176" s="9" t="n"/>
      <c r="B176" s="32" t="n"/>
      <c r="C176" s="12" t="n"/>
      <c r="D176" s="12" t="n"/>
      <c r="E176" s="12" t="n"/>
      <c r="F176" s="15">
        <f>IFERROR(MATCH($A176,Accounts!$A$2:$A$11,0),"")</f>
        <v/>
      </c>
      <c r="G176" s="14">
        <f>IFERROR(IF(OR($A176="",$F176=""),"",IF(INDEX(Accounts!$P$2:$P$11,$F176)="static",INDEX(Accounts!$Q$2:$Q$11,$F176),IF(INDEX(Accounts!$P$2:$P$11,$F176)="eod_trailing",MAX(INDEX(Accounts!$Q$2:$Q$11,$F176),_xlfn.MAXIFS($C$2:$C$1001,$A$2:$A$1001,$A176,$B$2:$B$1001,"&lt;"&amp;$B176)),MAX(INDEX(Accounts!$Q$2:$Q$11,$F176),_xlfn.MAXIFS($C$2:$C$1001,$A$2:$A$1001,$A176,$B$2:$B$1001,"&lt;"&amp;$B176),_xlfn.MAXIFS($D$2:$D$1001,$A$2:$A$1001,$A176,$B$2:$B$1001,"&lt;="&amp;$B176),$C176)))),"")</f>
        <v/>
      </c>
      <c r="H176" s="15">
        <f>IFERROR(IF(G176="","",IF(INDEX(Accounts!$P$2:$P$11,$F176)="static",INDEX(Accounts!$Q$2:$Q$11,$F176)-INDEX(Accounts!$R$2:$R$11,$F176),IF(INDEX(Accounts!$S$2:$S$11,$F176)="NONE",G176-INDEX(Accounts!$R$2:$R$11,$F176),MIN(G176-INDEX(Accounts!$R$2:$R$11,$F176),INDEX(Accounts!$Q$2:$Q$11,$F176)+INDEX(Accounts!$S$2:$S$11,$F176))))),"")</f>
        <v/>
      </c>
      <c r="I176" s="16">
        <f>IF(AND($A176="",$B176="",$C176="",$D176="",$E176=""),"",IF(OR($A176="",$F176=""),"UNKNOWN_ACCOUNT",IF(OR($B176="",$C176=""),"INCOMPLETE",IFERROR(IF(OR(NOT(ISNUMBER($B176)),NOT(ISNUMBER($C176)),IF(C176="",FALSE,IF(ISNUMBER(C176),OR(C176&lt;=0,C176&gt;100000000,ROUND(C176*100,6)&lt;&gt;INT(ROUND(C176*100,6))),TRUE)),IF(D176="",FALSE,IF(ISNUMBER(D176),OR(D176&lt;=0,D176&gt;100000000,ROUND(D176*100,6)&lt;&gt;INT(ROUND(D176*100,6))),TRUE)),IF(E176="",FALSE,IF(ISNUMBER(E176),OR(E176&lt;=0,E176&gt;100000000,ROUND(E176*100,6)&lt;&gt;INT(ROUND(E176*100,6))),TRUE)),AND($D176&lt;&gt;"",$D176&lt;MAX($C176,$E176)),AND($E176&lt;&gt;"",$E176&gt;MIN($C176,IF($D176="",$C176,$D176))),COUNTIFS($A$2:$A$1001,$A176,$B$2:$B$1001,$B176)&gt;1),"INVALID",IFERROR(IF(IF(INDEX(Accounts!$T$2:$T$11,$F176),ROUND(IF($E176="",$C176,MIN($C176,$E176))-(H176),6)&lt;=0,ROUND(IF($E176="",$C176,MIN($C176,$E176))-(H176),6)&lt;0),"BREACHED","OK"),"INCOMPLETE")),"INVALID"))))</f>
        <v/>
      </c>
      <c r="J176" s="33">
        <f>IF(OR(I176="OK",I176="BREACHED"),-INT(ROUND(-(H176)*100,6))/100,I176)</f>
        <v/>
      </c>
    </row>
    <row r="177" ht="18" customHeight="1">
      <c r="A177" s="9" t="n"/>
      <c r="B177" s="32" t="n"/>
      <c r="C177" s="12" t="n"/>
      <c r="D177" s="12" t="n"/>
      <c r="E177" s="12" t="n"/>
      <c r="F177" s="15">
        <f>IFERROR(MATCH($A177,Accounts!$A$2:$A$11,0),"")</f>
        <v/>
      </c>
      <c r="G177" s="14">
        <f>IFERROR(IF(OR($A177="",$F177=""),"",IF(INDEX(Accounts!$P$2:$P$11,$F177)="static",INDEX(Accounts!$Q$2:$Q$11,$F177),IF(INDEX(Accounts!$P$2:$P$11,$F177)="eod_trailing",MAX(INDEX(Accounts!$Q$2:$Q$11,$F177),_xlfn.MAXIFS($C$2:$C$1001,$A$2:$A$1001,$A177,$B$2:$B$1001,"&lt;"&amp;$B177)),MAX(INDEX(Accounts!$Q$2:$Q$11,$F177),_xlfn.MAXIFS($C$2:$C$1001,$A$2:$A$1001,$A177,$B$2:$B$1001,"&lt;"&amp;$B177),_xlfn.MAXIFS($D$2:$D$1001,$A$2:$A$1001,$A177,$B$2:$B$1001,"&lt;="&amp;$B177),$C177)))),"")</f>
        <v/>
      </c>
      <c r="H177" s="15">
        <f>IFERROR(IF(G177="","",IF(INDEX(Accounts!$P$2:$P$11,$F177)="static",INDEX(Accounts!$Q$2:$Q$11,$F177)-INDEX(Accounts!$R$2:$R$11,$F177),IF(INDEX(Accounts!$S$2:$S$11,$F177)="NONE",G177-INDEX(Accounts!$R$2:$R$11,$F177),MIN(G177-INDEX(Accounts!$R$2:$R$11,$F177),INDEX(Accounts!$Q$2:$Q$11,$F177)+INDEX(Accounts!$S$2:$S$11,$F177))))),"")</f>
        <v/>
      </c>
      <c r="I177" s="16">
        <f>IF(AND($A177="",$B177="",$C177="",$D177="",$E177=""),"",IF(OR($A177="",$F177=""),"UNKNOWN_ACCOUNT",IF(OR($B177="",$C177=""),"INCOMPLETE",IFERROR(IF(OR(NOT(ISNUMBER($B177)),NOT(ISNUMBER($C177)),IF(C177="",FALSE,IF(ISNUMBER(C177),OR(C177&lt;=0,C177&gt;100000000,ROUND(C177*100,6)&lt;&gt;INT(ROUND(C177*100,6))),TRUE)),IF(D177="",FALSE,IF(ISNUMBER(D177),OR(D177&lt;=0,D177&gt;100000000,ROUND(D177*100,6)&lt;&gt;INT(ROUND(D177*100,6))),TRUE)),IF(E177="",FALSE,IF(ISNUMBER(E177),OR(E177&lt;=0,E177&gt;100000000,ROUND(E177*100,6)&lt;&gt;INT(ROUND(E177*100,6))),TRUE)),AND($D177&lt;&gt;"",$D177&lt;MAX($C177,$E177)),AND($E177&lt;&gt;"",$E177&gt;MIN($C177,IF($D177="",$C177,$D177))),COUNTIFS($A$2:$A$1001,$A177,$B$2:$B$1001,$B177)&gt;1),"INVALID",IFERROR(IF(IF(INDEX(Accounts!$T$2:$T$11,$F177),ROUND(IF($E177="",$C177,MIN($C177,$E177))-(H177),6)&lt;=0,ROUND(IF($E177="",$C177,MIN($C177,$E177))-(H177),6)&lt;0),"BREACHED","OK"),"INCOMPLETE")),"INVALID"))))</f>
        <v/>
      </c>
      <c r="J177" s="33">
        <f>IF(OR(I177="OK",I177="BREACHED"),-INT(ROUND(-(H177)*100,6))/100,I177)</f>
        <v/>
      </c>
    </row>
    <row r="178" ht="18" customHeight="1">
      <c r="A178" s="9" t="n"/>
      <c r="B178" s="32" t="n"/>
      <c r="C178" s="12" t="n"/>
      <c r="D178" s="12" t="n"/>
      <c r="E178" s="12" t="n"/>
      <c r="F178" s="15">
        <f>IFERROR(MATCH($A178,Accounts!$A$2:$A$11,0),"")</f>
        <v/>
      </c>
      <c r="G178" s="14">
        <f>IFERROR(IF(OR($A178="",$F178=""),"",IF(INDEX(Accounts!$P$2:$P$11,$F178)="static",INDEX(Accounts!$Q$2:$Q$11,$F178),IF(INDEX(Accounts!$P$2:$P$11,$F178)="eod_trailing",MAX(INDEX(Accounts!$Q$2:$Q$11,$F178),_xlfn.MAXIFS($C$2:$C$1001,$A$2:$A$1001,$A178,$B$2:$B$1001,"&lt;"&amp;$B178)),MAX(INDEX(Accounts!$Q$2:$Q$11,$F178),_xlfn.MAXIFS($C$2:$C$1001,$A$2:$A$1001,$A178,$B$2:$B$1001,"&lt;"&amp;$B178),_xlfn.MAXIFS($D$2:$D$1001,$A$2:$A$1001,$A178,$B$2:$B$1001,"&lt;="&amp;$B178),$C178)))),"")</f>
        <v/>
      </c>
      <c r="H178" s="15">
        <f>IFERROR(IF(G178="","",IF(INDEX(Accounts!$P$2:$P$11,$F178)="static",INDEX(Accounts!$Q$2:$Q$11,$F178)-INDEX(Accounts!$R$2:$R$11,$F178),IF(INDEX(Accounts!$S$2:$S$11,$F178)="NONE",G178-INDEX(Accounts!$R$2:$R$11,$F178),MIN(G178-INDEX(Accounts!$R$2:$R$11,$F178),INDEX(Accounts!$Q$2:$Q$11,$F178)+INDEX(Accounts!$S$2:$S$11,$F178))))),"")</f>
        <v/>
      </c>
      <c r="I178" s="16">
        <f>IF(AND($A178="",$B178="",$C178="",$D178="",$E178=""),"",IF(OR($A178="",$F178=""),"UNKNOWN_ACCOUNT",IF(OR($B178="",$C178=""),"INCOMPLETE",IFERROR(IF(OR(NOT(ISNUMBER($B178)),NOT(ISNUMBER($C178)),IF(C178="",FALSE,IF(ISNUMBER(C178),OR(C178&lt;=0,C178&gt;100000000,ROUND(C178*100,6)&lt;&gt;INT(ROUND(C178*100,6))),TRUE)),IF(D178="",FALSE,IF(ISNUMBER(D178),OR(D178&lt;=0,D178&gt;100000000,ROUND(D178*100,6)&lt;&gt;INT(ROUND(D178*100,6))),TRUE)),IF(E178="",FALSE,IF(ISNUMBER(E178),OR(E178&lt;=0,E178&gt;100000000,ROUND(E178*100,6)&lt;&gt;INT(ROUND(E178*100,6))),TRUE)),AND($D178&lt;&gt;"",$D178&lt;MAX($C178,$E178)),AND($E178&lt;&gt;"",$E178&gt;MIN($C178,IF($D178="",$C178,$D178))),COUNTIFS($A$2:$A$1001,$A178,$B$2:$B$1001,$B178)&gt;1),"INVALID",IFERROR(IF(IF(INDEX(Accounts!$T$2:$T$11,$F178),ROUND(IF($E178="",$C178,MIN($C178,$E178))-(H178),6)&lt;=0,ROUND(IF($E178="",$C178,MIN($C178,$E178))-(H178),6)&lt;0),"BREACHED","OK"),"INCOMPLETE")),"INVALID"))))</f>
        <v/>
      </c>
      <c r="J178" s="33">
        <f>IF(OR(I178="OK",I178="BREACHED"),-INT(ROUND(-(H178)*100,6))/100,I178)</f>
        <v/>
      </c>
    </row>
    <row r="179" ht="18" customHeight="1">
      <c r="A179" s="9" t="n"/>
      <c r="B179" s="32" t="n"/>
      <c r="C179" s="12" t="n"/>
      <c r="D179" s="12" t="n"/>
      <c r="E179" s="12" t="n"/>
      <c r="F179" s="15">
        <f>IFERROR(MATCH($A179,Accounts!$A$2:$A$11,0),"")</f>
        <v/>
      </c>
      <c r="G179" s="14">
        <f>IFERROR(IF(OR($A179="",$F179=""),"",IF(INDEX(Accounts!$P$2:$P$11,$F179)="static",INDEX(Accounts!$Q$2:$Q$11,$F179),IF(INDEX(Accounts!$P$2:$P$11,$F179)="eod_trailing",MAX(INDEX(Accounts!$Q$2:$Q$11,$F179),_xlfn.MAXIFS($C$2:$C$1001,$A$2:$A$1001,$A179,$B$2:$B$1001,"&lt;"&amp;$B179)),MAX(INDEX(Accounts!$Q$2:$Q$11,$F179),_xlfn.MAXIFS($C$2:$C$1001,$A$2:$A$1001,$A179,$B$2:$B$1001,"&lt;"&amp;$B179),_xlfn.MAXIFS($D$2:$D$1001,$A$2:$A$1001,$A179,$B$2:$B$1001,"&lt;="&amp;$B179),$C179)))),"")</f>
        <v/>
      </c>
      <c r="H179" s="15">
        <f>IFERROR(IF(G179="","",IF(INDEX(Accounts!$P$2:$P$11,$F179)="static",INDEX(Accounts!$Q$2:$Q$11,$F179)-INDEX(Accounts!$R$2:$R$11,$F179),IF(INDEX(Accounts!$S$2:$S$11,$F179)="NONE",G179-INDEX(Accounts!$R$2:$R$11,$F179),MIN(G179-INDEX(Accounts!$R$2:$R$11,$F179),INDEX(Accounts!$Q$2:$Q$11,$F179)+INDEX(Accounts!$S$2:$S$11,$F179))))),"")</f>
        <v/>
      </c>
      <c r="I179" s="16">
        <f>IF(AND($A179="",$B179="",$C179="",$D179="",$E179=""),"",IF(OR($A179="",$F179=""),"UNKNOWN_ACCOUNT",IF(OR($B179="",$C179=""),"INCOMPLETE",IFERROR(IF(OR(NOT(ISNUMBER($B179)),NOT(ISNUMBER($C179)),IF(C179="",FALSE,IF(ISNUMBER(C179),OR(C179&lt;=0,C179&gt;100000000,ROUND(C179*100,6)&lt;&gt;INT(ROUND(C179*100,6))),TRUE)),IF(D179="",FALSE,IF(ISNUMBER(D179),OR(D179&lt;=0,D179&gt;100000000,ROUND(D179*100,6)&lt;&gt;INT(ROUND(D179*100,6))),TRUE)),IF(E179="",FALSE,IF(ISNUMBER(E179),OR(E179&lt;=0,E179&gt;100000000,ROUND(E179*100,6)&lt;&gt;INT(ROUND(E179*100,6))),TRUE)),AND($D179&lt;&gt;"",$D179&lt;MAX($C179,$E179)),AND($E179&lt;&gt;"",$E179&gt;MIN($C179,IF($D179="",$C179,$D179))),COUNTIFS($A$2:$A$1001,$A179,$B$2:$B$1001,$B179)&gt;1),"INVALID",IFERROR(IF(IF(INDEX(Accounts!$T$2:$T$11,$F179),ROUND(IF($E179="",$C179,MIN($C179,$E179))-(H179),6)&lt;=0,ROUND(IF($E179="",$C179,MIN($C179,$E179))-(H179),6)&lt;0),"BREACHED","OK"),"INCOMPLETE")),"INVALID"))))</f>
        <v/>
      </c>
      <c r="J179" s="33">
        <f>IF(OR(I179="OK",I179="BREACHED"),-INT(ROUND(-(H179)*100,6))/100,I179)</f>
        <v/>
      </c>
    </row>
    <row r="180" ht="18" customHeight="1">
      <c r="A180" s="9" t="n"/>
      <c r="B180" s="32" t="n"/>
      <c r="C180" s="12" t="n"/>
      <c r="D180" s="12" t="n"/>
      <c r="E180" s="12" t="n"/>
      <c r="F180" s="15">
        <f>IFERROR(MATCH($A180,Accounts!$A$2:$A$11,0),"")</f>
        <v/>
      </c>
      <c r="G180" s="14">
        <f>IFERROR(IF(OR($A180="",$F180=""),"",IF(INDEX(Accounts!$P$2:$P$11,$F180)="static",INDEX(Accounts!$Q$2:$Q$11,$F180),IF(INDEX(Accounts!$P$2:$P$11,$F180)="eod_trailing",MAX(INDEX(Accounts!$Q$2:$Q$11,$F180),_xlfn.MAXIFS($C$2:$C$1001,$A$2:$A$1001,$A180,$B$2:$B$1001,"&lt;"&amp;$B180)),MAX(INDEX(Accounts!$Q$2:$Q$11,$F180),_xlfn.MAXIFS($C$2:$C$1001,$A$2:$A$1001,$A180,$B$2:$B$1001,"&lt;"&amp;$B180),_xlfn.MAXIFS($D$2:$D$1001,$A$2:$A$1001,$A180,$B$2:$B$1001,"&lt;="&amp;$B180),$C180)))),"")</f>
        <v/>
      </c>
      <c r="H180" s="15">
        <f>IFERROR(IF(G180="","",IF(INDEX(Accounts!$P$2:$P$11,$F180)="static",INDEX(Accounts!$Q$2:$Q$11,$F180)-INDEX(Accounts!$R$2:$R$11,$F180),IF(INDEX(Accounts!$S$2:$S$11,$F180)="NONE",G180-INDEX(Accounts!$R$2:$R$11,$F180),MIN(G180-INDEX(Accounts!$R$2:$R$11,$F180),INDEX(Accounts!$Q$2:$Q$11,$F180)+INDEX(Accounts!$S$2:$S$11,$F180))))),"")</f>
        <v/>
      </c>
      <c r="I180" s="16">
        <f>IF(AND($A180="",$B180="",$C180="",$D180="",$E180=""),"",IF(OR($A180="",$F180=""),"UNKNOWN_ACCOUNT",IF(OR($B180="",$C180=""),"INCOMPLETE",IFERROR(IF(OR(NOT(ISNUMBER($B180)),NOT(ISNUMBER($C180)),IF(C180="",FALSE,IF(ISNUMBER(C180),OR(C180&lt;=0,C180&gt;100000000,ROUND(C180*100,6)&lt;&gt;INT(ROUND(C180*100,6))),TRUE)),IF(D180="",FALSE,IF(ISNUMBER(D180),OR(D180&lt;=0,D180&gt;100000000,ROUND(D180*100,6)&lt;&gt;INT(ROUND(D180*100,6))),TRUE)),IF(E180="",FALSE,IF(ISNUMBER(E180),OR(E180&lt;=0,E180&gt;100000000,ROUND(E180*100,6)&lt;&gt;INT(ROUND(E180*100,6))),TRUE)),AND($D180&lt;&gt;"",$D180&lt;MAX($C180,$E180)),AND($E180&lt;&gt;"",$E180&gt;MIN($C180,IF($D180="",$C180,$D180))),COUNTIFS($A$2:$A$1001,$A180,$B$2:$B$1001,$B180)&gt;1),"INVALID",IFERROR(IF(IF(INDEX(Accounts!$T$2:$T$11,$F180),ROUND(IF($E180="",$C180,MIN($C180,$E180))-(H180),6)&lt;=0,ROUND(IF($E180="",$C180,MIN($C180,$E180))-(H180),6)&lt;0),"BREACHED","OK"),"INCOMPLETE")),"INVALID"))))</f>
        <v/>
      </c>
      <c r="J180" s="33">
        <f>IF(OR(I180="OK",I180="BREACHED"),-INT(ROUND(-(H180)*100,6))/100,I180)</f>
        <v/>
      </c>
    </row>
    <row r="181" ht="18" customHeight="1">
      <c r="A181" s="9" t="n"/>
      <c r="B181" s="32" t="n"/>
      <c r="C181" s="12" t="n"/>
      <c r="D181" s="12" t="n"/>
      <c r="E181" s="12" t="n"/>
      <c r="F181" s="15">
        <f>IFERROR(MATCH($A181,Accounts!$A$2:$A$11,0),"")</f>
        <v/>
      </c>
      <c r="G181" s="14">
        <f>IFERROR(IF(OR($A181="",$F181=""),"",IF(INDEX(Accounts!$P$2:$P$11,$F181)="static",INDEX(Accounts!$Q$2:$Q$11,$F181),IF(INDEX(Accounts!$P$2:$P$11,$F181)="eod_trailing",MAX(INDEX(Accounts!$Q$2:$Q$11,$F181),_xlfn.MAXIFS($C$2:$C$1001,$A$2:$A$1001,$A181,$B$2:$B$1001,"&lt;"&amp;$B181)),MAX(INDEX(Accounts!$Q$2:$Q$11,$F181),_xlfn.MAXIFS($C$2:$C$1001,$A$2:$A$1001,$A181,$B$2:$B$1001,"&lt;"&amp;$B181),_xlfn.MAXIFS($D$2:$D$1001,$A$2:$A$1001,$A181,$B$2:$B$1001,"&lt;="&amp;$B181),$C181)))),"")</f>
        <v/>
      </c>
      <c r="H181" s="15">
        <f>IFERROR(IF(G181="","",IF(INDEX(Accounts!$P$2:$P$11,$F181)="static",INDEX(Accounts!$Q$2:$Q$11,$F181)-INDEX(Accounts!$R$2:$R$11,$F181),IF(INDEX(Accounts!$S$2:$S$11,$F181)="NONE",G181-INDEX(Accounts!$R$2:$R$11,$F181),MIN(G181-INDEX(Accounts!$R$2:$R$11,$F181),INDEX(Accounts!$Q$2:$Q$11,$F181)+INDEX(Accounts!$S$2:$S$11,$F181))))),"")</f>
        <v/>
      </c>
      <c r="I181" s="16">
        <f>IF(AND($A181="",$B181="",$C181="",$D181="",$E181=""),"",IF(OR($A181="",$F181=""),"UNKNOWN_ACCOUNT",IF(OR($B181="",$C181=""),"INCOMPLETE",IFERROR(IF(OR(NOT(ISNUMBER($B181)),NOT(ISNUMBER($C181)),IF(C181="",FALSE,IF(ISNUMBER(C181),OR(C181&lt;=0,C181&gt;100000000,ROUND(C181*100,6)&lt;&gt;INT(ROUND(C181*100,6))),TRUE)),IF(D181="",FALSE,IF(ISNUMBER(D181),OR(D181&lt;=0,D181&gt;100000000,ROUND(D181*100,6)&lt;&gt;INT(ROUND(D181*100,6))),TRUE)),IF(E181="",FALSE,IF(ISNUMBER(E181),OR(E181&lt;=0,E181&gt;100000000,ROUND(E181*100,6)&lt;&gt;INT(ROUND(E181*100,6))),TRUE)),AND($D181&lt;&gt;"",$D181&lt;MAX($C181,$E181)),AND($E181&lt;&gt;"",$E181&gt;MIN($C181,IF($D181="",$C181,$D181))),COUNTIFS($A$2:$A$1001,$A181,$B$2:$B$1001,$B181)&gt;1),"INVALID",IFERROR(IF(IF(INDEX(Accounts!$T$2:$T$11,$F181),ROUND(IF($E181="",$C181,MIN($C181,$E181))-(H181),6)&lt;=0,ROUND(IF($E181="",$C181,MIN($C181,$E181))-(H181),6)&lt;0),"BREACHED","OK"),"INCOMPLETE")),"INVALID"))))</f>
        <v/>
      </c>
      <c r="J181" s="33">
        <f>IF(OR(I181="OK",I181="BREACHED"),-INT(ROUND(-(H181)*100,6))/100,I181)</f>
        <v/>
      </c>
    </row>
    <row r="182" ht="18" customHeight="1">
      <c r="A182" s="9" t="n"/>
      <c r="B182" s="32" t="n"/>
      <c r="C182" s="12" t="n"/>
      <c r="D182" s="12" t="n"/>
      <c r="E182" s="12" t="n"/>
      <c r="F182" s="15">
        <f>IFERROR(MATCH($A182,Accounts!$A$2:$A$11,0),"")</f>
        <v/>
      </c>
      <c r="G182" s="14">
        <f>IFERROR(IF(OR($A182="",$F182=""),"",IF(INDEX(Accounts!$P$2:$P$11,$F182)="static",INDEX(Accounts!$Q$2:$Q$11,$F182),IF(INDEX(Accounts!$P$2:$P$11,$F182)="eod_trailing",MAX(INDEX(Accounts!$Q$2:$Q$11,$F182),_xlfn.MAXIFS($C$2:$C$1001,$A$2:$A$1001,$A182,$B$2:$B$1001,"&lt;"&amp;$B182)),MAX(INDEX(Accounts!$Q$2:$Q$11,$F182),_xlfn.MAXIFS($C$2:$C$1001,$A$2:$A$1001,$A182,$B$2:$B$1001,"&lt;"&amp;$B182),_xlfn.MAXIFS($D$2:$D$1001,$A$2:$A$1001,$A182,$B$2:$B$1001,"&lt;="&amp;$B182),$C182)))),"")</f>
        <v/>
      </c>
      <c r="H182" s="15">
        <f>IFERROR(IF(G182="","",IF(INDEX(Accounts!$P$2:$P$11,$F182)="static",INDEX(Accounts!$Q$2:$Q$11,$F182)-INDEX(Accounts!$R$2:$R$11,$F182),IF(INDEX(Accounts!$S$2:$S$11,$F182)="NONE",G182-INDEX(Accounts!$R$2:$R$11,$F182),MIN(G182-INDEX(Accounts!$R$2:$R$11,$F182),INDEX(Accounts!$Q$2:$Q$11,$F182)+INDEX(Accounts!$S$2:$S$11,$F182))))),"")</f>
        <v/>
      </c>
      <c r="I182" s="16">
        <f>IF(AND($A182="",$B182="",$C182="",$D182="",$E182=""),"",IF(OR($A182="",$F182=""),"UNKNOWN_ACCOUNT",IF(OR($B182="",$C182=""),"INCOMPLETE",IFERROR(IF(OR(NOT(ISNUMBER($B182)),NOT(ISNUMBER($C182)),IF(C182="",FALSE,IF(ISNUMBER(C182),OR(C182&lt;=0,C182&gt;100000000,ROUND(C182*100,6)&lt;&gt;INT(ROUND(C182*100,6))),TRUE)),IF(D182="",FALSE,IF(ISNUMBER(D182),OR(D182&lt;=0,D182&gt;100000000,ROUND(D182*100,6)&lt;&gt;INT(ROUND(D182*100,6))),TRUE)),IF(E182="",FALSE,IF(ISNUMBER(E182),OR(E182&lt;=0,E182&gt;100000000,ROUND(E182*100,6)&lt;&gt;INT(ROUND(E182*100,6))),TRUE)),AND($D182&lt;&gt;"",$D182&lt;MAX($C182,$E182)),AND($E182&lt;&gt;"",$E182&gt;MIN($C182,IF($D182="",$C182,$D182))),COUNTIFS($A$2:$A$1001,$A182,$B$2:$B$1001,$B182)&gt;1),"INVALID",IFERROR(IF(IF(INDEX(Accounts!$T$2:$T$11,$F182),ROUND(IF($E182="",$C182,MIN($C182,$E182))-(H182),6)&lt;=0,ROUND(IF($E182="",$C182,MIN($C182,$E182))-(H182),6)&lt;0),"BREACHED","OK"),"INCOMPLETE")),"INVALID"))))</f>
        <v/>
      </c>
      <c r="J182" s="33">
        <f>IF(OR(I182="OK",I182="BREACHED"),-INT(ROUND(-(H182)*100,6))/100,I182)</f>
        <v/>
      </c>
    </row>
    <row r="183" ht="18" customHeight="1">
      <c r="A183" s="9" t="n"/>
      <c r="B183" s="32" t="n"/>
      <c r="C183" s="12" t="n"/>
      <c r="D183" s="12" t="n"/>
      <c r="E183" s="12" t="n"/>
      <c r="F183" s="15">
        <f>IFERROR(MATCH($A183,Accounts!$A$2:$A$11,0),"")</f>
        <v/>
      </c>
      <c r="G183" s="14">
        <f>IFERROR(IF(OR($A183="",$F183=""),"",IF(INDEX(Accounts!$P$2:$P$11,$F183)="static",INDEX(Accounts!$Q$2:$Q$11,$F183),IF(INDEX(Accounts!$P$2:$P$11,$F183)="eod_trailing",MAX(INDEX(Accounts!$Q$2:$Q$11,$F183),_xlfn.MAXIFS($C$2:$C$1001,$A$2:$A$1001,$A183,$B$2:$B$1001,"&lt;"&amp;$B183)),MAX(INDEX(Accounts!$Q$2:$Q$11,$F183),_xlfn.MAXIFS($C$2:$C$1001,$A$2:$A$1001,$A183,$B$2:$B$1001,"&lt;"&amp;$B183),_xlfn.MAXIFS($D$2:$D$1001,$A$2:$A$1001,$A183,$B$2:$B$1001,"&lt;="&amp;$B183),$C183)))),"")</f>
        <v/>
      </c>
      <c r="H183" s="15">
        <f>IFERROR(IF(G183="","",IF(INDEX(Accounts!$P$2:$P$11,$F183)="static",INDEX(Accounts!$Q$2:$Q$11,$F183)-INDEX(Accounts!$R$2:$R$11,$F183),IF(INDEX(Accounts!$S$2:$S$11,$F183)="NONE",G183-INDEX(Accounts!$R$2:$R$11,$F183),MIN(G183-INDEX(Accounts!$R$2:$R$11,$F183),INDEX(Accounts!$Q$2:$Q$11,$F183)+INDEX(Accounts!$S$2:$S$11,$F183))))),"")</f>
        <v/>
      </c>
      <c r="I183" s="16">
        <f>IF(AND($A183="",$B183="",$C183="",$D183="",$E183=""),"",IF(OR($A183="",$F183=""),"UNKNOWN_ACCOUNT",IF(OR($B183="",$C183=""),"INCOMPLETE",IFERROR(IF(OR(NOT(ISNUMBER($B183)),NOT(ISNUMBER($C183)),IF(C183="",FALSE,IF(ISNUMBER(C183),OR(C183&lt;=0,C183&gt;100000000,ROUND(C183*100,6)&lt;&gt;INT(ROUND(C183*100,6))),TRUE)),IF(D183="",FALSE,IF(ISNUMBER(D183),OR(D183&lt;=0,D183&gt;100000000,ROUND(D183*100,6)&lt;&gt;INT(ROUND(D183*100,6))),TRUE)),IF(E183="",FALSE,IF(ISNUMBER(E183),OR(E183&lt;=0,E183&gt;100000000,ROUND(E183*100,6)&lt;&gt;INT(ROUND(E183*100,6))),TRUE)),AND($D183&lt;&gt;"",$D183&lt;MAX($C183,$E183)),AND($E183&lt;&gt;"",$E183&gt;MIN($C183,IF($D183="",$C183,$D183))),COUNTIFS($A$2:$A$1001,$A183,$B$2:$B$1001,$B183)&gt;1),"INVALID",IFERROR(IF(IF(INDEX(Accounts!$T$2:$T$11,$F183),ROUND(IF($E183="",$C183,MIN($C183,$E183))-(H183),6)&lt;=0,ROUND(IF($E183="",$C183,MIN($C183,$E183))-(H183),6)&lt;0),"BREACHED","OK"),"INCOMPLETE")),"INVALID"))))</f>
        <v/>
      </c>
      <c r="J183" s="33">
        <f>IF(OR(I183="OK",I183="BREACHED"),-INT(ROUND(-(H183)*100,6))/100,I183)</f>
        <v/>
      </c>
    </row>
    <row r="184" ht="18" customHeight="1">
      <c r="A184" s="9" t="n"/>
      <c r="B184" s="32" t="n"/>
      <c r="C184" s="12" t="n"/>
      <c r="D184" s="12" t="n"/>
      <c r="E184" s="12" t="n"/>
      <c r="F184" s="15">
        <f>IFERROR(MATCH($A184,Accounts!$A$2:$A$11,0),"")</f>
        <v/>
      </c>
      <c r="G184" s="14">
        <f>IFERROR(IF(OR($A184="",$F184=""),"",IF(INDEX(Accounts!$P$2:$P$11,$F184)="static",INDEX(Accounts!$Q$2:$Q$11,$F184),IF(INDEX(Accounts!$P$2:$P$11,$F184)="eod_trailing",MAX(INDEX(Accounts!$Q$2:$Q$11,$F184),_xlfn.MAXIFS($C$2:$C$1001,$A$2:$A$1001,$A184,$B$2:$B$1001,"&lt;"&amp;$B184)),MAX(INDEX(Accounts!$Q$2:$Q$11,$F184),_xlfn.MAXIFS($C$2:$C$1001,$A$2:$A$1001,$A184,$B$2:$B$1001,"&lt;"&amp;$B184),_xlfn.MAXIFS($D$2:$D$1001,$A$2:$A$1001,$A184,$B$2:$B$1001,"&lt;="&amp;$B184),$C184)))),"")</f>
        <v/>
      </c>
      <c r="H184" s="15">
        <f>IFERROR(IF(G184="","",IF(INDEX(Accounts!$P$2:$P$11,$F184)="static",INDEX(Accounts!$Q$2:$Q$11,$F184)-INDEX(Accounts!$R$2:$R$11,$F184),IF(INDEX(Accounts!$S$2:$S$11,$F184)="NONE",G184-INDEX(Accounts!$R$2:$R$11,$F184),MIN(G184-INDEX(Accounts!$R$2:$R$11,$F184),INDEX(Accounts!$Q$2:$Q$11,$F184)+INDEX(Accounts!$S$2:$S$11,$F184))))),"")</f>
        <v/>
      </c>
      <c r="I184" s="16">
        <f>IF(AND($A184="",$B184="",$C184="",$D184="",$E184=""),"",IF(OR($A184="",$F184=""),"UNKNOWN_ACCOUNT",IF(OR($B184="",$C184=""),"INCOMPLETE",IFERROR(IF(OR(NOT(ISNUMBER($B184)),NOT(ISNUMBER($C184)),IF(C184="",FALSE,IF(ISNUMBER(C184),OR(C184&lt;=0,C184&gt;100000000,ROUND(C184*100,6)&lt;&gt;INT(ROUND(C184*100,6))),TRUE)),IF(D184="",FALSE,IF(ISNUMBER(D184),OR(D184&lt;=0,D184&gt;100000000,ROUND(D184*100,6)&lt;&gt;INT(ROUND(D184*100,6))),TRUE)),IF(E184="",FALSE,IF(ISNUMBER(E184),OR(E184&lt;=0,E184&gt;100000000,ROUND(E184*100,6)&lt;&gt;INT(ROUND(E184*100,6))),TRUE)),AND($D184&lt;&gt;"",$D184&lt;MAX($C184,$E184)),AND($E184&lt;&gt;"",$E184&gt;MIN($C184,IF($D184="",$C184,$D184))),COUNTIFS($A$2:$A$1001,$A184,$B$2:$B$1001,$B184)&gt;1),"INVALID",IFERROR(IF(IF(INDEX(Accounts!$T$2:$T$11,$F184),ROUND(IF($E184="",$C184,MIN($C184,$E184))-(H184),6)&lt;=0,ROUND(IF($E184="",$C184,MIN($C184,$E184))-(H184),6)&lt;0),"BREACHED","OK"),"INCOMPLETE")),"INVALID"))))</f>
        <v/>
      </c>
      <c r="J184" s="33">
        <f>IF(OR(I184="OK",I184="BREACHED"),-INT(ROUND(-(H184)*100,6))/100,I184)</f>
        <v/>
      </c>
    </row>
    <row r="185" ht="18" customHeight="1">
      <c r="A185" s="9" t="n"/>
      <c r="B185" s="32" t="n"/>
      <c r="C185" s="12" t="n"/>
      <c r="D185" s="12" t="n"/>
      <c r="E185" s="12" t="n"/>
      <c r="F185" s="15">
        <f>IFERROR(MATCH($A185,Accounts!$A$2:$A$11,0),"")</f>
        <v/>
      </c>
      <c r="G185" s="14">
        <f>IFERROR(IF(OR($A185="",$F185=""),"",IF(INDEX(Accounts!$P$2:$P$11,$F185)="static",INDEX(Accounts!$Q$2:$Q$11,$F185),IF(INDEX(Accounts!$P$2:$P$11,$F185)="eod_trailing",MAX(INDEX(Accounts!$Q$2:$Q$11,$F185),_xlfn.MAXIFS($C$2:$C$1001,$A$2:$A$1001,$A185,$B$2:$B$1001,"&lt;"&amp;$B185)),MAX(INDEX(Accounts!$Q$2:$Q$11,$F185),_xlfn.MAXIFS($C$2:$C$1001,$A$2:$A$1001,$A185,$B$2:$B$1001,"&lt;"&amp;$B185),_xlfn.MAXIFS($D$2:$D$1001,$A$2:$A$1001,$A185,$B$2:$B$1001,"&lt;="&amp;$B185),$C185)))),"")</f>
        <v/>
      </c>
      <c r="H185" s="15">
        <f>IFERROR(IF(G185="","",IF(INDEX(Accounts!$P$2:$P$11,$F185)="static",INDEX(Accounts!$Q$2:$Q$11,$F185)-INDEX(Accounts!$R$2:$R$11,$F185),IF(INDEX(Accounts!$S$2:$S$11,$F185)="NONE",G185-INDEX(Accounts!$R$2:$R$11,$F185),MIN(G185-INDEX(Accounts!$R$2:$R$11,$F185),INDEX(Accounts!$Q$2:$Q$11,$F185)+INDEX(Accounts!$S$2:$S$11,$F185))))),"")</f>
        <v/>
      </c>
      <c r="I185" s="16">
        <f>IF(AND($A185="",$B185="",$C185="",$D185="",$E185=""),"",IF(OR($A185="",$F185=""),"UNKNOWN_ACCOUNT",IF(OR($B185="",$C185=""),"INCOMPLETE",IFERROR(IF(OR(NOT(ISNUMBER($B185)),NOT(ISNUMBER($C185)),IF(C185="",FALSE,IF(ISNUMBER(C185),OR(C185&lt;=0,C185&gt;100000000,ROUND(C185*100,6)&lt;&gt;INT(ROUND(C185*100,6))),TRUE)),IF(D185="",FALSE,IF(ISNUMBER(D185),OR(D185&lt;=0,D185&gt;100000000,ROUND(D185*100,6)&lt;&gt;INT(ROUND(D185*100,6))),TRUE)),IF(E185="",FALSE,IF(ISNUMBER(E185),OR(E185&lt;=0,E185&gt;100000000,ROUND(E185*100,6)&lt;&gt;INT(ROUND(E185*100,6))),TRUE)),AND($D185&lt;&gt;"",$D185&lt;MAX($C185,$E185)),AND($E185&lt;&gt;"",$E185&gt;MIN($C185,IF($D185="",$C185,$D185))),COUNTIFS($A$2:$A$1001,$A185,$B$2:$B$1001,$B185)&gt;1),"INVALID",IFERROR(IF(IF(INDEX(Accounts!$T$2:$T$11,$F185),ROUND(IF($E185="",$C185,MIN($C185,$E185))-(H185),6)&lt;=0,ROUND(IF($E185="",$C185,MIN($C185,$E185))-(H185),6)&lt;0),"BREACHED","OK"),"INCOMPLETE")),"INVALID"))))</f>
        <v/>
      </c>
      <c r="J185" s="33">
        <f>IF(OR(I185="OK",I185="BREACHED"),-INT(ROUND(-(H185)*100,6))/100,I185)</f>
        <v/>
      </c>
    </row>
    <row r="186" ht="18" customHeight="1">
      <c r="A186" s="9" t="n"/>
      <c r="B186" s="32" t="n"/>
      <c r="C186" s="12" t="n"/>
      <c r="D186" s="12" t="n"/>
      <c r="E186" s="12" t="n"/>
      <c r="F186" s="15">
        <f>IFERROR(MATCH($A186,Accounts!$A$2:$A$11,0),"")</f>
        <v/>
      </c>
      <c r="G186" s="14">
        <f>IFERROR(IF(OR($A186="",$F186=""),"",IF(INDEX(Accounts!$P$2:$P$11,$F186)="static",INDEX(Accounts!$Q$2:$Q$11,$F186),IF(INDEX(Accounts!$P$2:$P$11,$F186)="eod_trailing",MAX(INDEX(Accounts!$Q$2:$Q$11,$F186),_xlfn.MAXIFS($C$2:$C$1001,$A$2:$A$1001,$A186,$B$2:$B$1001,"&lt;"&amp;$B186)),MAX(INDEX(Accounts!$Q$2:$Q$11,$F186),_xlfn.MAXIFS($C$2:$C$1001,$A$2:$A$1001,$A186,$B$2:$B$1001,"&lt;"&amp;$B186),_xlfn.MAXIFS($D$2:$D$1001,$A$2:$A$1001,$A186,$B$2:$B$1001,"&lt;="&amp;$B186),$C186)))),"")</f>
        <v/>
      </c>
      <c r="H186" s="15">
        <f>IFERROR(IF(G186="","",IF(INDEX(Accounts!$P$2:$P$11,$F186)="static",INDEX(Accounts!$Q$2:$Q$11,$F186)-INDEX(Accounts!$R$2:$R$11,$F186),IF(INDEX(Accounts!$S$2:$S$11,$F186)="NONE",G186-INDEX(Accounts!$R$2:$R$11,$F186),MIN(G186-INDEX(Accounts!$R$2:$R$11,$F186),INDEX(Accounts!$Q$2:$Q$11,$F186)+INDEX(Accounts!$S$2:$S$11,$F186))))),"")</f>
        <v/>
      </c>
      <c r="I186" s="16">
        <f>IF(AND($A186="",$B186="",$C186="",$D186="",$E186=""),"",IF(OR($A186="",$F186=""),"UNKNOWN_ACCOUNT",IF(OR($B186="",$C186=""),"INCOMPLETE",IFERROR(IF(OR(NOT(ISNUMBER($B186)),NOT(ISNUMBER($C186)),IF(C186="",FALSE,IF(ISNUMBER(C186),OR(C186&lt;=0,C186&gt;100000000,ROUND(C186*100,6)&lt;&gt;INT(ROUND(C186*100,6))),TRUE)),IF(D186="",FALSE,IF(ISNUMBER(D186),OR(D186&lt;=0,D186&gt;100000000,ROUND(D186*100,6)&lt;&gt;INT(ROUND(D186*100,6))),TRUE)),IF(E186="",FALSE,IF(ISNUMBER(E186),OR(E186&lt;=0,E186&gt;100000000,ROUND(E186*100,6)&lt;&gt;INT(ROUND(E186*100,6))),TRUE)),AND($D186&lt;&gt;"",$D186&lt;MAX($C186,$E186)),AND($E186&lt;&gt;"",$E186&gt;MIN($C186,IF($D186="",$C186,$D186))),COUNTIFS($A$2:$A$1001,$A186,$B$2:$B$1001,$B186)&gt;1),"INVALID",IFERROR(IF(IF(INDEX(Accounts!$T$2:$T$11,$F186),ROUND(IF($E186="",$C186,MIN($C186,$E186))-(H186),6)&lt;=0,ROUND(IF($E186="",$C186,MIN($C186,$E186))-(H186),6)&lt;0),"BREACHED","OK"),"INCOMPLETE")),"INVALID"))))</f>
        <v/>
      </c>
      <c r="J186" s="33">
        <f>IF(OR(I186="OK",I186="BREACHED"),-INT(ROUND(-(H186)*100,6))/100,I186)</f>
        <v/>
      </c>
    </row>
    <row r="187" ht="18" customHeight="1">
      <c r="A187" s="9" t="n"/>
      <c r="B187" s="32" t="n"/>
      <c r="C187" s="12" t="n"/>
      <c r="D187" s="12" t="n"/>
      <c r="E187" s="12" t="n"/>
      <c r="F187" s="15">
        <f>IFERROR(MATCH($A187,Accounts!$A$2:$A$11,0),"")</f>
        <v/>
      </c>
      <c r="G187" s="14">
        <f>IFERROR(IF(OR($A187="",$F187=""),"",IF(INDEX(Accounts!$P$2:$P$11,$F187)="static",INDEX(Accounts!$Q$2:$Q$11,$F187),IF(INDEX(Accounts!$P$2:$P$11,$F187)="eod_trailing",MAX(INDEX(Accounts!$Q$2:$Q$11,$F187),_xlfn.MAXIFS($C$2:$C$1001,$A$2:$A$1001,$A187,$B$2:$B$1001,"&lt;"&amp;$B187)),MAX(INDEX(Accounts!$Q$2:$Q$11,$F187),_xlfn.MAXIFS($C$2:$C$1001,$A$2:$A$1001,$A187,$B$2:$B$1001,"&lt;"&amp;$B187),_xlfn.MAXIFS($D$2:$D$1001,$A$2:$A$1001,$A187,$B$2:$B$1001,"&lt;="&amp;$B187),$C187)))),"")</f>
        <v/>
      </c>
      <c r="H187" s="15">
        <f>IFERROR(IF(G187="","",IF(INDEX(Accounts!$P$2:$P$11,$F187)="static",INDEX(Accounts!$Q$2:$Q$11,$F187)-INDEX(Accounts!$R$2:$R$11,$F187),IF(INDEX(Accounts!$S$2:$S$11,$F187)="NONE",G187-INDEX(Accounts!$R$2:$R$11,$F187),MIN(G187-INDEX(Accounts!$R$2:$R$11,$F187),INDEX(Accounts!$Q$2:$Q$11,$F187)+INDEX(Accounts!$S$2:$S$11,$F187))))),"")</f>
        <v/>
      </c>
      <c r="I187" s="16">
        <f>IF(AND($A187="",$B187="",$C187="",$D187="",$E187=""),"",IF(OR($A187="",$F187=""),"UNKNOWN_ACCOUNT",IF(OR($B187="",$C187=""),"INCOMPLETE",IFERROR(IF(OR(NOT(ISNUMBER($B187)),NOT(ISNUMBER($C187)),IF(C187="",FALSE,IF(ISNUMBER(C187),OR(C187&lt;=0,C187&gt;100000000,ROUND(C187*100,6)&lt;&gt;INT(ROUND(C187*100,6))),TRUE)),IF(D187="",FALSE,IF(ISNUMBER(D187),OR(D187&lt;=0,D187&gt;100000000,ROUND(D187*100,6)&lt;&gt;INT(ROUND(D187*100,6))),TRUE)),IF(E187="",FALSE,IF(ISNUMBER(E187),OR(E187&lt;=0,E187&gt;100000000,ROUND(E187*100,6)&lt;&gt;INT(ROUND(E187*100,6))),TRUE)),AND($D187&lt;&gt;"",$D187&lt;MAX($C187,$E187)),AND($E187&lt;&gt;"",$E187&gt;MIN($C187,IF($D187="",$C187,$D187))),COUNTIFS($A$2:$A$1001,$A187,$B$2:$B$1001,$B187)&gt;1),"INVALID",IFERROR(IF(IF(INDEX(Accounts!$T$2:$T$11,$F187),ROUND(IF($E187="",$C187,MIN($C187,$E187))-(H187),6)&lt;=0,ROUND(IF($E187="",$C187,MIN($C187,$E187))-(H187),6)&lt;0),"BREACHED","OK"),"INCOMPLETE")),"INVALID"))))</f>
        <v/>
      </c>
      <c r="J187" s="33">
        <f>IF(OR(I187="OK",I187="BREACHED"),-INT(ROUND(-(H187)*100,6))/100,I187)</f>
        <v/>
      </c>
    </row>
    <row r="188" ht="18" customHeight="1">
      <c r="A188" s="9" t="n"/>
      <c r="B188" s="32" t="n"/>
      <c r="C188" s="12" t="n"/>
      <c r="D188" s="12" t="n"/>
      <c r="E188" s="12" t="n"/>
      <c r="F188" s="15">
        <f>IFERROR(MATCH($A188,Accounts!$A$2:$A$11,0),"")</f>
        <v/>
      </c>
      <c r="G188" s="14">
        <f>IFERROR(IF(OR($A188="",$F188=""),"",IF(INDEX(Accounts!$P$2:$P$11,$F188)="static",INDEX(Accounts!$Q$2:$Q$11,$F188),IF(INDEX(Accounts!$P$2:$P$11,$F188)="eod_trailing",MAX(INDEX(Accounts!$Q$2:$Q$11,$F188),_xlfn.MAXIFS($C$2:$C$1001,$A$2:$A$1001,$A188,$B$2:$B$1001,"&lt;"&amp;$B188)),MAX(INDEX(Accounts!$Q$2:$Q$11,$F188),_xlfn.MAXIFS($C$2:$C$1001,$A$2:$A$1001,$A188,$B$2:$B$1001,"&lt;"&amp;$B188),_xlfn.MAXIFS($D$2:$D$1001,$A$2:$A$1001,$A188,$B$2:$B$1001,"&lt;="&amp;$B188),$C188)))),"")</f>
        <v/>
      </c>
      <c r="H188" s="15">
        <f>IFERROR(IF(G188="","",IF(INDEX(Accounts!$P$2:$P$11,$F188)="static",INDEX(Accounts!$Q$2:$Q$11,$F188)-INDEX(Accounts!$R$2:$R$11,$F188),IF(INDEX(Accounts!$S$2:$S$11,$F188)="NONE",G188-INDEX(Accounts!$R$2:$R$11,$F188),MIN(G188-INDEX(Accounts!$R$2:$R$11,$F188),INDEX(Accounts!$Q$2:$Q$11,$F188)+INDEX(Accounts!$S$2:$S$11,$F188))))),"")</f>
        <v/>
      </c>
      <c r="I188" s="16">
        <f>IF(AND($A188="",$B188="",$C188="",$D188="",$E188=""),"",IF(OR($A188="",$F188=""),"UNKNOWN_ACCOUNT",IF(OR($B188="",$C188=""),"INCOMPLETE",IFERROR(IF(OR(NOT(ISNUMBER($B188)),NOT(ISNUMBER($C188)),IF(C188="",FALSE,IF(ISNUMBER(C188),OR(C188&lt;=0,C188&gt;100000000,ROUND(C188*100,6)&lt;&gt;INT(ROUND(C188*100,6))),TRUE)),IF(D188="",FALSE,IF(ISNUMBER(D188),OR(D188&lt;=0,D188&gt;100000000,ROUND(D188*100,6)&lt;&gt;INT(ROUND(D188*100,6))),TRUE)),IF(E188="",FALSE,IF(ISNUMBER(E188),OR(E188&lt;=0,E188&gt;100000000,ROUND(E188*100,6)&lt;&gt;INT(ROUND(E188*100,6))),TRUE)),AND($D188&lt;&gt;"",$D188&lt;MAX($C188,$E188)),AND($E188&lt;&gt;"",$E188&gt;MIN($C188,IF($D188="",$C188,$D188))),COUNTIFS($A$2:$A$1001,$A188,$B$2:$B$1001,$B188)&gt;1),"INVALID",IFERROR(IF(IF(INDEX(Accounts!$T$2:$T$11,$F188),ROUND(IF($E188="",$C188,MIN($C188,$E188))-(H188),6)&lt;=0,ROUND(IF($E188="",$C188,MIN($C188,$E188))-(H188),6)&lt;0),"BREACHED","OK"),"INCOMPLETE")),"INVALID"))))</f>
        <v/>
      </c>
      <c r="J188" s="33">
        <f>IF(OR(I188="OK",I188="BREACHED"),-INT(ROUND(-(H188)*100,6))/100,I188)</f>
        <v/>
      </c>
    </row>
    <row r="189" ht="18" customHeight="1">
      <c r="A189" s="9" t="n"/>
      <c r="B189" s="32" t="n"/>
      <c r="C189" s="12" t="n"/>
      <c r="D189" s="12" t="n"/>
      <c r="E189" s="12" t="n"/>
      <c r="F189" s="15">
        <f>IFERROR(MATCH($A189,Accounts!$A$2:$A$11,0),"")</f>
        <v/>
      </c>
      <c r="G189" s="14">
        <f>IFERROR(IF(OR($A189="",$F189=""),"",IF(INDEX(Accounts!$P$2:$P$11,$F189)="static",INDEX(Accounts!$Q$2:$Q$11,$F189),IF(INDEX(Accounts!$P$2:$P$11,$F189)="eod_trailing",MAX(INDEX(Accounts!$Q$2:$Q$11,$F189),_xlfn.MAXIFS($C$2:$C$1001,$A$2:$A$1001,$A189,$B$2:$B$1001,"&lt;"&amp;$B189)),MAX(INDEX(Accounts!$Q$2:$Q$11,$F189),_xlfn.MAXIFS($C$2:$C$1001,$A$2:$A$1001,$A189,$B$2:$B$1001,"&lt;"&amp;$B189),_xlfn.MAXIFS($D$2:$D$1001,$A$2:$A$1001,$A189,$B$2:$B$1001,"&lt;="&amp;$B189),$C189)))),"")</f>
        <v/>
      </c>
      <c r="H189" s="15">
        <f>IFERROR(IF(G189="","",IF(INDEX(Accounts!$P$2:$P$11,$F189)="static",INDEX(Accounts!$Q$2:$Q$11,$F189)-INDEX(Accounts!$R$2:$R$11,$F189),IF(INDEX(Accounts!$S$2:$S$11,$F189)="NONE",G189-INDEX(Accounts!$R$2:$R$11,$F189),MIN(G189-INDEX(Accounts!$R$2:$R$11,$F189),INDEX(Accounts!$Q$2:$Q$11,$F189)+INDEX(Accounts!$S$2:$S$11,$F189))))),"")</f>
        <v/>
      </c>
      <c r="I189" s="16">
        <f>IF(AND($A189="",$B189="",$C189="",$D189="",$E189=""),"",IF(OR($A189="",$F189=""),"UNKNOWN_ACCOUNT",IF(OR($B189="",$C189=""),"INCOMPLETE",IFERROR(IF(OR(NOT(ISNUMBER($B189)),NOT(ISNUMBER($C189)),IF(C189="",FALSE,IF(ISNUMBER(C189),OR(C189&lt;=0,C189&gt;100000000,ROUND(C189*100,6)&lt;&gt;INT(ROUND(C189*100,6))),TRUE)),IF(D189="",FALSE,IF(ISNUMBER(D189),OR(D189&lt;=0,D189&gt;100000000,ROUND(D189*100,6)&lt;&gt;INT(ROUND(D189*100,6))),TRUE)),IF(E189="",FALSE,IF(ISNUMBER(E189),OR(E189&lt;=0,E189&gt;100000000,ROUND(E189*100,6)&lt;&gt;INT(ROUND(E189*100,6))),TRUE)),AND($D189&lt;&gt;"",$D189&lt;MAX($C189,$E189)),AND($E189&lt;&gt;"",$E189&gt;MIN($C189,IF($D189="",$C189,$D189))),COUNTIFS($A$2:$A$1001,$A189,$B$2:$B$1001,$B189)&gt;1),"INVALID",IFERROR(IF(IF(INDEX(Accounts!$T$2:$T$11,$F189),ROUND(IF($E189="",$C189,MIN($C189,$E189))-(H189),6)&lt;=0,ROUND(IF($E189="",$C189,MIN($C189,$E189))-(H189),6)&lt;0),"BREACHED","OK"),"INCOMPLETE")),"INVALID"))))</f>
        <v/>
      </c>
      <c r="J189" s="33">
        <f>IF(OR(I189="OK",I189="BREACHED"),-INT(ROUND(-(H189)*100,6))/100,I189)</f>
        <v/>
      </c>
    </row>
    <row r="190" ht="18" customHeight="1">
      <c r="A190" s="9" t="n"/>
      <c r="B190" s="32" t="n"/>
      <c r="C190" s="12" t="n"/>
      <c r="D190" s="12" t="n"/>
      <c r="E190" s="12" t="n"/>
      <c r="F190" s="15">
        <f>IFERROR(MATCH($A190,Accounts!$A$2:$A$11,0),"")</f>
        <v/>
      </c>
      <c r="G190" s="14">
        <f>IFERROR(IF(OR($A190="",$F190=""),"",IF(INDEX(Accounts!$P$2:$P$11,$F190)="static",INDEX(Accounts!$Q$2:$Q$11,$F190),IF(INDEX(Accounts!$P$2:$P$11,$F190)="eod_trailing",MAX(INDEX(Accounts!$Q$2:$Q$11,$F190),_xlfn.MAXIFS($C$2:$C$1001,$A$2:$A$1001,$A190,$B$2:$B$1001,"&lt;"&amp;$B190)),MAX(INDEX(Accounts!$Q$2:$Q$11,$F190),_xlfn.MAXIFS($C$2:$C$1001,$A$2:$A$1001,$A190,$B$2:$B$1001,"&lt;"&amp;$B190),_xlfn.MAXIFS($D$2:$D$1001,$A$2:$A$1001,$A190,$B$2:$B$1001,"&lt;="&amp;$B190),$C190)))),"")</f>
        <v/>
      </c>
      <c r="H190" s="15">
        <f>IFERROR(IF(G190="","",IF(INDEX(Accounts!$P$2:$P$11,$F190)="static",INDEX(Accounts!$Q$2:$Q$11,$F190)-INDEX(Accounts!$R$2:$R$11,$F190),IF(INDEX(Accounts!$S$2:$S$11,$F190)="NONE",G190-INDEX(Accounts!$R$2:$R$11,$F190),MIN(G190-INDEX(Accounts!$R$2:$R$11,$F190),INDEX(Accounts!$Q$2:$Q$11,$F190)+INDEX(Accounts!$S$2:$S$11,$F190))))),"")</f>
        <v/>
      </c>
      <c r="I190" s="16">
        <f>IF(AND($A190="",$B190="",$C190="",$D190="",$E190=""),"",IF(OR($A190="",$F190=""),"UNKNOWN_ACCOUNT",IF(OR($B190="",$C190=""),"INCOMPLETE",IFERROR(IF(OR(NOT(ISNUMBER($B190)),NOT(ISNUMBER($C190)),IF(C190="",FALSE,IF(ISNUMBER(C190),OR(C190&lt;=0,C190&gt;100000000,ROUND(C190*100,6)&lt;&gt;INT(ROUND(C190*100,6))),TRUE)),IF(D190="",FALSE,IF(ISNUMBER(D190),OR(D190&lt;=0,D190&gt;100000000,ROUND(D190*100,6)&lt;&gt;INT(ROUND(D190*100,6))),TRUE)),IF(E190="",FALSE,IF(ISNUMBER(E190),OR(E190&lt;=0,E190&gt;100000000,ROUND(E190*100,6)&lt;&gt;INT(ROUND(E190*100,6))),TRUE)),AND($D190&lt;&gt;"",$D190&lt;MAX($C190,$E190)),AND($E190&lt;&gt;"",$E190&gt;MIN($C190,IF($D190="",$C190,$D190))),COUNTIFS($A$2:$A$1001,$A190,$B$2:$B$1001,$B190)&gt;1),"INVALID",IFERROR(IF(IF(INDEX(Accounts!$T$2:$T$11,$F190),ROUND(IF($E190="",$C190,MIN($C190,$E190))-(H190),6)&lt;=0,ROUND(IF($E190="",$C190,MIN($C190,$E190))-(H190),6)&lt;0),"BREACHED","OK"),"INCOMPLETE")),"INVALID"))))</f>
        <v/>
      </c>
      <c r="J190" s="33">
        <f>IF(OR(I190="OK",I190="BREACHED"),-INT(ROUND(-(H190)*100,6))/100,I190)</f>
        <v/>
      </c>
    </row>
    <row r="191" ht="18" customHeight="1">
      <c r="A191" s="9" t="n"/>
      <c r="B191" s="32" t="n"/>
      <c r="C191" s="12" t="n"/>
      <c r="D191" s="12" t="n"/>
      <c r="E191" s="12" t="n"/>
      <c r="F191" s="15">
        <f>IFERROR(MATCH($A191,Accounts!$A$2:$A$11,0),"")</f>
        <v/>
      </c>
      <c r="G191" s="14">
        <f>IFERROR(IF(OR($A191="",$F191=""),"",IF(INDEX(Accounts!$P$2:$P$11,$F191)="static",INDEX(Accounts!$Q$2:$Q$11,$F191),IF(INDEX(Accounts!$P$2:$P$11,$F191)="eod_trailing",MAX(INDEX(Accounts!$Q$2:$Q$11,$F191),_xlfn.MAXIFS($C$2:$C$1001,$A$2:$A$1001,$A191,$B$2:$B$1001,"&lt;"&amp;$B191)),MAX(INDEX(Accounts!$Q$2:$Q$11,$F191),_xlfn.MAXIFS($C$2:$C$1001,$A$2:$A$1001,$A191,$B$2:$B$1001,"&lt;"&amp;$B191),_xlfn.MAXIFS($D$2:$D$1001,$A$2:$A$1001,$A191,$B$2:$B$1001,"&lt;="&amp;$B191),$C191)))),"")</f>
        <v/>
      </c>
      <c r="H191" s="15">
        <f>IFERROR(IF(G191="","",IF(INDEX(Accounts!$P$2:$P$11,$F191)="static",INDEX(Accounts!$Q$2:$Q$11,$F191)-INDEX(Accounts!$R$2:$R$11,$F191),IF(INDEX(Accounts!$S$2:$S$11,$F191)="NONE",G191-INDEX(Accounts!$R$2:$R$11,$F191),MIN(G191-INDEX(Accounts!$R$2:$R$11,$F191),INDEX(Accounts!$Q$2:$Q$11,$F191)+INDEX(Accounts!$S$2:$S$11,$F191))))),"")</f>
        <v/>
      </c>
      <c r="I191" s="16">
        <f>IF(AND($A191="",$B191="",$C191="",$D191="",$E191=""),"",IF(OR($A191="",$F191=""),"UNKNOWN_ACCOUNT",IF(OR($B191="",$C191=""),"INCOMPLETE",IFERROR(IF(OR(NOT(ISNUMBER($B191)),NOT(ISNUMBER($C191)),IF(C191="",FALSE,IF(ISNUMBER(C191),OR(C191&lt;=0,C191&gt;100000000,ROUND(C191*100,6)&lt;&gt;INT(ROUND(C191*100,6))),TRUE)),IF(D191="",FALSE,IF(ISNUMBER(D191),OR(D191&lt;=0,D191&gt;100000000,ROUND(D191*100,6)&lt;&gt;INT(ROUND(D191*100,6))),TRUE)),IF(E191="",FALSE,IF(ISNUMBER(E191),OR(E191&lt;=0,E191&gt;100000000,ROUND(E191*100,6)&lt;&gt;INT(ROUND(E191*100,6))),TRUE)),AND($D191&lt;&gt;"",$D191&lt;MAX($C191,$E191)),AND($E191&lt;&gt;"",$E191&gt;MIN($C191,IF($D191="",$C191,$D191))),COUNTIFS($A$2:$A$1001,$A191,$B$2:$B$1001,$B191)&gt;1),"INVALID",IFERROR(IF(IF(INDEX(Accounts!$T$2:$T$11,$F191),ROUND(IF($E191="",$C191,MIN($C191,$E191))-(H191),6)&lt;=0,ROUND(IF($E191="",$C191,MIN($C191,$E191))-(H191),6)&lt;0),"BREACHED","OK"),"INCOMPLETE")),"INVALID"))))</f>
        <v/>
      </c>
      <c r="J191" s="33">
        <f>IF(OR(I191="OK",I191="BREACHED"),-INT(ROUND(-(H191)*100,6))/100,I191)</f>
        <v/>
      </c>
    </row>
    <row r="192" ht="18" customHeight="1">
      <c r="A192" s="9" t="n"/>
      <c r="B192" s="32" t="n"/>
      <c r="C192" s="12" t="n"/>
      <c r="D192" s="12" t="n"/>
      <c r="E192" s="12" t="n"/>
      <c r="F192" s="15">
        <f>IFERROR(MATCH($A192,Accounts!$A$2:$A$11,0),"")</f>
        <v/>
      </c>
      <c r="G192" s="14">
        <f>IFERROR(IF(OR($A192="",$F192=""),"",IF(INDEX(Accounts!$P$2:$P$11,$F192)="static",INDEX(Accounts!$Q$2:$Q$11,$F192),IF(INDEX(Accounts!$P$2:$P$11,$F192)="eod_trailing",MAX(INDEX(Accounts!$Q$2:$Q$11,$F192),_xlfn.MAXIFS($C$2:$C$1001,$A$2:$A$1001,$A192,$B$2:$B$1001,"&lt;"&amp;$B192)),MAX(INDEX(Accounts!$Q$2:$Q$11,$F192),_xlfn.MAXIFS($C$2:$C$1001,$A$2:$A$1001,$A192,$B$2:$B$1001,"&lt;"&amp;$B192),_xlfn.MAXIFS($D$2:$D$1001,$A$2:$A$1001,$A192,$B$2:$B$1001,"&lt;="&amp;$B192),$C192)))),"")</f>
        <v/>
      </c>
      <c r="H192" s="15">
        <f>IFERROR(IF(G192="","",IF(INDEX(Accounts!$P$2:$P$11,$F192)="static",INDEX(Accounts!$Q$2:$Q$11,$F192)-INDEX(Accounts!$R$2:$R$11,$F192),IF(INDEX(Accounts!$S$2:$S$11,$F192)="NONE",G192-INDEX(Accounts!$R$2:$R$11,$F192),MIN(G192-INDEX(Accounts!$R$2:$R$11,$F192),INDEX(Accounts!$Q$2:$Q$11,$F192)+INDEX(Accounts!$S$2:$S$11,$F192))))),"")</f>
        <v/>
      </c>
      <c r="I192" s="16">
        <f>IF(AND($A192="",$B192="",$C192="",$D192="",$E192=""),"",IF(OR($A192="",$F192=""),"UNKNOWN_ACCOUNT",IF(OR($B192="",$C192=""),"INCOMPLETE",IFERROR(IF(OR(NOT(ISNUMBER($B192)),NOT(ISNUMBER($C192)),IF(C192="",FALSE,IF(ISNUMBER(C192),OR(C192&lt;=0,C192&gt;100000000,ROUND(C192*100,6)&lt;&gt;INT(ROUND(C192*100,6))),TRUE)),IF(D192="",FALSE,IF(ISNUMBER(D192),OR(D192&lt;=0,D192&gt;100000000,ROUND(D192*100,6)&lt;&gt;INT(ROUND(D192*100,6))),TRUE)),IF(E192="",FALSE,IF(ISNUMBER(E192),OR(E192&lt;=0,E192&gt;100000000,ROUND(E192*100,6)&lt;&gt;INT(ROUND(E192*100,6))),TRUE)),AND($D192&lt;&gt;"",$D192&lt;MAX($C192,$E192)),AND($E192&lt;&gt;"",$E192&gt;MIN($C192,IF($D192="",$C192,$D192))),COUNTIFS($A$2:$A$1001,$A192,$B$2:$B$1001,$B192)&gt;1),"INVALID",IFERROR(IF(IF(INDEX(Accounts!$T$2:$T$11,$F192),ROUND(IF($E192="",$C192,MIN($C192,$E192))-(H192),6)&lt;=0,ROUND(IF($E192="",$C192,MIN($C192,$E192))-(H192),6)&lt;0),"BREACHED","OK"),"INCOMPLETE")),"INVALID"))))</f>
        <v/>
      </c>
      <c r="J192" s="33">
        <f>IF(OR(I192="OK",I192="BREACHED"),-INT(ROUND(-(H192)*100,6))/100,I192)</f>
        <v/>
      </c>
    </row>
    <row r="193" ht="18" customHeight="1">
      <c r="A193" s="9" t="n"/>
      <c r="B193" s="32" t="n"/>
      <c r="C193" s="12" t="n"/>
      <c r="D193" s="12" t="n"/>
      <c r="E193" s="12" t="n"/>
      <c r="F193" s="15">
        <f>IFERROR(MATCH($A193,Accounts!$A$2:$A$11,0),"")</f>
        <v/>
      </c>
      <c r="G193" s="14">
        <f>IFERROR(IF(OR($A193="",$F193=""),"",IF(INDEX(Accounts!$P$2:$P$11,$F193)="static",INDEX(Accounts!$Q$2:$Q$11,$F193),IF(INDEX(Accounts!$P$2:$P$11,$F193)="eod_trailing",MAX(INDEX(Accounts!$Q$2:$Q$11,$F193),_xlfn.MAXIFS($C$2:$C$1001,$A$2:$A$1001,$A193,$B$2:$B$1001,"&lt;"&amp;$B193)),MAX(INDEX(Accounts!$Q$2:$Q$11,$F193),_xlfn.MAXIFS($C$2:$C$1001,$A$2:$A$1001,$A193,$B$2:$B$1001,"&lt;"&amp;$B193),_xlfn.MAXIFS($D$2:$D$1001,$A$2:$A$1001,$A193,$B$2:$B$1001,"&lt;="&amp;$B193),$C193)))),"")</f>
        <v/>
      </c>
      <c r="H193" s="15">
        <f>IFERROR(IF(G193="","",IF(INDEX(Accounts!$P$2:$P$11,$F193)="static",INDEX(Accounts!$Q$2:$Q$11,$F193)-INDEX(Accounts!$R$2:$R$11,$F193),IF(INDEX(Accounts!$S$2:$S$11,$F193)="NONE",G193-INDEX(Accounts!$R$2:$R$11,$F193),MIN(G193-INDEX(Accounts!$R$2:$R$11,$F193),INDEX(Accounts!$Q$2:$Q$11,$F193)+INDEX(Accounts!$S$2:$S$11,$F193))))),"")</f>
        <v/>
      </c>
      <c r="I193" s="16">
        <f>IF(AND($A193="",$B193="",$C193="",$D193="",$E193=""),"",IF(OR($A193="",$F193=""),"UNKNOWN_ACCOUNT",IF(OR($B193="",$C193=""),"INCOMPLETE",IFERROR(IF(OR(NOT(ISNUMBER($B193)),NOT(ISNUMBER($C193)),IF(C193="",FALSE,IF(ISNUMBER(C193),OR(C193&lt;=0,C193&gt;100000000,ROUND(C193*100,6)&lt;&gt;INT(ROUND(C193*100,6))),TRUE)),IF(D193="",FALSE,IF(ISNUMBER(D193),OR(D193&lt;=0,D193&gt;100000000,ROUND(D193*100,6)&lt;&gt;INT(ROUND(D193*100,6))),TRUE)),IF(E193="",FALSE,IF(ISNUMBER(E193),OR(E193&lt;=0,E193&gt;100000000,ROUND(E193*100,6)&lt;&gt;INT(ROUND(E193*100,6))),TRUE)),AND($D193&lt;&gt;"",$D193&lt;MAX($C193,$E193)),AND($E193&lt;&gt;"",$E193&gt;MIN($C193,IF($D193="",$C193,$D193))),COUNTIFS($A$2:$A$1001,$A193,$B$2:$B$1001,$B193)&gt;1),"INVALID",IFERROR(IF(IF(INDEX(Accounts!$T$2:$T$11,$F193),ROUND(IF($E193="",$C193,MIN($C193,$E193))-(H193),6)&lt;=0,ROUND(IF($E193="",$C193,MIN($C193,$E193))-(H193),6)&lt;0),"BREACHED","OK"),"INCOMPLETE")),"INVALID"))))</f>
        <v/>
      </c>
      <c r="J193" s="33">
        <f>IF(OR(I193="OK",I193="BREACHED"),-INT(ROUND(-(H193)*100,6))/100,I193)</f>
        <v/>
      </c>
    </row>
    <row r="194" ht="18" customHeight="1">
      <c r="A194" s="9" t="n"/>
      <c r="B194" s="32" t="n"/>
      <c r="C194" s="12" t="n"/>
      <c r="D194" s="12" t="n"/>
      <c r="E194" s="12" t="n"/>
      <c r="F194" s="15">
        <f>IFERROR(MATCH($A194,Accounts!$A$2:$A$11,0),"")</f>
        <v/>
      </c>
      <c r="G194" s="14">
        <f>IFERROR(IF(OR($A194="",$F194=""),"",IF(INDEX(Accounts!$P$2:$P$11,$F194)="static",INDEX(Accounts!$Q$2:$Q$11,$F194),IF(INDEX(Accounts!$P$2:$P$11,$F194)="eod_trailing",MAX(INDEX(Accounts!$Q$2:$Q$11,$F194),_xlfn.MAXIFS($C$2:$C$1001,$A$2:$A$1001,$A194,$B$2:$B$1001,"&lt;"&amp;$B194)),MAX(INDEX(Accounts!$Q$2:$Q$11,$F194),_xlfn.MAXIFS($C$2:$C$1001,$A$2:$A$1001,$A194,$B$2:$B$1001,"&lt;"&amp;$B194),_xlfn.MAXIFS($D$2:$D$1001,$A$2:$A$1001,$A194,$B$2:$B$1001,"&lt;="&amp;$B194),$C194)))),"")</f>
        <v/>
      </c>
      <c r="H194" s="15">
        <f>IFERROR(IF(G194="","",IF(INDEX(Accounts!$P$2:$P$11,$F194)="static",INDEX(Accounts!$Q$2:$Q$11,$F194)-INDEX(Accounts!$R$2:$R$11,$F194),IF(INDEX(Accounts!$S$2:$S$11,$F194)="NONE",G194-INDEX(Accounts!$R$2:$R$11,$F194),MIN(G194-INDEX(Accounts!$R$2:$R$11,$F194),INDEX(Accounts!$Q$2:$Q$11,$F194)+INDEX(Accounts!$S$2:$S$11,$F194))))),"")</f>
        <v/>
      </c>
      <c r="I194" s="16">
        <f>IF(AND($A194="",$B194="",$C194="",$D194="",$E194=""),"",IF(OR($A194="",$F194=""),"UNKNOWN_ACCOUNT",IF(OR($B194="",$C194=""),"INCOMPLETE",IFERROR(IF(OR(NOT(ISNUMBER($B194)),NOT(ISNUMBER($C194)),IF(C194="",FALSE,IF(ISNUMBER(C194),OR(C194&lt;=0,C194&gt;100000000,ROUND(C194*100,6)&lt;&gt;INT(ROUND(C194*100,6))),TRUE)),IF(D194="",FALSE,IF(ISNUMBER(D194),OR(D194&lt;=0,D194&gt;100000000,ROUND(D194*100,6)&lt;&gt;INT(ROUND(D194*100,6))),TRUE)),IF(E194="",FALSE,IF(ISNUMBER(E194),OR(E194&lt;=0,E194&gt;100000000,ROUND(E194*100,6)&lt;&gt;INT(ROUND(E194*100,6))),TRUE)),AND($D194&lt;&gt;"",$D194&lt;MAX($C194,$E194)),AND($E194&lt;&gt;"",$E194&gt;MIN($C194,IF($D194="",$C194,$D194))),COUNTIFS($A$2:$A$1001,$A194,$B$2:$B$1001,$B194)&gt;1),"INVALID",IFERROR(IF(IF(INDEX(Accounts!$T$2:$T$11,$F194),ROUND(IF($E194="",$C194,MIN($C194,$E194))-(H194),6)&lt;=0,ROUND(IF($E194="",$C194,MIN($C194,$E194))-(H194),6)&lt;0),"BREACHED","OK"),"INCOMPLETE")),"INVALID"))))</f>
        <v/>
      </c>
      <c r="J194" s="33">
        <f>IF(OR(I194="OK",I194="BREACHED"),-INT(ROUND(-(H194)*100,6))/100,I194)</f>
        <v/>
      </c>
    </row>
    <row r="195" ht="18" customHeight="1">
      <c r="A195" s="9" t="n"/>
      <c r="B195" s="32" t="n"/>
      <c r="C195" s="12" t="n"/>
      <c r="D195" s="12" t="n"/>
      <c r="E195" s="12" t="n"/>
      <c r="F195" s="15">
        <f>IFERROR(MATCH($A195,Accounts!$A$2:$A$11,0),"")</f>
        <v/>
      </c>
      <c r="G195" s="14">
        <f>IFERROR(IF(OR($A195="",$F195=""),"",IF(INDEX(Accounts!$P$2:$P$11,$F195)="static",INDEX(Accounts!$Q$2:$Q$11,$F195),IF(INDEX(Accounts!$P$2:$P$11,$F195)="eod_trailing",MAX(INDEX(Accounts!$Q$2:$Q$11,$F195),_xlfn.MAXIFS($C$2:$C$1001,$A$2:$A$1001,$A195,$B$2:$B$1001,"&lt;"&amp;$B195)),MAX(INDEX(Accounts!$Q$2:$Q$11,$F195),_xlfn.MAXIFS($C$2:$C$1001,$A$2:$A$1001,$A195,$B$2:$B$1001,"&lt;"&amp;$B195),_xlfn.MAXIFS($D$2:$D$1001,$A$2:$A$1001,$A195,$B$2:$B$1001,"&lt;="&amp;$B195),$C195)))),"")</f>
        <v/>
      </c>
      <c r="H195" s="15">
        <f>IFERROR(IF(G195="","",IF(INDEX(Accounts!$P$2:$P$11,$F195)="static",INDEX(Accounts!$Q$2:$Q$11,$F195)-INDEX(Accounts!$R$2:$R$11,$F195),IF(INDEX(Accounts!$S$2:$S$11,$F195)="NONE",G195-INDEX(Accounts!$R$2:$R$11,$F195),MIN(G195-INDEX(Accounts!$R$2:$R$11,$F195),INDEX(Accounts!$Q$2:$Q$11,$F195)+INDEX(Accounts!$S$2:$S$11,$F195))))),"")</f>
        <v/>
      </c>
      <c r="I195" s="16">
        <f>IF(AND($A195="",$B195="",$C195="",$D195="",$E195=""),"",IF(OR($A195="",$F195=""),"UNKNOWN_ACCOUNT",IF(OR($B195="",$C195=""),"INCOMPLETE",IFERROR(IF(OR(NOT(ISNUMBER($B195)),NOT(ISNUMBER($C195)),IF(C195="",FALSE,IF(ISNUMBER(C195),OR(C195&lt;=0,C195&gt;100000000,ROUND(C195*100,6)&lt;&gt;INT(ROUND(C195*100,6))),TRUE)),IF(D195="",FALSE,IF(ISNUMBER(D195),OR(D195&lt;=0,D195&gt;100000000,ROUND(D195*100,6)&lt;&gt;INT(ROUND(D195*100,6))),TRUE)),IF(E195="",FALSE,IF(ISNUMBER(E195),OR(E195&lt;=0,E195&gt;100000000,ROUND(E195*100,6)&lt;&gt;INT(ROUND(E195*100,6))),TRUE)),AND($D195&lt;&gt;"",$D195&lt;MAX($C195,$E195)),AND($E195&lt;&gt;"",$E195&gt;MIN($C195,IF($D195="",$C195,$D195))),COUNTIFS($A$2:$A$1001,$A195,$B$2:$B$1001,$B195)&gt;1),"INVALID",IFERROR(IF(IF(INDEX(Accounts!$T$2:$T$11,$F195),ROUND(IF($E195="",$C195,MIN($C195,$E195))-(H195),6)&lt;=0,ROUND(IF($E195="",$C195,MIN($C195,$E195))-(H195),6)&lt;0),"BREACHED","OK"),"INCOMPLETE")),"INVALID"))))</f>
        <v/>
      </c>
      <c r="J195" s="33">
        <f>IF(OR(I195="OK",I195="BREACHED"),-INT(ROUND(-(H195)*100,6))/100,I195)</f>
        <v/>
      </c>
    </row>
    <row r="196" ht="18" customHeight="1">
      <c r="A196" s="9" t="n"/>
      <c r="B196" s="32" t="n"/>
      <c r="C196" s="12" t="n"/>
      <c r="D196" s="12" t="n"/>
      <c r="E196" s="12" t="n"/>
      <c r="F196" s="15">
        <f>IFERROR(MATCH($A196,Accounts!$A$2:$A$11,0),"")</f>
        <v/>
      </c>
      <c r="G196" s="14">
        <f>IFERROR(IF(OR($A196="",$F196=""),"",IF(INDEX(Accounts!$P$2:$P$11,$F196)="static",INDEX(Accounts!$Q$2:$Q$11,$F196),IF(INDEX(Accounts!$P$2:$P$11,$F196)="eod_trailing",MAX(INDEX(Accounts!$Q$2:$Q$11,$F196),_xlfn.MAXIFS($C$2:$C$1001,$A$2:$A$1001,$A196,$B$2:$B$1001,"&lt;"&amp;$B196)),MAX(INDEX(Accounts!$Q$2:$Q$11,$F196),_xlfn.MAXIFS($C$2:$C$1001,$A$2:$A$1001,$A196,$B$2:$B$1001,"&lt;"&amp;$B196),_xlfn.MAXIFS($D$2:$D$1001,$A$2:$A$1001,$A196,$B$2:$B$1001,"&lt;="&amp;$B196),$C196)))),"")</f>
        <v/>
      </c>
      <c r="H196" s="15">
        <f>IFERROR(IF(G196="","",IF(INDEX(Accounts!$P$2:$P$11,$F196)="static",INDEX(Accounts!$Q$2:$Q$11,$F196)-INDEX(Accounts!$R$2:$R$11,$F196),IF(INDEX(Accounts!$S$2:$S$11,$F196)="NONE",G196-INDEX(Accounts!$R$2:$R$11,$F196),MIN(G196-INDEX(Accounts!$R$2:$R$11,$F196),INDEX(Accounts!$Q$2:$Q$11,$F196)+INDEX(Accounts!$S$2:$S$11,$F196))))),"")</f>
        <v/>
      </c>
      <c r="I196" s="16">
        <f>IF(AND($A196="",$B196="",$C196="",$D196="",$E196=""),"",IF(OR($A196="",$F196=""),"UNKNOWN_ACCOUNT",IF(OR($B196="",$C196=""),"INCOMPLETE",IFERROR(IF(OR(NOT(ISNUMBER($B196)),NOT(ISNUMBER($C196)),IF(C196="",FALSE,IF(ISNUMBER(C196),OR(C196&lt;=0,C196&gt;100000000,ROUND(C196*100,6)&lt;&gt;INT(ROUND(C196*100,6))),TRUE)),IF(D196="",FALSE,IF(ISNUMBER(D196),OR(D196&lt;=0,D196&gt;100000000,ROUND(D196*100,6)&lt;&gt;INT(ROUND(D196*100,6))),TRUE)),IF(E196="",FALSE,IF(ISNUMBER(E196),OR(E196&lt;=0,E196&gt;100000000,ROUND(E196*100,6)&lt;&gt;INT(ROUND(E196*100,6))),TRUE)),AND($D196&lt;&gt;"",$D196&lt;MAX($C196,$E196)),AND($E196&lt;&gt;"",$E196&gt;MIN($C196,IF($D196="",$C196,$D196))),COUNTIFS($A$2:$A$1001,$A196,$B$2:$B$1001,$B196)&gt;1),"INVALID",IFERROR(IF(IF(INDEX(Accounts!$T$2:$T$11,$F196),ROUND(IF($E196="",$C196,MIN($C196,$E196))-(H196),6)&lt;=0,ROUND(IF($E196="",$C196,MIN($C196,$E196))-(H196),6)&lt;0),"BREACHED","OK"),"INCOMPLETE")),"INVALID"))))</f>
        <v/>
      </c>
      <c r="J196" s="33">
        <f>IF(OR(I196="OK",I196="BREACHED"),-INT(ROUND(-(H196)*100,6))/100,I196)</f>
        <v/>
      </c>
    </row>
    <row r="197" ht="18" customHeight="1">
      <c r="A197" s="9" t="n"/>
      <c r="B197" s="32" t="n"/>
      <c r="C197" s="12" t="n"/>
      <c r="D197" s="12" t="n"/>
      <c r="E197" s="12" t="n"/>
      <c r="F197" s="15">
        <f>IFERROR(MATCH($A197,Accounts!$A$2:$A$11,0),"")</f>
        <v/>
      </c>
      <c r="G197" s="14">
        <f>IFERROR(IF(OR($A197="",$F197=""),"",IF(INDEX(Accounts!$P$2:$P$11,$F197)="static",INDEX(Accounts!$Q$2:$Q$11,$F197),IF(INDEX(Accounts!$P$2:$P$11,$F197)="eod_trailing",MAX(INDEX(Accounts!$Q$2:$Q$11,$F197),_xlfn.MAXIFS($C$2:$C$1001,$A$2:$A$1001,$A197,$B$2:$B$1001,"&lt;"&amp;$B197)),MAX(INDEX(Accounts!$Q$2:$Q$11,$F197),_xlfn.MAXIFS($C$2:$C$1001,$A$2:$A$1001,$A197,$B$2:$B$1001,"&lt;"&amp;$B197),_xlfn.MAXIFS($D$2:$D$1001,$A$2:$A$1001,$A197,$B$2:$B$1001,"&lt;="&amp;$B197),$C197)))),"")</f>
        <v/>
      </c>
      <c r="H197" s="15">
        <f>IFERROR(IF(G197="","",IF(INDEX(Accounts!$P$2:$P$11,$F197)="static",INDEX(Accounts!$Q$2:$Q$11,$F197)-INDEX(Accounts!$R$2:$R$11,$F197),IF(INDEX(Accounts!$S$2:$S$11,$F197)="NONE",G197-INDEX(Accounts!$R$2:$R$11,$F197),MIN(G197-INDEX(Accounts!$R$2:$R$11,$F197),INDEX(Accounts!$Q$2:$Q$11,$F197)+INDEX(Accounts!$S$2:$S$11,$F197))))),"")</f>
        <v/>
      </c>
      <c r="I197" s="16">
        <f>IF(AND($A197="",$B197="",$C197="",$D197="",$E197=""),"",IF(OR($A197="",$F197=""),"UNKNOWN_ACCOUNT",IF(OR($B197="",$C197=""),"INCOMPLETE",IFERROR(IF(OR(NOT(ISNUMBER($B197)),NOT(ISNUMBER($C197)),IF(C197="",FALSE,IF(ISNUMBER(C197),OR(C197&lt;=0,C197&gt;100000000,ROUND(C197*100,6)&lt;&gt;INT(ROUND(C197*100,6))),TRUE)),IF(D197="",FALSE,IF(ISNUMBER(D197),OR(D197&lt;=0,D197&gt;100000000,ROUND(D197*100,6)&lt;&gt;INT(ROUND(D197*100,6))),TRUE)),IF(E197="",FALSE,IF(ISNUMBER(E197),OR(E197&lt;=0,E197&gt;100000000,ROUND(E197*100,6)&lt;&gt;INT(ROUND(E197*100,6))),TRUE)),AND($D197&lt;&gt;"",$D197&lt;MAX($C197,$E197)),AND($E197&lt;&gt;"",$E197&gt;MIN($C197,IF($D197="",$C197,$D197))),COUNTIFS($A$2:$A$1001,$A197,$B$2:$B$1001,$B197)&gt;1),"INVALID",IFERROR(IF(IF(INDEX(Accounts!$T$2:$T$11,$F197),ROUND(IF($E197="",$C197,MIN($C197,$E197))-(H197),6)&lt;=0,ROUND(IF($E197="",$C197,MIN($C197,$E197))-(H197),6)&lt;0),"BREACHED","OK"),"INCOMPLETE")),"INVALID"))))</f>
        <v/>
      </c>
      <c r="J197" s="33">
        <f>IF(OR(I197="OK",I197="BREACHED"),-INT(ROUND(-(H197)*100,6))/100,I197)</f>
        <v/>
      </c>
    </row>
    <row r="198" ht="18" customHeight="1">
      <c r="A198" s="9" t="n"/>
      <c r="B198" s="32" t="n"/>
      <c r="C198" s="12" t="n"/>
      <c r="D198" s="12" t="n"/>
      <c r="E198" s="12" t="n"/>
      <c r="F198" s="15">
        <f>IFERROR(MATCH($A198,Accounts!$A$2:$A$11,0),"")</f>
        <v/>
      </c>
      <c r="G198" s="14">
        <f>IFERROR(IF(OR($A198="",$F198=""),"",IF(INDEX(Accounts!$P$2:$P$11,$F198)="static",INDEX(Accounts!$Q$2:$Q$11,$F198),IF(INDEX(Accounts!$P$2:$P$11,$F198)="eod_trailing",MAX(INDEX(Accounts!$Q$2:$Q$11,$F198),_xlfn.MAXIFS($C$2:$C$1001,$A$2:$A$1001,$A198,$B$2:$B$1001,"&lt;"&amp;$B198)),MAX(INDEX(Accounts!$Q$2:$Q$11,$F198),_xlfn.MAXIFS($C$2:$C$1001,$A$2:$A$1001,$A198,$B$2:$B$1001,"&lt;"&amp;$B198),_xlfn.MAXIFS($D$2:$D$1001,$A$2:$A$1001,$A198,$B$2:$B$1001,"&lt;="&amp;$B198),$C198)))),"")</f>
        <v/>
      </c>
      <c r="H198" s="15">
        <f>IFERROR(IF(G198="","",IF(INDEX(Accounts!$P$2:$P$11,$F198)="static",INDEX(Accounts!$Q$2:$Q$11,$F198)-INDEX(Accounts!$R$2:$R$11,$F198),IF(INDEX(Accounts!$S$2:$S$11,$F198)="NONE",G198-INDEX(Accounts!$R$2:$R$11,$F198),MIN(G198-INDEX(Accounts!$R$2:$R$11,$F198),INDEX(Accounts!$Q$2:$Q$11,$F198)+INDEX(Accounts!$S$2:$S$11,$F198))))),"")</f>
        <v/>
      </c>
      <c r="I198" s="16">
        <f>IF(AND($A198="",$B198="",$C198="",$D198="",$E198=""),"",IF(OR($A198="",$F198=""),"UNKNOWN_ACCOUNT",IF(OR($B198="",$C198=""),"INCOMPLETE",IFERROR(IF(OR(NOT(ISNUMBER($B198)),NOT(ISNUMBER($C198)),IF(C198="",FALSE,IF(ISNUMBER(C198),OR(C198&lt;=0,C198&gt;100000000,ROUND(C198*100,6)&lt;&gt;INT(ROUND(C198*100,6))),TRUE)),IF(D198="",FALSE,IF(ISNUMBER(D198),OR(D198&lt;=0,D198&gt;100000000,ROUND(D198*100,6)&lt;&gt;INT(ROUND(D198*100,6))),TRUE)),IF(E198="",FALSE,IF(ISNUMBER(E198),OR(E198&lt;=0,E198&gt;100000000,ROUND(E198*100,6)&lt;&gt;INT(ROUND(E198*100,6))),TRUE)),AND($D198&lt;&gt;"",$D198&lt;MAX($C198,$E198)),AND($E198&lt;&gt;"",$E198&gt;MIN($C198,IF($D198="",$C198,$D198))),COUNTIFS($A$2:$A$1001,$A198,$B$2:$B$1001,$B198)&gt;1),"INVALID",IFERROR(IF(IF(INDEX(Accounts!$T$2:$T$11,$F198),ROUND(IF($E198="",$C198,MIN($C198,$E198))-(H198),6)&lt;=0,ROUND(IF($E198="",$C198,MIN($C198,$E198))-(H198),6)&lt;0),"BREACHED","OK"),"INCOMPLETE")),"INVALID"))))</f>
        <v/>
      </c>
      <c r="J198" s="33">
        <f>IF(OR(I198="OK",I198="BREACHED"),-INT(ROUND(-(H198)*100,6))/100,I198)</f>
        <v/>
      </c>
    </row>
    <row r="199" ht="18" customHeight="1">
      <c r="A199" s="9" t="n"/>
      <c r="B199" s="32" t="n"/>
      <c r="C199" s="12" t="n"/>
      <c r="D199" s="12" t="n"/>
      <c r="E199" s="12" t="n"/>
      <c r="F199" s="15">
        <f>IFERROR(MATCH($A199,Accounts!$A$2:$A$11,0),"")</f>
        <v/>
      </c>
      <c r="G199" s="14">
        <f>IFERROR(IF(OR($A199="",$F199=""),"",IF(INDEX(Accounts!$P$2:$P$11,$F199)="static",INDEX(Accounts!$Q$2:$Q$11,$F199),IF(INDEX(Accounts!$P$2:$P$11,$F199)="eod_trailing",MAX(INDEX(Accounts!$Q$2:$Q$11,$F199),_xlfn.MAXIFS($C$2:$C$1001,$A$2:$A$1001,$A199,$B$2:$B$1001,"&lt;"&amp;$B199)),MAX(INDEX(Accounts!$Q$2:$Q$11,$F199),_xlfn.MAXIFS($C$2:$C$1001,$A$2:$A$1001,$A199,$B$2:$B$1001,"&lt;"&amp;$B199),_xlfn.MAXIFS($D$2:$D$1001,$A$2:$A$1001,$A199,$B$2:$B$1001,"&lt;="&amp;$B199),$C199)))),"")</f>
        <v/>
      </c>
      <c r="H199" s="15">
        <f>IFERROR(IF(G199="","",IF(INDEX(Accounts!$P$2:$P$11,$F199)="static",INDEX(Accounts!$Q$2:$Q$11,$F199)-INDEX(Accounts!$R$2:$R$11,$F199),IF(INDEX(Accounts!$S$2:$S$11,$F199)="NONE",G199-INDEX(Accounts!$R$2:$R$11,$F199),MIN(G199-INDEX(Accounts!$R$2:$R$11,$F199),INDEX(Accounts!$Q$2:$Q$11,$F199)+INDEX(Accounts!$S$2:$S$11,$F199))))),"")</f>
        <v/>
      </c>
      <c r="I199" s="16">
        <f>IF(AND($A199="",$B199="",$C199="",$D199="",$E199=""),"",IF(OR($A199="",$F199=""),"UNKNOWN_ACCOUNT",IF(OR($B199="",$C199=""),"INCOMPLETE",IFERROR(IF(OR(NOT(ISNUMBER($B199)),NOT(ISNUMBER($C199)),IF(C199="",FALSE,IF(ISNUMBER(C199),OR(C199&lt;=0,C199&gt;100000000,ROUND(C199*100,6)&lt;&gt;INT(ROUND(C199*100,6))),TRUE)),IF(D199="",FALSE,IF(ISNUMBER(D199),OR(D199&lt;=0,D199&gt;100000000,ROUND(D199*100,6)&lt;&gt;INT(ROUND(D199*100,6))),TRUE)),IF(E199="",FALSE,IF(ISNUMBER(E199),OR(E199&lt;=0,E199&gt;100000000,ROUND(E199*100,6)&lt;&gt;INT(ROUND(E199*100,6))),TRUE)),AND($D199&lt;&gt;"",$D199&lt;MAX($C199,$E199)),AND($E199&lt;&gt;"",$E199&gt;MIN($C199,IF($D199="",$C199,$D199))),COUNTIFS($A$2:$A$1001,$A199,$B$2:$B$1001,$B199)&gt;1),"INVALID",IFERROR(IF(IF(INDEX(Accounts!$T$2:$T$11,$F199),ROUND(IF($E199="",$C199,MIN($C199,$E199))-(H199),6)&lt;=0,ROUND(IF($E199="",$C199,MIN($C199,$E199))-(H199),6)&lt;0),"BREACHED","OK"),"INCOMPLETE")),"INVALID"))))</f>
        <v/>
      </c>
      <c r="J199" s="33">
        <f>IF(OR(I199="OK",I199="BREACHED"),-INT(ROUND(-(H199)*100,6))/100,I199)</f>
        <v/>
      </c>
    </row>
    <row r="200" ht="18" customHeight="1">
      <c r="A200" s="9" t="n"/>
      <c r="B200" s="32" t="n"/>
      <c r="C200" s="12" t="n"/>
      <c r="D200" s="12" t="n"/>
      <c r="E200" s="12" t="n"/>
      <c r="F200" s="15">
        <f>IFERROR(MATCH($A200,Accounts!$A$2:$A$11,0),"")</f>
        <v/>
      </c>
      <c r="G200" s="14">
        <f>IFERROR(IF(OR($A200="",$F200=""),"",IF(INDEX(Accounts!$P$2:$P$11,$F200)="static",INDEX(Accounts!$Q$2:$Q$11,$F200),IF(INDEX(Accounts!$P$2:$P$11,$F200)="eod_trailing",MAX(INDEX(Accounts!$Q$2:$Q$11,$F200),_xlfn.MAXIFS($C$2:$C$1001,$A$2:$A$1001,$A200,$B$2:$B$1001,"&lt;"&amp;$B200)),MAX(INDEX(Accounts!$Q$2:$Q$11,$F200),_xlfn.MAXIFS($C$2:$C$1001,$A$2:$A$1001,$A200,$B$2:$B$1001,"&lt;"&amp;$B200),_xlfn.MAXIFS($D$2:$D$1001,$A$2:$A$1001,$A200,$B$2:$B$1001,"&lt;="&amp;$B200),$C200)))),"")</f>
        <v/>
      </c>
      <c r="H200" s="15">
        <f>IFERROR(IF(G200="","",IF(INDEX(Accounts!$P$2:$P$11,$F200)="static",INDEX(Accounts!$Q$2:$Q$11,$F200)-INDEX(Accounts!$R$2:$R$11,$F200),IF(INDEX(Accounts!$S$2:$S$11,$F200)="NONE",G200-INDEX(Accounts!$R$2:$R$11,$F200),MIN(G200-INDEX(Accounts!$R$2:$R$11,$F200),INDEX(Accounts!$Q$2:$Q$11,$F200)+INDEX(Accounts!$S$2:$S$11,$F200))))),"")</f>
        <v/>
      </c>
      <c r="I200" s="16">
        <f>IF(AND($A200="",$B200="",$C200="",$D200="",$E200=""),"",IF(OR($A200="",$F200=""),"UNKNOWN_ACCOUNT",IF(OR($B200="",$C200=""),"INCOMPLETE",IFERROR(IF(OR(NOT(ISNUMBER($B200)),NOT(ISNUMBER($C200)),IF(C200="",FALSE,IF(ISNUMBER(C200),OR(C200&lt;=0,C200&gt;100000000,ROUND(C200*100,6)&lt;&gt;INT(ROUND(C200*100,6))),TRUE)),IF(D200="",FALSE,IF(ISNUMBER(D200),OR(D200&lt;=0,D200&gt;100000000,ROUND(D200*100,6)&lt;&gt;INT(ROUND(D200*100,6))),TRUE)),IF(E200="",FALSE,IF(ISNUMBER(E200),OR(E200&lt;=0,E200&gt;100000000,ROUND(E200*100,6)&lt;&gt;INT(ROUND(E200*100,6))),TRUE)),AND($D200&lt;&gt;"",$D200&lt;MAX($C200,$E200)),AND($E200&lt;&gt;"",$E200&gt;MIN($C200,IF($D200="",$C200,$D200))),COUNTIFS($A$2:$A$1001,$A200,$B$2:$B$1001,$B200)&gt;1),"INVALID",IFERROR(IF(IF(INDEX(Accounts!$T$2:$T$11,$F200),ROUND(IF($E200="",$C200,MIN($C200,$E200))-(H200),6)&lt;=0,ROUND(IF($E200="",$C200,MIN($C200,$E200))-(H200),6)&lt;0),"BREACHED","OK"),"INCOMPLETE")),"INVALID"))))</f>
        <v/>
      </c>
      <c r="J200" s="33">
        <f>IF(OR(I200="OK",I200="BREACHED"),-INT(ROUND(-(H200)*100,6))/100,I200)</f>
        <v/>
      </c>
    </row>
    <row r="201" ht="18" customHeight="1">
      <c r="A201" s="9" t="n"/>
      <c r="B201" s="32" t="n"/>
      <c r="C201" s="12" t="n"/>
      <c r="D201" s="12" t="n"/>
      <c r="E201" s="12" t="n"/>
      <c r="F201" s="15">
        <f>IFERROR(MATCH($A201,Accounts!$A$2:$A$11,0),"")</f>
        <v/>
      </c>
      <c r="G201" s="14">
        <f>IFERROR(IF(OR($A201="",$F201=""),"",IF(INDEX(Accounts!$P$2:$P$11,$F201)="static",INDEX(Accounts!$Q$2:$Q$11,$F201),IF(INDEX(Accounts!$P$2:$P$11,$F201)="eod_trailing",MAX(INDEX(Accounts!$Q$2:$Q$11,$F201),_xlfn.MAXIFS($C$2:$C$1001,$A$2:$A$1001,$A201,$B$2:$B$1001,"&lt;"&amp;$B201)),MAX(INDEX(Accounts!$Q$2:$Q$11,$F201),_xlfn.MAXIFS($C$2:$C$1001,$A$2:$A$1001,$A201,$B$2:$B$1001,"&lt;"&amp;$B201),_xlfn.MAXIFS($D$2:$D$1001,$A$2:$A$1001,$A201,$B$2:$B$1001,"&lt;="&amp;$B201),$C201)))),"")</f>
        <v/>
      </c>
      <c r="H201" s="15">
        <f>IFERROR(IF(G201="","",IF(INDEX(Accounts!$P$2:$P$11,$F201)="static",INDEX(Accounts!$Q$2:$Q$11,$F201)-INDEX(Accounts!$R$2:$R$11,$F201),IF(INDEX(Accounts!$S$2:$S$11,$F201)="NONE",G201-INDEX(Accounts!$R$2:$R$11,$F201),MIN(G201-INDEX(Accounts!$R$2:$R$11,$F201),INDEX(Accounts!$Q$2:$Q$11,$F201)+INDEX(Accounts!$S$2:$S$11,$F201))))),"")</f>
        <v/>
      </c>
      <c r="I201" s="16">
        <f>IF(AND($A201="",$B201="",$C201="",$D201="",$E201=""),"",IF(OR($A201="",$F201=""),"UNKNOWN_ACCOUNT",IF(OR($B201="",$C201=""),"INCOMPLETE",IFERROR(IF(OR(NOT(ISNUMBER($B201)),NOT(ISNUMBER($C201)),IF(C201="",FALSE,IF(ISNUMBER(C201),OR(C201&lt;=0,C201&gt;100000000,ROUND(C201*100,6)&lt;&gt;INT(ROUND(C201*100,6))),TRUE)),IF(D201="",FALSE,IF(ISNUMBER(D201),OR(D201&lt;=0,D201&gt;100000000,ROUND(D201*100,6)&lt;&gt;INT(ROUND(D201*100,6))),TRUE)),IF(E201="",FALSE,IF(ISNUMBER(E201),OR(E201&lt;=0,E201&gt;100000000,ROUND(E201*100,6)&lt;&gt;INT(ROUND(E201*100,6))),TRUE)),AND($D201&lt;&gt;"",$D201&lt;MAX($C201,$E201)),AND($E201&lt;&gt;"",$E201&gt;MIN($C201,IF($D201="",$C201,$D201))),COUNTIFS($A$2:$A$1001,$A201,$B$2:$B$1001,$B201)&gt;1),"INVALID",IFERROR(IF(IF(INDEX(Accounts!$T$2:$T$11,$F201),ROUND(IF($E201="",$C201,MIN($C201,$E201))-(H201),6)&lt;=0,ROUND(IF($E201="",$C201,MIN($C201,$E201))-(H201),6)&lt;0),"BREACHED","OK"),"INCOMPLETE")),"INVALID"))))</f>
        <v/>
      </c>
      <c r="J201" s="33">
        <f>IF(OR(I201="OK",I201="BREACHED"),-INT(ROUND(-(H201)*100,6))/100,I201)</f>
        <v/>
      </c>
    </row>
    <row r="202" ht="18" customHeight="1">
      <c r="A202" s="9" t="n"/>
      <c r="B202" s="32" t="n"/>
      <c r="C202" s="12" t="n"/>
      <c r="D202" s="12" t="n"/>
      <c r="E202" s="12" t="n"/>
      <c r="F202" s="15">
        <f>IFERROR(MATCH($A202,Accounts!$A$2:$A$11,0),"")</f>
        <v/>
      </c>
      <c r="G202" s="14">
        <f>IFERROR(IF(OR($A202="",$F202=""),"",IF(INDEX(Accounts!$P$2:$P$11,$F202)="static",INDEX(Accounts!$Q$2:$Q$11,$F202),IF(INDEX(Accounts!$P$2:$P$11,$F202)="eod_trailing",MAX(INDEX(Accounts!$Q$2:$Q$11,$F202),_xlfn.MAXIFS($C$2:$C$1001,$A$2:$A$1001,$A202,$B$2:$B$1001,"&lt;"&amp;$B202)),MAX(INDEX(Accounts!$Q$2:$Q$11,$F202),_xlfn.MAXIFS($C$2:$C$1001,$A$2:$A$1001,$A202,$B$2:$B$1001,"&lt;"&amp;$B202),_xlfn.MAXIFS($D$2:$D$1001,$A$2:$A$1001,$A202,$B$2:$B$1001,"&lt;="&amp;$B202),$C202)))),"")</f>
        <v/>
      </c>
      <c r="H202" s="15">
        <f>IFERROR(IF(G202="","",IF(INDEX(Accounts!$P$2:$P$11,$F202)="static",INDEX(Accounts!$Q$2:$Q$11,$F202)-INDEX(Accounts!$R$2:$R$11,$F202),IF(INDEX(Accounts!$S$2:$S$11,$F202)="NONE",G202-INDEX(Accounts!$R$2:$R$11,$F202),MIN(G202-INDEX(Accounts!$R$2:$R$11,$F202),INDEX(Accounts!$Q$2:$Q$11,$F202)+INDEX(Accounts!$S$2:$S$11,$F202))))),"")</f>
        <v/>
      </c>
      <c r="I202" s="16">
        <f>IF(AND($A202="",$B202="",$C202="",$D202="",$E202=""),"",IF(OR($A202="",$F202=""),"UNKNOWN_ACCOUNT",IF(OR($B202="",$C202=""),"INCOMPLETE",IFERROR(IF(OR(NOT(ISNUMBER($B202)),NOT(ISNUMBER($C202)),IF(C202="",FALSE,IF(ISNUMBER(C202),OR(C202&lt;=0,C202&gt;100000000,ROUND(C202*100,6)&lt;&gt;INT(ROUND(C202*100,6))),TRUE)),IF(D202="",FALSE,IF(ISNUMBER(D202),OR(D202&lt;=0,D202&gt;100000000,ROUND(D202*100,6)&lt;&gt;INT(ROUND(D202*100,6))),TRUE)),IF(E202="",FALSE,IF(ISNUMBER(E202),OR(E202&lt;=0,E202&gt;100000000,ROUND(E202*100,6)&lt;&gt;INT(ROUND(E202*100,6))),TRUE)),AND($D202&lt;&gt;"",$D202&lt;MAX($C202,$E202)),AND($E202&lt;&gt;"",$E202&gt;MIN($C202,IF($D202="",$C202,$D202))),COUNTIFS($A$2:$A$1001,$A202,$B$2:$B$1001,$B202)&gt;1),"INVALID",IFERROR(IF(IF(INDEX(Accounts!$T$2:$T$11,$F202),ROUND(IF($E202="",$C202,MIN($C202,$E202))-(H202),6)&lt;=0,ROUND(IF($E202="",$C202,MIN($C202,$E202))-(H202),6)&lt;0),"BREACHED","OK"),"INCOMPLETE")),"INVALID"))))</f>
        <v/>
      </c>
      <c r="J202" s="33">
        <f>IF(OR(I202="OK",I202="BREACHED"),-INT(ROUND(-(H202)*100,6))/100,I202)</f>
        <v/>
      </c>
    </row>
    <row r="203" ht="18" customHeight="1">
      <c r="A203" s="9" t="n"/>
      <c r="B203" s="32" t="n"/>
      <c r="C203" s="12" t="n"/>
      <c r="D203" s="12" t="n"/>
      <c r="E203" s="12" t="n"/>
      <c r="F203" s="15">
        <f>IFERROR(MATCH($A203,Accounts!$A$2:$A$11,0),"")</f>
        <v/>
      </c>
      <c r="G203" s="14">
        <f>IFERROR(IF(OR($A203="",$F203=""),"",IF(INDEX(Accounts!$P$2:$P$11,$F203)="static",INDEX(Accounts!$Q$2:$Q$11,$F203),IF(INDEX(Accounts!$P$2:$P$11,$F203)="eod_trailing",MAX(INDEX(Accounts!$Q$2:$Q$11,$F203),_xlfn.MAXIFS($C$2:$C$1001,$A$2:$A$1001,$A203,$B$2:$B$1001,"&lt;"&amp;$B203)),MAX(INDEX(Accounts!$Q$2:$Q$11,$F203),_xlfn.MAXIFS($C$2:$C$1001,$A$2:$A$1001,$A203,$B$2:$B$1001,"&lt;"&amp;$B203),_xlfn.MAXIFS($D$2:$D$1001,$A$2:$A$1001,$A203,$B$2:$B$1001,"&lt;="&amp;$B203),$C203)))),"")</f>
        <v/>
      </c>
      <c r="H203" s="15">
        <f>IFERROR(IF(G203="","",IF(INDEX(Accounts!$P$2:$P$11,$F203)="static",INDEX(Accounts!$Q$2:$Q$11,$F203)-INDEX(Accounts!$R$2:$R$11,$F203),IF(INDEX(Accounts!$S$2:$S$11,$F203)="NONE",G203-INDEX(Accounts!$R$2:$R$11,$F203),MIN(G203-INDEX(Accounts!$R$2:$R$11,$F203),INDEX(Accounts!$Q$2:$Q$11,$F203)+INDEX(Accounts!$S$2:$S$11,$F203))))),"")</f>
        <v/>
      </c>
      <c r="I203" s="16">
        <f>IF(AND($A203="",$B203="",$C203="",$D203="",$E203=""),"",IF(OR($A203="",$F203=""),"UNKNOWN_ACCOUNT",IF(OR($B203="",$C203=""),"INCOMPLETE",IFERROR(IF(OR(NOT(ISNUMBER($B203)),NOT(ISNUMBER($C203)),IF(C203="",FALSE,IF(ISNUMBER(C203),OR(C203&lt;=0,C203&gt;100000000,ROUND(C203*100,6)&lt;&gt;INT(ROUND(C203*100,6))),TRUE)),IF(D203="",FALSE,IF(ISNUMBER(D203),OR(D203&lt;=0,D203&gt;100000000,ROUND(D203*100,6)&lt;&gt;INT(ROUND(D203*100,6))),TRUE)),IF(E203="",FALSE,IF(ISNUMBER(E203),OR(E203&lt;=0,E203&gt;100000000,ROUND(E203*100,6)&lt;&gt;INT(ROUND(E203*100,6))),TRUE)),AND($D203&lt;&gt;"",$D203&lt;MAX($C203,$E203)),AND($E203&lt;&gt;"",$E203&gt;MIN($C203,IF($D203="",$C203,$D203))),COUNTIFS($A$2:$A$1001,$A203,$B$2:$B$1001,$B203)&gt;1),"INVALID",IFERROR(IF(IF(INDEX(Accounts!$T$2:$T$11,$F203),ROUND(IF($E203="",$C203,MIN($C203,$E203))-(H203),6)&lt;=0,ROUND(IF($E203="",$C203,MIN($C203,$E203))-(H203),6)&lt;0),"BREACHED","OK"),"INCOMPLETE")),"INVALID"))))</f>
        <v/>
      </c>
      <c r="J203" s="33">
        <f>IF(OR(I203="OK",I203="BREACHED"),-INT(ROUND(-(H203)*100,6))/100,I203)</f>
        <v/>
      </c>
    </row>
    <row r="204" ht="18" customHeight="1">
      <c r="A204" s="9" t="n"/>
      <c r="B204" s="32" t="n"/>
      <c r="C204" s="12" t="n"/>
      <c r="D204" s="12" t="n"/>
      <c r="E204" s="12" t="n"/>
      <c r="F204" s="15">
        <f>IFERROR(MATCH($A204,Accounts!$A$2:$A$11,0),"")</f>
        <v/>
      </c>
      <c r="G204" s="14">
        <f>IFERROR(IF(OR($A204="",$F204=""),"",IF(INDEX(Accounts!$P$2:$P$11,$F204)="static",INDEX(Accounts!$Q$2:$Q$11,$F204),IF(INDEX(Accounts!$P$2:$P$11,$F204)="eod_trailing",MAX(INDEX(Accounts!$Q$2:$Q$11,$F204),_xlfn.MAXIFS($C$2:$C$1001,$A$2:$A$1001,$A204,$B$2:$B$1001,"&lt;"&amp;$B204)),MAX(INDEX(Accounts!$Q$2:$Q$11,$F204),_xlfn.MAXIFS($C$2:$C$1001,$A$2:$A$1001,$A204,$B$2:$B$1001,"&lt;"&amp;$B204),_xlfn.MAXIFS($D$2:$D$1001,$A$2:$A$1001,$A204,$B$2:$B$1001,"&lt;="&amp;$B204),$C204)))),"")</f>
        <v/>
      </c>
      <c r="H204" s="15">
        <f>IFERROR(IF(G204="","",IF(INDEX(Accounts!$P$2:$P$11,$F204)="static",INDEX(Accounts!$Q$2:$Q$11,$F204)-INDEX(Accounts!$R$2:$R$11,$F204),IF(INDEX(Accounts!$S$2:$S$11,$F204)="NONE",G204-INDEX(Accounts!$R$2:$R$11,$F204),MIN(G204-INDEX(Accounts!$R$2:$R$11,$F204),INDEX(Accounts!$Q$2:$Q$11,$F204)+INDEX(Accounts!$S$2:$S$11,$F204))))),"")</f>
        <v/>
      </c>
      <c r="I204" s="16">
        <f>IF(AND($A204="",$B204="",$C204="",$D204="",$E204=""),"",IF(OR($A204="",$F204=""),"UNKNOWN_ACCOUNT",IF(OR($B204="",$C204=""),"INCOMPLETE",IFERROR(IF(OR(NOT(ISNUMBER($B204)),NOT(ISNUMBER($C204)),IF(C204="",FALSE,IF(ISNUMBER(C204),OR(C204&lt;=0,C204&gt;100000000,ROUND(C204*100,6)&lt;&gt;INT(ROUND(C204*100,6))),TRUE)),IF(D204="",FALSE,IF(ISNUMBER(D204),OR(D204&lt;=0,D204&gt;100000000,ROUND(D204*100,6)&lt;&gt;INT(ROUND(D204*100,6))),TRUE)),IF(E204="",FALSE,IF(ISNUMBER(E204),OR(E204&lt;=0,E204&gt;100000000,ROUND(E204*100,6)&lt;&gt;INT(ROUND(E204*100,6))),TRUE)),AND($D204&lt;&gt;"",$D204&lt;MAX($C204,$E204)),AND($E204&lt;&gt;"",$E204&gt;MIN($C204,IF($D204="",$C204,$D204))),COUNTIFS($A$2:$A$1001,$A204,$B$2:$B$1001,$B204)&gt;1),"INVALID",IFERROR(IF(IF(INDEX(Accounts!$T$2:$T$11,$F204),ROUND(IF($E204="",$C204,MIN($C204,$E204))-(H204),6)&lt;=0,ROUND(IF($E204="",$C204,MIN($C204,$E204))-(H204),6)&lt;0),"BREACHED","OK"),"INCOMPLETE")),"INVALID"))))</f>
        <v/>
      </c>
      <c r="J204" s="33">
        <f>IF(OR(I204="OK",I204="BREACHED"),-INT(ROUND(-(H204)*100,6))/100,I204)</f>
        <v/>
      </c>
    </row>
    <row r="205" ht="18" customHeight="1">
      <c r="A205" s="9" t="n"/>
      <c r="B205" s="32" t="n"/>
      <c r="C205" s="12" t="n"/>
      <c r="D205" s="12" t="n"/>
      <c r="E205" s="12" t="n"/>
      <c r="F205" s="15">
        <f>IFERROR(MATCH($A205,Accounts!$A$2:$A$11,0),"")</f>
        <v/>
      </c>
      <c r="G205" s="14">
        <f>IFERROR(IF(OR($A205="",$F205=""),"",IF(INDEX(Accounts!$P$2:$P$11,$F205)="static",INDEX(Accounts!$Q$2:$Q$11,$F205),IF(INDEX(Accounts!$P$2:$P$11,$F205)="eod_trailing",MAX(INDEX(Accounts!$Q$2:$Q$11,$F205),_xlfn.MAXIFS($C$2:$C$1001,$A$2:$A$1001,$A205,$B$2:$B$1001,"&lt;"&amp;$B205)),MAX(INDEX(Accounts!$Q$2:$Q$11,$F205),_xlfn.MAXIFS($C$2:$C$1001,$A$2:$A$1001,$A205,$B$2:$B$1001,"&lt;"&amp;$B205),_xlfn.MAXIFS($D$2:$D$1001,$A$2:$A$1001,$A205,$B$2:$B$1001,"&lt;="&amp;$B205),$C205)))),"")</f>
        <v/>
      </c>
      <c r="H205" s="15">
        <f>IFERROR(IF(G205="","",IF(INDEX(Accounts!$P$2:$P$11,$F205)="static",INDEX(Accounts!$Q$2:$Q$11,$F205)-INDEX(Accounts!$R$2:$R$11,$F205),IF(INDEX(Accounts!$S$2:$S$11,$F205)="NONE",G205-INDEX(Accounts!$R$2:$R$11,$F205),MIN(G205-INDEX(Accounts!$R$2:$R$11,$F205),INDEX(Accounts!$Q$2:$Q$11,$F205)+INDEX(Accounts!$S$2:$S$11,$F205))))),"")</f>
        <v/>
      </c>
      <c r="I205" s="16">
        <f>IF(AND($A205="",$B205="",$C205="",$D205="",$E205=""),"",IF(OR($A205="",$F205=""),"UNKNOWN_ACCOUNT",IF(OR($B205="",$C205=""),"INCOMPLETE",IFERROR(IF(OR(NOT(ISNUMBER($B205)),NOT(ISNUMBER($C205)),IF(C205="",FALSE,IF(ISNUMBER(C205),OR(C205&lt;=0,C205&gt;100000000,ROUND(C205*100,6)&lt;&gt;INT(ROUND(C205*100,6))),TRUE)),IF(D205="",FALSE,IF(ISNUMBER(D205),OR(D205&lt;=0,D205&gt;100000000,ROUND(D205*100,6)&lt;&gt;INT(ROUND(D205*100,6))),TRUE)),IF(E205="",FALSE,IF(ISNUMBER(E205),OR(E205&lt;=0,E205&gt;100000000,ROUND(E205*100,6)&lt;&gt;INT(ROUND(E205*100,6))),TRUE)),AND($D205&lt;&gt;"",$D205&lt;MAX($C205,$E205)),AND($E205&lt;&gt;"",$E205&gt;MIN($C205,IF($D205="",$C205,$D205))),COUNTIFS($A$2:$A$1001,$A205,$B$2:$B$1001,$B205)&gt;1),"INVALID",IFERROR(IF(IF(INDEX(Accounts!$T$2:$T$11,$F205),ROUND(IF($E205="",$C205,MIN($C205,$E205))-(H205),6)&lt;=0,ROUND(IF($E205="",$C205,MIN($C205,$E205))-(H205),6)&lt;0),"BREACHED","OK"),"INCOMPLETE")),"INVALID"))))</f>
        <v/>
      </c>
      <c r="J205" s="33">
        <f>IF(OR(I205="OK",I205="BREACHED"),-INT(ROUND(-(H205)*100,6))/100,I205)</f>
        <v/>
      </c>
    </row>
    <row r="206" ht="18" customHeight="1">
      <c r="A206" s="9" t="n"/>
      <c r="B206" s="32" t="n"/>
      <c r="C206" s="12" t="n"/>
      <c r="D206" s="12" t="n"/>
      <c r="E206" s="12" t="n"/>
      <c r="F206" s="15">
        <f>IFERROR(MATCH($A206,Accounts!$A$2:$A$11,0),"")</f>
        <v/>
      </c>
      <c r="G206" s="14">
        <f>IFERROR(IF(OR($A206="",$F206=""),"",IF(INDEX(Accounts!$P$2:$P$11,$F206)="static",INDEX(Accounts!$Q$2:$Q$11,$F206),IF(INDEX(Accounts!$P$2:$P$11,$F206)="eod_trailing",MAX(INDEX(Accounts!$Q$2:$Q$11,$F206),_xlfn.MAXIFS($C$2:$C$1001,$A$2:$A$1001,$A206,$B$2:$B$1001,"&lt;"&amp;$B206)),MAX(INDEX(Accounts!$Q$2:$Q$11,$F206),_xlfn.MAXIFS($C$2:$C$1001,$A$2:$A$1001,$A206,$B$2:$B$1001,"&lt;"&amp;$B206),_xlfn.MAXIFS($D$2:$D$1001,$A$2:$A$1001,$A206,$B$2:$B$1001,"&lt;="&amp;$B206),$C206)))),"")</f>
        <v/>
      </c>
      <c r="H206" s="15">
        <f>IFERROR(IF(G206="","",IF(INDEX(Accounts!$P$2:$P$11,$F206)="static",INDEX(Accounts!$Q$2:$Q$11,$F206)-INDEX(Accounts!$R$2:$R$11,$F206),IF(INDEX(Accounts!$S$2:$S$11,$F206)="NONE",G206-INDEX(Accounts!$R$2:$R$11,$F206),MIN(G206-INDEX(Accounts!$R$2:$R$11,$F206),INDEX(Accounts!$Q$2:$Q$11,$F206)+INDEX(Accounts!$S$2:$S$11,$F206))))),"")</f>
        <v/>
      </c>
      <c r="I206" s="16">
        <f>IF(AND($A206="",$B206="",$C206="",$D206="",$E206=""),"",IF(OR($A206="",$F206=""),"UNKNOWN_ACCOUNT",IF(OR($B206="",$C206=""),"INCOMPLETE",IFERROR(IF(OR(NOT(ISNUMBER($B206)),NOT(ISNUMBER($C206)),IF(C206="",FALSE,IF(ISNUMBER(C206),OR(C206&lt;=0,C206&gt;100000000,ROUND(C206*100,6)&lt;&gt;INT(ROUND(C206*100,6))),TRUE)),IF(D206="",FALSE,IF(ISNUMBER(D206),OR(D206&lt;=0,D206&gt;100000000,ROUND(D206*100,6)&lt;&gt;INT(ROUND(D206*100,6))),TRUE)),IF(E206="",FALSE,IF(ISNUMBER(E206),OR(E206&lt;=0,E206&gt;100000000,ROUND(E206*100,6)&lt;&gt;INT(ROUND(E206*100,6))),TRUE)),AND($D206&lt;&gt;"",$D206&lt;MAX($C206,$E206)),AND($E206&lt;&gt;"",$E206&gt;MIN($C206,IF($D206="",$C206,$D206))),COUNTIFS($A$2:$A$1001,$A206,$B$2:$B$1001,$B206)&gt;1),"INVALID",IFERROR(IF(IF(INDEX(Accounts!$T$2:$T$11,$F206),ROUND(IF($E206="",$C206,MIN($C206,$E206))-(H206),6)&lt;=0,ROUND(IF($E206="",$C206,MIN($C206,$E206))-(H206),6)&lt;0),"BREACHED","OK"),"INCOMPLETE")),"INVALID"))))</f>
        <v/>
      </c>
      <c r="J206" s="33">
        <f>IF(OR(I206="OK",I206="BREACHED"),-INT(ROUND(-(H206)*100,6))/100,I206)</f>
        <v/>
      </c>
    </row>
    <row r="207" ht="18" customHeight="1">
      <c r="A207" s="9" t="n"/>
      <c r="B207" s="32" t="n"/>
      <c r="C207" s="12" t="n"/>
      <c r="D207" s="12" t="n"/>
      <c r="E207" s="12" t="n"/>
      <c r="F207" s="15">
        <f>IFERROR(MATCH($A207,Accounts!$A$2:$A$11,0),"")</f>
        <v/>
      </c>
      <c r="G207" s="14">
        <f>IFERROR(IF(OR($A207="",$F207=""),"",IF(INDEX(Accounts!$P$2:$P$11,$F207)="static",INDEX(Accounts!$Q$2:$Q$11,$F207),IF(INDEX(Accounts!$P$2:$P$11,$F207)="eod_trailing",MAX(INDEX(Accounts!$Q$2:$Q$11,$F207),_xlfn.MAXIFS($C$2:$C$1001,$A$2:$A$1001,$A207,$B$2:$B$1001,"&lt;"&amp;$B207)),MAX(INDEX(Accounts!$Q$2:$Q$11,$F207),_xlfn.MAXIFS($C$2:$C$1001,$A$2:$A$1001,$A207,$B$2:$B$1001,"&lt;"&amp;$B207),_xlfn.MAXIFS($D$2:$D$1001,$A$2:$A$1001,$A207,$B$2:$B$1001,"&lt;="&amp;$B207),$C207)))),"")</f>
        <v/>
      </c>
      <c r="H207" s="15">
        <f>IFERROR(IF(G207="","",IF(INDEX(Accounts!$P$2:$P$11,$F207)="static",INDEX(Accounts!$Q$2:$Q$11,$F207)-INDEX(Accounts!$R$2:$R$11,$F207),IF(INDEX(Accounts!$S$2:$S$11,$F207)="NONE",G207-INDEX(Accounts!$R$2:$R$11,$F207),MIN(G207-INDEX(Accounts!$R$2:$R$11,$F207),INDEX(Accounts!$Q$2:$Q$11,$F207)+INDEX(Accounts!$S$2:$S$11,$F207))))),"")</f>
        <v/>
      </c>
      <c r="I207" s="16">
        <f>IF(AND($A207="",$B207="",$C207="",$D207="",$E207=""),"",IF(OR($A207="",$F207=""),"UNKNOWN_ACCOUNT",IF(OR($B207="",$C207=""),"INCOMPLETE",IFERROR(IF(OR(NOT(ISNUMBER($B207)),NOT(ISNUMBER($C207)),IF(C207="",FALSE,IF(ISNUMBER(C207),OR(C207&lt;=0,C207&gt;100000000,ROUND(C207*100,6)&lt;&gt;INT(ROUND(C207*100,6))),TRUE)),IF(D207="",FALSE,IF(ISNUMBER(D207),OR(D207&lt;=0,D207&gt;100000000,ROUND(D207*100,6)&lt;&gt;INT(ROUND(D207*100,6))),TRUE)),IF(E207="",FALSE,IF(ISNUMBER(E207),OR(E207&lt;=0,E207&gt;100000000,ROUND(E207*100,6)&lt;&gt;INT(ROUND(E207*100,6))),TRUE)),AND($D207&lt;&gt;"",$D207&lt;MAX($C207,$E207)),AND($E207&lt;&gt;"",$E207&gt;MIN($C207,IF($D207="",$C207,$D207))),COUNTIFS($A$2:$A$1001,$A207,$B$2:$B$1001,$B207)&gt;1),"INVALID",IFERROR(IF(IF(INDEX(Accounts!$T$2:$T$11,$F207),ROUND(IF($E207="",$C207,MIN($C207,$E207))-(H207),6)&lt;=0,ROUND(IF($E207="",$C207,MIN($C207,$E207))-(H207),6)&lt;0),"BREACHED","OK"),"INCOMPLETE")),"INVALID"))))</f>
        <v/>
      </c>
      <c r="J207" s="33">
        <f>IF(OR(I207="OK",I207="BREACHED"),-INT(ROUND(-(H207)*100,6))/100,I207)</f>
        <v/>
      </c>
    </row>
    <row r="208" ht="18" customHeight="1">
      <c r="A208" s="9" t="n"/>
      <c r="B208" s="32" t="n"/>
      <c r="C208" s="12" t="n"/>
      <c r="D208" s="12" t="n"/>
      <c r="E208" s="12" t="n"/>
      <c r="F208" s="15">
        <f>IFERROR(MATCH($A208,Accounts!$A$2:$A$11,0),"")</f>
        <v/>
      </c>
      <c r="G208" s="14">
        <f>IFERROR(IF(OR($A208="",$F208=""),"",IF(INDEX(Accounts!$P$2:$P$11,$F208)="static",INDEX(Accounts!$Q$2:$Q$11,$F208),IF(INDEX(Accounts!$P$2:$P$11,$F208)="eod_trailing",MAX(INDEX(Accounts!$Q$2:$Q$11,$F208),_xlfn.MAXIFS($C$2:$C$1001,$A$2:$A$1001,$A208,$B$2:$B$1001,"&lt;"&amp;$B208)),MAX(INDEX(Accounts!$Q$2:$Q$11,$F208),_xlfn.MAXIFS($C$2:$C$1001,$A$2:$A$1001,$A208,$B$2:$B$1001,"&lt;"&amp;$B208),_xlfn.MAXIFS($D$2:$D$1001,$A$2:$A$1001,$A208,$B$2:$B$1001,"&lt;="&amp;$B208),$C208)))),"")</f>
        <v/>
      </c>
      <c r="H208" s="15">
        <f>IFERROR(IF(G208="","",IF(INDEX(Accounts!$P$2:$P$11,$F208)="static",INDEX(Accounts!$Q$2:$Q$11,$F208)-INDEX(Accounts!$R$2:$R$11,$F208),IF(INDEX(Accounts!$S$2:$S$11,$F208)="NONE",G208-INDEX(Accounts!$R$2:$R$11,$F208),MIN(G208-INDEX(Accounts!$R$2:$R$11,$F208),INDEX(Accounts!$Q$2:$Q$11,$F208)+INDEX(Accounts!$S$2:$S$11,$F208))))),"")</f>
        <v/>
      </c>
      <c r="I208" s="16">
        <f>IF(AND($A208="",$B208="",$C208="",$D208="",$E208=""),"",IF(OR($A208="",$F208=""),"UNKNOWN_ACCOUNT",IF(OR($B208="",$C208=""),"INCOMPLETE",IFERROR(IF(OR(NOT(ISNUMBER($B208)),NOT(ISNUMBER($C208)),IF(C208="",FALSE,IF(ISNUMBER(C208),OR(C208&lt;=0,C208&gt;100000000,ROUND(C208*100,6)&lt;&gt;INT(ROUND(C208*100,6))),TRUE)),IF(D208="",FALSE,IF(ISNUMBER(D208),OR(D208&lt;=0,D208&gt;100000000,ROUND(D208*100,6)&lt;&gt;INT(ROUND(D208*100,6))),TRUE)),IF(E208="",FALSE,IF(ISNUMBER(E208),OR(E208&lt;=0,E208&gt;100000000,ROUND(E208*100,6)&lt;&gt;INT(ROUND(E208*100,6))),TRUE)),AND($D208&lt;&gt;"",$D208&lt;MAX($C208,$E208)),AND($E208&lt;&gt;"",$E208&gt;MIN($C208,IF($D208="",$C208,$D208))),COUNTIFS($A$2:$A$1001,$A208,$B$2:$B$1001,$B208)&gt;1),"INVALID",IFERROR(IF(IF(INDEX(Accounts!$T$2:$T$11,$F208),ROUND(IF($E208="",$C208,MIN($C208,$E208))-(H208),6)&lt;=0,ROUND(IF($E208="",$C208,MIN($C208,$E208))-(H208),6)&lt;0),"BREACHED","OK"),"INCOMPLETE")),"INVALID"))))</f>
        <v/>
      </c>
      <c r="J208" s="33">
        <f>IF(OR(I208="OK",I208="BREACHED"),-INT(ROUND(-(H208)*100,6))/100,I208)</f>
        <v/>
      </c>
    </row>
    <row r="209" ht="18" customHeight="1">
      <c r="A209" s="9" t="n"/>
      <c r="B209" s="32" t="n"/>
      <c r="C209" s="12" t="n"/>
      <c r="D209" s="12" t="n"/>
      <c r="E209" s="12" t="n"/>
      <c r="F209" s="15">
        <f>IFERROR(MATCH($A209,Accounts!$A$2:$A$11,0),"")</f>
        <v/>
      </c>
      <c r="G209" s="14">
        <f>IFERROR(IF(OR($A209="",$F209=""),"",IF(INDEX(Accounts!$P$2:$P$11,$F209)="static",INDEX(Accounts!$Q$2:$Q$11,$F209),IF(INDEX(Accounts!$P$2:$P$11,$F209)="eod_trailing",MAX(INDEX(Accounts!$Q$2:$Q$11,$F209),_xlfn.MAXIFS($C$2:$C$1001,$A$2:$A$1001,$A209,$B$2:$B$1001,"&lt;"&amp;$B209)),MAX(INDEX(Accounts!$Q$2:$Q$11,$F209),_xlfn.MAXIFS($C$2:$C$1001,$A$2:$A$1001,$A209,$B$2:$B$1001,"&lt;"&amp;$B209),_xlfn.MAXIFS($D$2:$D$1001,$A$2:$A$1001,$A209,$B$2:$B$1001,"&lt;="&amp;$B209),$C209)))),"")</f>
        <v/>
      </c>
      <c r="H209" s="15">
        <f>IFERROR(IF(G209="","",IF(INDEX(Accounts!$P$2:$P$11,$F209)="static",INDEX(Accounts!$Q$2:$Q$11,$F209)-INDEX(Accounts!$R$2:$R$11,$F209),IF(INDEX(Accounts!$S$2:$S$11,$F209)="NONE",G209-INDEX(Accounts!$R$2:$R$11,$F209),MIN(G209-INDEX(Accounts!$R$2:$R$11,$F209),INDEX(Accounts!$Q$2:$Q$11,$F209)+INDEX(Accounts!$S$2:$S$11,$F209))))),"")</f>
        <v/>
      </c>
      <c r="I209" s="16">
        <f>IF(AND($A209="",$B209="",$C209="",$D209="",$E209=""),"",IF(OR($A209="",$F209=""),"UNKNOWN_ACCOUNT",IF(OR($B209="",$C209=""),"INCOMPLETE",IFERROR(IF(OR(NOT(ISNUMBER($B209)),NOT(ISNUMBER($C209)),IF(C209="",FALSE,IF(ISNUMBER(C209),OR(C209&lt;=0,C209&gt;100000000,ROUND(C209*100,6)&lt;&gt;INT(ROUND(C209*100,6))),TRUE)),IF(D209="",FALSE,IF(ISNUMBER(D209),OR(D209&lt;=0,D209&gt;100000000,ROUND(D209*100,6)&lt;&gt;INT(ROUND(D209*100,6))),TRUE)),IF(E209="",FALSE,IF(ISNUMBER(E209),OR(E209&lt;=0,E209&gt;100000000,ROUND(E209*100,6)&lt;&gt;INT(ROUND(E209*100,6))),TRUE)),AND($D209&lt;&gt;"",$D209&lt;MAX($C209,$E209)),AND($E209&lt;&gt;"",$E209&gt;MIN($C209,IF($D209="",$C209,$D209))),COUNTIFS($A$2:$A$1001,$A209,$B$2:$B$1001,$B209)&gt;1),"INVALID",IFERROR(IF(IF(INDEX(Accounts!$T$2:$T$11,$F209),ROUND(IF($E209="",$C209,MIN($C209,$E209))-(H209),6)&lt;=0,ROUND(IF($E209="",$C209,MIN($C209,$E209))-(H209),6)&lt;0),"BREACHED","OK"),"INCOMPLETE")),"INVALID"))))</f>
        <v/>
      </c>
      <c r="J209" s="33">
        <f>IF(OR(I209="OK",I209="BREACHED"),-INT(ROUND(-(H209)*100,6))/100,I209)</f>
        <v/>
      </c>
    </row>
    <row r="210" ht="18" customHeight="1">
      <c r="A210" s="9" t="n"/>
      <c r="B210" s="32" t="n"/>
      <c r="C210" s="12" t="n"/>
      <c r="D210" s="12" t="n"/>
      <c r="E210" s="12" t="n"/>
      <c r="F210" s="15">
        <f>IFERROR(MATCH($A210,Accounts!$A$2:$A$11,0),"")</f>
        <v/>
      </c>
      <c r="G210" s="14">
        <f>IFERROR(IF(OR($A210="",$F210=""),"",IF(INDEX(Accounts!$P$2:$P$11,$F210)="static",INDEX(Accounts!$Q$2:$Q$11,$F210),IF(INDEX(Accounts!$P$2:$P$11,$F210)="eod_trailing",MAX(INDEX(Accounts!$Q$2:$Q$11,$F210),_xlfn.MAXIFS($C$2:$C$1001,$A$2:$A$1001,$A210,$B$2:$B$1001,"&lt;"&amp;$B210)),MAX(INDEX(Accounts!$Q$2:$Q$11,$F210),_xlfn.MAXIFS($C$2:$C$1001,$A$2:$A$1001,$A210,$B$2:$B$1001,"&lt;"&amp;$B210),_xlfn.MAXIFS($D$2:$D$1001,$A$2:$A$1001,$A210,$B$2:$B$1001,"&lt;="&amp;$B210),$C210)))),"")</f>
        <v/>
      </c>
      <c r="H210" s="15">
        <f>IFERROR(IF(G210="","",IF(INDEX(Accounts!$P$2:$P$11,$F210)="static",INDEX(Accounts!$Q$2:$Q$11,$F210)-INDEX(Accounts!$R$2:$R$11,$F210),IF(INDEX(Accounts!$S$2:$S$11,$F210)="NONE",G210-INDEX(Accounts!$R$2:$R$11,$F210),MIN(G210-INDEX(Accounts!$R$2:$R$11,$F210),INDEX(Accounts!$Q$2:$Q$11,$F210)+INDEX(Accounts!$S$2:$S$11,$F210))))),"")</f>
        <v/>
      </c>
      <c r="I210" s="16">
        <f>IF(AND($A210="",$B210="",$C210="",$D210="",$E210=""),"",IF(OR($A210="",$F210=""),"UNKNOWN_ACCOUNT",IF(OR($B210="",$C210=""),"INCOMPLETE",IFERROR(IF(OR(NOT(ISNUMBER($B210)),NOT(ISNUMBER($C210)),IF(C210="",FALSE,IF(ISNUMBER(C210),OR(C210&lt;=0,C210&gt;100000000,ROUND(C210*100,6)&lt;&gt;INT(ROUND(C210*100,6))),TRUE)),IF(D210="",FALSE,IF(ISNUMBER(D210),OR(D210&lt;=0,D210&gt;100000000,ROUND(D210*100,6)&lt;&gt;INT(ROUND(D210*100,6))),TRUE)),IF(E210="",FALSE,IF(ISNUMBER(E210),OR(E210&lt;=0,E210&gt;100000000,ROUND(E210*100,6)&lt;&gt;INT(ROUND(E210*100,6))),TRUE)),AND($D210&lt;&gt;"",$D210&lt;MAX($C210,$E210)),AND($E210&lt;&gt;"",$E210&gt;MIN($C210,IF($D210="",$C210,$D210))),COUNTIFS($A$2:$A$1001,$A210,$B$2:$B$1001,$B210)&gt;1),"INVALID",IFERROR(IF(IF(INDEX(Accounts!$T$2:$T$11,$F210),ROUND(IF($E210="",$C210,MIN($C210,$E210))-(H210),6)&lt;=0,ROUND(IF($E210="",$C210,MIN($C210,$E210))-(H210),6)&lt;0),"BREACHED","OK"),"INCOMPLETE")),"INVALID"))))</f>
        <v/>
      </c>
      <c r="J210" s="33">
        <f>IF(OR(I210="OK",I210="BREACHED"),-INT(ROUND(-(H210)*100,6))/100,I210)</f>
        <v/>
      </c>
    </row>
    <row r="211" ht="18" customHeight="1">
      <c r="A211" s="9" t="n"/>
      <c r="B211" s="32" t="n"/>
      <c r="C211" s="12" t="n"/>
      <c r="D211" s="12" t="n"/>
      <c r="E211" s="12" t="n"/>
      <c r="F211" s="15">
        <f>IFERROR(MATCH($A211,Accounts!$A$2:$A$11,0),"")</f>
        <v/>
      </c>
      <c r="G211" s="14">
        <f>IFERROR(IF(OR($A211="",$F211=""),"",IF(INDEX(Accounts!$P$2:$P$11,$F211)="static",INDEX(Accounts!$Q$2:$Q$11,$F211),IF(INDEX(Accounts!$P$2:$P$11,$F211)="eod_trailing",MAX(INDEX(Accounts!$Q$2:$Q$11,$F211),_xlfn.MAXIFS($C$2:$C$1001,$A$2:$A$1001,$A211,$B$2:$B$1001,"&lt;"&amp;$B211)),MAX(INDEX(Accounts!$Q$2:$Q$11,$F211),_xlfn.MAXIFS($C$2:$C$1001,$A$2:$A$1001,$A211,$B$2:$B$1001,"&lt;"&amp;$B211),_xlfn.MAXIFS($D$2:$D$1001,$A$2:$A$1001,$A211,$B$2:$B$1001,"&lt;="&amp;$B211),$C211)))),"")</f>
        <v/>
      </c>
      <c r="H211" s="15">
        <f>IFERROR(IF(G211="","",IF(INDEX(Accounts!$P$2:$P$11,$F211)="static",INDEX(Accounts!$Q$2:$Q$11,$F211)-INDEX(Accounts!$R$2:$R$11,$F211),IF(INDEX(Accounts!$S$2:$S$11,$F211)="NONE",G211-INDEX(Accounts!$R$2:$R$11,$F211),MIN(G211-INDEX(Accounts!$R$2:$R$11,$F211),INDEX(Accounts!$Q$2:$Q$11,$F211)+INDEX(Accounts!$S$2:$S$11,$F211))))),"")</f>
        <v/>
      </c>
      <c r="I211" s="16">
        <f>IF(AND($A211="",$B211="",$C211="",$D211="",$E211=""),"",IF(OR($A211="",$F211=""),"UNKNOWN_ACCOUNT",IF(OR($B211="",$C211=""),"INCOMPLETE",IFERROR(IF(OR(NOT(ISNUMBER($B211)),NOT(ISNUMBER($C211)),IF(C211="",FALSE,IF(ISNUMBER(C211),OR(C211&lt;=0,C211&gt;100000000,ROUND(C211*100,6)&lt;&gt;INT(ROUND(C211*100,6))),TRUE)),IF(D211="",FALSE,IF(ISNUMBER(D211),OR(D211&lt;=0,D211&gt;100000000,ROUND(D211*100,6)&lt;&gt;INT(ROUND(D211*100,6))),TRUE)),IF(E211="",FALSE,IF(ISNUMBER(E211),OR(E211&lt;=0,E211&gt;100000000,ROUND(E211*100,6)&lt;&gt;INT(ROUND(E211*100,6))),TRUE)),AND($D211&lt;&gt;"",$D211&lt;MAX($C211,$E211)),AND($E211&lt;&gt;"",$E211&gt;MIN($C211,IF($D211="",$C211,$D211))),COUNTIFS($A$2:$A$1001,$A211,$B$2:$B$1001,$B211)&gt;1),"INVALID",IFERROR(IF(IF(INDEX(Accounts!$T$2:$T$11,$F211),ROUND(IF($E211="",$C211,MIN($C211,$E211))-(H211),6)&lt;=0,ROUND(IF($E211="",$C211,MIN($C211,$E211))-(H211),6)&lt;0),"BREACHED","OK"),"INCOMPLETE")),"INVALID"))))</f>
        <v/>
      </c>
      <c r="J211" s="33">
        <f>IF(OR(I211="OK",I211="BREACHED"),-INT(ROUND(-(H211)*100,6))/100,I211)</f>
        <v/>
      </c>
    </row>
    <row r="212" ht="18" customHeight="1">
      <c r="A212" s="9" t="n"/>
      <c r="B212" s="32" t="n"/>
      <c r="C212" s="12" t="n"/>
      <c r="D212" s="12" t="n"/>
      <c r="E212" s="12" t="n"/>
      <c r="F212" s="15">
        <f>IFERROR(MATCH($A212,Accounts!$A$2:$A$11,0),"")</f>
        <v/>
      </c>
      <c r="G212" s="14">
        <f>IFERROR(IF(OR($A212="",$F212=""),"",IF(INDEX(Accounts!$P$2:$P$11,$F212)="static",INDEX(Accounts!$Q$2:$Q$11,$F212),IF(INDEX(Accounts!$P$2:$P$11,$F212)="eod_trailing",MAX(INDEX(Accounts!$Q$2:$Q$11,$F212),_xlfn.MAXIFS($C$2:$C$1001,$A$2:$A$1001,$A212,$B$2:$B$1001,"&lt;"&amp;$B212)),MAX(INDEX(Accounts!$Q$2:$Q$11,$F212),_xlfn.MAXIFS($C$2:$C$1001,$A$2:$A$1001,$A212,$B$2:$B$1001,"&lt;"&amp;$B212),_xlfn.MAXIFS($D$2:$D$1001,$A$2:$A$1001,$A212,$B$2:$B$1001,"&lt;="&amp;$B212),$C212)))),"")</f>
        <v/>
      </c>
      <c r="H212" s="15">
        <f>IFERROR(IF(G212="","",IF(INDEX(Accounts!$P$2:$P$11,$F212)="static",INDEX(Accounts!$Q$2:$Q$11,$F212)-INDEX(Accounts!$R$2:$R$11,$F212),IF(INDEX(Accounts!$S$2:$S$11,$F212)="NONE",G212-INDEX(Accounts!$R$2:$R$11,$F212),MIN(G212-INDEX(Accounts!$R$2:$R$11,$F212),INDEX(Accounts!$Q$2:$Q$11,$F212)+INDEX(Accounts!$S$2:$S$11,$F212))))),"")</f>
        <v/>
      </c>
      <c r="I212" s="16">
        <f>IF(AND($A212="",$B212="",$C212="",$D212="",$E212=""),"",IF(OR($A212="",$F212=""),"UNKNOWN_ACCOUNT",IF(OR($B212="",$C212=""),"INCOMPLETE",IFERROR(IF(OR(NOT(ISNUMBER($B212)),NOT(ISNUMBER($C212)),IF(C212="",FALSE,IF(ISNUMBER(C212),OR(C212&lt;=0,C212&gt;100000000,ROUND(C212*100,6)&lt;&gt;INT(ROUND(C212*100,6))),TRUE)),IF(D212="",FALSE,IF(ISNUMBER(D212),OR(D212&lt;=0,D212&gt;100000000,ROUND(D212*100,6)&lt;&gt;INT(ROUND(D212*100,6))),TRUE)),IF(E212="",FALSE,IF(ISNUMBER(E212),OR(E212&lt;=0,E212&gt;100000000,ROUND(E212*100,6)&lt;&gt;INT(ROUND(E212*100,6))),TRUE)),AND($D212&lt;&gt;"",$D212&lt;MAX($C212,$E212)),AND($E212&lt;&gt;"",$E212&gt;MIN($C212,IF($D212="",$C212,$D212))),COUNTIFS($A$2:$A$1001,$A212,$B$2:$B$1001,$B212)&gt;1),"INVALID",IFERROR(IF(IF(INDEX(Accounts!$T$2:$T$11,$F212),ROUND(IF($E212="",$C212,MIN($C212,$E212))-(H212),6)&lt;=0,ROUND(IF($E212="",$C212,MIN($C212,$E212))-(H212),6)&lt;0),"BREACHED","OK"),"INCOMPLETE")),"INVALID"))))</f>
        <v/>
      </c>
      <c r="J212" s="33">
        <f>IF(OR(I212="OK",I212="BREACHED"),-INT(ROUND(-(H212)*100,6))/100,I212)</f>
        <v/>
      </c>
    </row>
    <row r="213" ht="18" customHeight="1">
      <c r="A213" s="9" t="n"/>
      <c r="B213" s="32" t="n"/>
      <c r="C213" s="12" t="n"/>
      <c r="D213" s="12" t="n"/>
      <c r="E213" s="12" t="n"/>
      <c r="F213" s="15">
        <f>IFERROR(MATCH($A213,Accounts!$A$2:$A$11,0),"")</f>
        <v/>
      </c>
      <c r="G213" s="14">
        <f>IFERROR(IF(OR($A213="",$F213=""),"",IF(INDEX(Accounts!$P$2:$P$11,$F213)="static",INDEX(Accounts!$Q$2:$Q$11,$F213),IF(INDEX(Accounts!$P$2:$P$11,$F213)="eod_trailing",MAX(INDEX(Accounts!$Q$2:$Q$11,$F213),_xlfn.MAXIFS($C$2:$C$1001,$A$2:$A$1001,$A213,$B$2:$B$1001,"&lt;"&amp;$B213)),MAX(INDEX(Accounts!$Q$2:$Q$11,$F213),_xlfn.MAXIFS($C$2:$C$1001,$A$2:$A$1001,$A213,$B$2:$B$1001,"&lt;"&amp;$B213),_xlfn.MAXIFS($D$2:$D$1001,$A$2:$A$1001,$A213,$B$2:$B$1001,"&lt;="&amp;$B213),$C213)))),"")</f>
        <v/>
      </c>
      <c r="H213" s="15">
        <f>IFERROR(IF(G213="","",IF(INDEX(Accounts!$P$2:$P$11,$F213)="static",INDEX(Accounts!$Q$2:$Q$11,$F213)-INDEX(Accounts!$R$2:$R$11,$F213),IF(INDEX(Accounts!$S$2:$S$11,$F213)="NONE",G213-INDEX(Accounts!$R$2:$R$11,$F213),MIN(G213-INDEX(Accounts!$R$2:$R$11,$F213),INDEX(Accounts!$Q$2:$Q$11,$F213)+INDEX(Accounts!$S$2:$S$11,$F213))))),"")</f>
        <v/>
      </c>
      <c r="I213" s="16">
        <f>IF(AND($A213="",$B213="",$C213="",$D213="",$E213=""),"",IF(OR($A213="",$F213=""),"UNKNOWN_ACCOUNT",IF(OR($B213="",$C213=""),"INCOMPLETE",IFERROR(IF(OR(NOT(ISNUMBER($B213)),NOT(ISNUMBER($C213)),IF(C213="",FALSE,IF(ISNUMBER(C213),OR(C213&lt;=0,C213&gt;100000000,ROUND(C213*100,6)&lt;&gt;INT(ROUND(C213*100,6))),TRUE)),IF(D213="",FALSE,IF(ISNUMBER(D213),OR(D213&lt;=0,D213&gt;100000000,ROUND(D213*100,6)&lt;&gt;INT(ROUND(D213*100,6))),TRUE)),IF(E213="",FALSE,IF(ISNUMBER(E213),OR(E213&lt;=0,E213&gt;100000000,ROUND(E213*100,6)&lt;&gt;INT(ROUND(E213*100,6))),TRUE)),AND($D213&lt;&gt;"",$D213&lt;MAX($C213,$E213)),AND($E213&lt;&gt;"",$E213&gt;MIN($C213,IF($D213="",$C213,$D213))),COUNTIFS($A$2:$A$1001,$A213,$B$2:$B$1001,$B213)&gt;1),"INVALID",IFERROR(IF(IF(INDEX(Accounts!$T$2:$T$11,$F213),ROUND(IF($E213="",$C213,MIN($C213,$E213))-(H213),6)&lt;=0,ROUND(IF($E213="",$C213,MIN($C213,$E213))-(H213),6)&lt;0),"BREACHED","OK"),"INCOMPLETE")),"INVALID"))))</f>
        <v/>
      </c>
      <c r="J213" s="33">
        <f>IF(OR(I213="OK",I213="BREACHED"),-INT(ROUND(-(H213)*100,6))/100,I213)</f>
        <v/>
      </c>
    </row>
    <row r="214" ht="18" customHeight="1">
      <c r="A214" s="9" t="n"/>
      <c r="B214" s="32" t="n"/>
      <c r="C214" s="12" t="n"/>
      <c r="D214" s="12" t="n"/>
      <c r="E214" s="12" t="n"/>
      <c r="F214" s="15">
        <f>IFERROR(MATCH($A214,Accounts!$A$2:$A$11,0),"")</f>
        <v/>
      </c>
      <c r="G214" s="14">
        <f>IFERROR(IF(OR($A214="",$F214=""),"",IF(INDEX(Accounts!$P$2:$P$11,$F214)="static",INDEX(Accounts!$Q$2:$Q$11,$F214),IF(INDEX(Accounts!$P$2:$P$11,$F214)="eod_trailing",MAX(INDEX(Accounts!$Q$2:$Q$11,$F214),_xlfn.MAXIFS($C$2:$C$1001,$A$2:$A$1001,$A214,$B$2:$B$1001,"&lt;"&amp;$B214)),MAX(INDEX(Accounts!$Q$2:$Q$11,$F214),_xlfn.MAXIFS($C$2:$C$1001,$A$2:$A$1001,$A214,$B$2:$B$1001,"&lt;"&amp;$B214),_xlfn.MAXIFS($D$2:$D$1001,$A$2:$A$1001,$A214,$B$2:$B$1001,"&lt;="&amp;$B214),$C214)))),"")</f>
        <v/>
      </c>
      <c r="H214" s="15">
        <f>IFERROR(IF(G214="","",IF(INDEX(Accounts!$P$2:$P$11,$F214)="static",INDEX(Accounts!$Q$2:$Q$11,$F214)-INDEX(Accounts!$R$2:$R$11,$F214),IF(INDEX(Accounts!$S$2:$S$11,$F214)="NONE",G214-INDEX(Accounts!$R$2:$R$11,$F214),MIN(G214-INDEX(Accounts!$R$2:$R$11,$F214),INDEX(Accounts!$Q$2:$Q$11,$F214)+INDEX(Accounts!$S$2:$S$11,$F214))))),"")</f>
        <v/>
      </c>
      <c r="I214" s="16">
        <f>IF(AND($A214="",$B214="",$C214="",$D214="",$E214=""),"",IF(OR($A214="",$F214=""),"UNKNOWN_ACCOUNT",IF(OR($B214="",$C214=""),"INCOMPLETE",IFERROR(IF(OR(NOT(ISNUMBER($B214)),NOT(ISNUMBER($C214)),IF(C214="",FALSE,IF(ISNUMBER(C214),OR(C214&lt;=0,C214&gt;100000000,ROUND(C214*100,6)&lt;&gt;INT(ROUND(C214*100,6))),TRUE)),IF(D214="",FALSE,IF(ISNUMBER(D214),OR(D214&lt;=0,D214&gt;100000000,ROUND(D214*100,6)&lt;&gt;INT(ROUND(D214*100,6))),TRUE)),IF(E214="",FALSE,IF(ISNUMBER(E214),OR(E214&lt;=0,E214&gt;100000000,ROUND(E214*100,6)&lt;&gt;INT(ROUND(E214*100,6))),TRUE)),AND($D214&lt;&gt;"",$D214&lt;MAX($C214,$E214)),AND($E214&lt;&gt;"",$E214&gt;MIN($C214,IF($D214="",$C214,$D214))),COUNTIFS($A$2:$A$1001,$A214,$B$2:$B$1001,$B214)&gt;1),"INVALID",IFERROR(IF(IF(INDEX(Accounts!$T$2:$T$11,$F214),ROUND(IF($E214="",$C214,MIN($C214,$E214))-(H214),6)&lt;=0,ROUND(IF($E214="",$C214,MIN($C214,$E214))-(H214),6)&lt;0),"BREACHED","OK"),"INCOMPLETE")),"INVALID"))))</f>
        <v/>
      </c>
      <c r="J214" s="33">
        <f>IF(OR(I214="OK",I214="BREACHED"),-INT(ROUND(-(H214)*100,6))/100,I214)</f>
        <v/>
      </c>
    </row>
    <row r="215" ht="18" customHeight="1">
      <c r="A215" s="9" t="n"/>
      <c r="B215" s="32" t="n"/>
      <c r="C215" s="12" t="n"/>
      <c r="D215" s="12" t="n"/>
      <c r="E215" s="12" t="n"/>
      <c r="F215" s="15">
        <f>IFERROR(MATCH($A215,Accounts!$A$2:$A$11,0),"")</f>
        <v/>
      </c>
      <c r="G215" s="14">
        <f>IFERROR(IF(OR($A215="",$F215=""),"",IF(INDEX(Accounts!$P$2:$P$11,$F215)="static",INDEX(Accounts!$Q$2:$Q$11,$F215),IF(INDEX(Accounts!$P$2:$P$11,$F215)="eod_trailing",MAX(INDEX(Accounts!$Q$2:$Q$11,$F215),_xlfn.MAXIFS($C$2:$C$1001,$A$2:$A$1001,$A215,$B$2:$B$1001,"&lt;"&amp;$B215)),MAX(INDEX(Accounts!$Q$2:$Q$11,$F215),_xlfn.MAXIFS($C$2:$C$1001,$A$2:$A$1001,$A215,$B$2:$B$1001,"&lt;"&amp;$B215),_xlfn.MAXIFS($D$2:$D$1001,$A$2:$A$1001,$A215,$B$2:$B$1001,"&lt;="&amp;$B215),$C215)))),"")</f>
        <v/>
      </c>
      <c r="H215" s="15">
        <f>IFERROR(IF(G215="","",IF(INDEX(Accounts!$P$2:$P$11,$F215)="static",INDEX(Accounts!$Q$2:$Q$11,$F215)-INDEX(Accounts!$R$2:$R$11,$F215),IF(INDEX(Accounts!$S$2:$S$11,$F215)="NONE",G215-INDEX(Accounts!$R$2:$R$11,$F215),MIN(G215-INDEX(Accounts!$R$2:$R$11,$F215),INDEX(Accounts!$Q$2:$Q$11,$F215)+INDEX(Accounts!$S$2:$S$11,$F215))))),"")</f>
        <v/>
      </c>
      <c r="I215" s="16">
        <f>IF(AND($A215="",$B215="",$C215="",$D215="",$E215=""),"",IF(OR($A215="",$F215=""),"UNKNOWN_ACCOUNT",IF(OR($B215="",$C215=""),"INCOMPLETE",IFERROR(IF(OR(NOT(ISNUMBER($B215)),NOT(ISNUMBER($C215)),IF(C215="",FALSE,IF(ISNUMBER(C215),OR(C215&lt;=0,C215&gt;100000000,ROUND(C215*100,6)&lt;&gt;INT(ROUND(C215*100,6))),TRUE)),IF(D215="",FALSE,IF(ISNUMBER(D215),OR(D215&lt;=0,D215&gt;100000000,ROUND(D215*100,6)&lt;&gt;INT(ROUND(D215*100,6))),TRUE)),IF(E215="",FALSE,IF(ISNUMBER(E215),OR(E215&lt;=0,E215&gt;100000000,ROUND(E215*100,6)&lt;&gt;INT(ROUND(E215*100,6))),TRUE)),AND($D215&lt;&gt;"",$D215&lt;MAX($C215,$E215)),AND($E215&lt;&gt;"",$E215&gt;MIN($C215,IF($D215="",$C215,$D215))),COUNTIFS($A$2:$A$1001,$A215,$B$2:$B$1001,$B215)&gt;1),"INVALID",IFERROR(IF(IF(INDEX(Accounts!$T$2:$T$11,$F215),ROUND(IF($E215="",$C215,MIN($C215,$E215))-(H215),6)&lt;=0,ROUND(IF($E215="",$C215,MIN($C215,$E215))-(H215),6)&lt;0),"BREACHED","OK"),"INCOMPLETE")),"INVALID"))))</f>
        <v/>
      </c>
      <c r="J215" s="33">
        <f>IF(OR(I215="OK",I215="BREACHED"),-INT(ROUND(-(H215)*100,6))/100,I215)</f>
        <v/>
      </c>
    </row>
    <row r="216" ht="18" customHeight="1">
      <c r="A216" s="9" t="n"/>
      <c r="B216" s="32" t="n"/>
      <c r="C216" s="12" t="n"/>
      <c r="D216" s="12" t="n"/>
      <c r="E216" s="12" t="n"/>
      <c r="F216" s="15">
        <f>IFERROR(MATCH($A216,Accounts!$A$2:$A$11,0),"")</f>
        <v/>
      </c>
      <c r="G216" s="14">
        <f>IFERROR(IF(OR($A216="",$F216=""),"",IF(INDEX(Accounts!$P$2:$P$11,$F216)="static",INDEX(Accounts!$Q$2:$Q$11,$F216),IF(INDEX(Accounts!$P$2:$P$11,$F216)="eod_trailing",MAX(INDEX(Accounts!$Q$2:$Q$11,$F216),_xlfn.MAXIFS($C$2:$C$1001,$A$2:$A$1001,$A216,$B$2:$B$1001,"&lt;"&amp;$B216)),MAX(INDEX(Accounts!$Q$2:$Q$11,$F216),_xlfn.MAXIFS($C$2:$C$1001,$A$2:$A$1001,$A216,$B$2:$B$1001,"&lt;"&amp;$B216),_xlfn.MAXIFS($D$2:$D$1001,$A$2:$A$1001,$A216,$B$2:$B$1001,"&lt;="&amp;$B216),$C216)))),"")</f>
        <v/>
      </c>
      <c r="H216" s="15">
        <f>IFERROR(IF(G216="","",IF(INDEX(Accounts!$P$2:$P$11,$F216)="static",INDEX(Accounts!$Q$2:$Q$11,$F216)-INDEX(Accounts!$R$2:$R$11,$F216),IF(INDEX(Accounts!$S$2:$S$11,$F216)="NONE",G216-INDEX(Accounts!$R$2:$R$11,$F216),MIN(G216-INDEX(Accounts!$R$2:$R$11,$F216),INDEX(Accounts!$Q$2:$Q$11,$F216)+INDEX(Accounts!$S$2:$S$11,$F216))))),"")</f>
        <v/>
      </c>
      <c r="I216" s="16">
        <f>IF(AND($A216="",$B216="",$C216="",$D216="",$E216=""),"",IF(OR($A216="",$F216=""),"UNKNOWN_ACCOUNT",IF(OR($B216="",$C216=""),"INCOMPLETE",IFERROR(IF(OR(NOT(ISNUMBER($B216)),NOT(ISNUMBER($C216)),IF(C216="",FALSE,IF(ISNUMBER(C216),OR(C216&lt;=0,C216&gt;100000000,ROUND(C216*100,6)&lt;&gt;INT(ROUND(C216*100,6))),TRUE)),IF(D216="",FALSE,IF(ISNUMBER(D216),OR(D216&lt;=0,D216&gt;100000000,ROUND(D216*100,6)&lt;&gt;INT(ROUND(D216*100,6))),TRUE)),IF(E216="",FALSE,IF(ISNUMBER(E216),OR(E216&lt;=0,E216&gt;100000000,ROUND(E216*100,6)&lt;&gt;INT(ROUND(E216*100,6))),TRUE)),AND($D216&lt;&gt;"",$D216&lt;MAX($C216,$E216)),AND($E216&lt;&gt;"",$E216&gt;MIN($C216,IF($D216="",$C216,$D216))),COUNTIFS($A$2:$A$1001,$A216,$B$2:$B$1001,$B216)&gt;1),"INVALID",IFERROR(IF(IF(INDEX(Accounts!$T$2:$T$11,$F216),ROUND(IF($E216="",$C216,MIN($C216,$E216))-(H216),6)&lt;=0,ROUND(IF($E216="",$C216,MIN($C216,$E216))-(H216),6)&lt;0),"BREACHED","OK"),"INCOMPLETE")),"INVALID"))))</f>
        <v/>
      </c>
      <c r="J216" s="33">
        <f>IF(OR(I216="OK",I216="BREACHED"),-INT(ROUND(-(H216)*100,6))/100,I216)</f>
        <v/>
      </c>
    </row>
    <row r="217" ht="18" customHeight="1">
      <c r="A217" s="9" t="n"/>
      <c r="B217" s="32" t="n"/>
      <c r="C217" s="12" t="n"/>
      <c r="D217" s="12" t="n"/>
      <c r="E217" s="12" t="n"/>
      <c r="F217" s="15">
        <f>IFERROR(MATCH($A217,Accounts!$A$2:$A$11,0),"")</f>
        <v/>
      </c>
      <c r="G217" s="14">
        <f>IFERROR(IF(OR($A217="",$F217=""),"",IF(INDEX(Accounts!$P$2:$P$11,$F217)="static",INDEX(Accounts!$Q$2:$Q$11,$F217),IF(INDEX(Accounts!$P$2:$P$11,$F217)="eod_trailing",MAX(INDEX(Accounts!$Q$2:$Q$11,$F217),_xlfn.MAXIFS($C$2:$C$1001,$A$2:$A$1001,$A217,$B$2:$B$1001,"&lt;"&amp;$B217)),MAX(INDEX(Accounts!$Q$2:$Q$11,$F217),_xlfn.MAXIFS($C$2:$C$1001,$A$2:$A$1001,$A217,$B$2:$B$1001,"&lt;"&amp;$B217),_xlfn.MAXIFS($D$2:$D$1001,$A$2:$A$1001,$A217,$B$2:$B$1001,"&lt;="&amp;$B217),$C217)))),"")</f>
        <v/>
      </c>
      <c r="H217" s="15">
        <f>IFERROR(IF(G217="","",IF(INDEX(Accounts!$P$2:$P$11,$F217)="static",INDEX(Accounts!$Q$2:$Q$11,$F217)-INDEX(Accounts!$R$2:$R$11,$F217),IF(INDEX(Accounts!$S$2:$S$11,$F217)="NONE",G217-INDEX(Accounts!$R$2:$R$11,$F217),MIN(G217-INDEX(Accounts!$R$2:$R$11,$F217),INDEX(Accounts!$Q$2:$Q$11,$F217)+INDEX(Accounts!$S$2:$S$11,$F217))))),"")</f>
        <v/>
      </c>
      <c r="I217" s="16">
        <f>IF(AND($A217="",$B217="",$C217="",$D217="",$E217=""),"",IF(OR($A217="",$F217=""),"UNKNOWN_ACCOUNT",IF(OR($B217="",$C217=""),"INCOMPLETE",IFERROR(IF(OR(NOT(ISNUMBER($B217)),NOT(ISNUMBER($C217)),IF(C217="",FALSE,IF(ISNUMBER(C217),OR(C217&lt;=0,C217&gt;100000000,ROUND(C217*100,6)&lt;&gt;INT(ROUND(C217*100,6))),TRUE)),IF(D217="",FALSE,IF(ISNUMBER(D217),OR(D217&lt;=0,D217&gt;100000000,ROUND(D217*100,6)&lt;&gt;INT(ROUND(D217*100,6))),TRUE)),IF(E217="",FALSE,IF(ISNUMBER(E217),OR(E217&lt;=0,E217&gt;100000000,ROUND(E217*100,6)&lt;&gt;INT(ROUND(E217*100,6))),TRUE)),AND($D217&lt;&gt;"",$D217&lt;MAX($C217,$E217)),AND($E217&lt;&gt;"",$E217&gt;MIN($C217,IF($D217="",$C217,$D217))),COUNTIFS($A$2:$A$1001,$A217,$B$2:$B$1001,$B217)&gt;1),"INVALID",IFERROR(IF(IF(INDEX(Accounts!$T$2:$T$11,$F217),ROUND(IF($E217="",$C217,MIN($C217,$E217))-(H217),6)&lt;=0,ROUND(IF($E217="",$C217,MIN($C217,$E217))-(H217),6)&lt;0),"BREACHED","OK"),"INCOMPLETE")),"INVALID"))))</f>
        <v/>
      </c>
      <c r="J217" s="33">
        <f>IF(OR(I217="OK",I217="BREACHED"),-INT(ROUND(-(H217)*100,6))/100,I217)</f>
        <v/>
      </c>
    </row>
    <row r="218" ht="18" customHeight="1">
      <c r="A218" s="9" t="n"/>
      <c r="B218" s="32" t="n"/>
      <c r="C218" s="12" t="n"/>
      <c r="D218" s="12" t="n"/>
      <c r="E218" s="12" t="n"/>
      <c r="F218" s="15">
        <f>IFERROR(MATCH($A218,Accounts!$A$2:$A$11,0),"")</f>
        <v/>
      </c>
      <c r="G218" s="14">
        <f>IFERROR(IF(OR($A218="",$F218=""),"",IF(INDEX(Accounts!$P$2:$P$11,$F218)="static",INDEX(Accounts!$Q$2:$Q$11,$F218),IF(INDEX(Accounts!$P$2:$P$11,$F218)="eod_trailing",MAX(INDEX(Accounts!$Q$2:$Q$11,$F218),_xlfn.MAXIFS($C$2:$C$1001,$A$2:$A$1001,$A218,$B$2:$B$1001,"&lt;"&amp;$B218)),MAX(INDEX(Accounts!$Q$2:$Q$11,$F218),_xlfn.MAXIFS($C$2:$C$1001,$A$2:$A$1001,$A218,$B$2:$B$1001,"&lt;"&amp;$B218),_xlfn.MAXIFS($D$2:$D$1001,$A$2:$A$1001,$A218,$B$2:$B$1001,"&lt;="&amp;$B218),$C218)))),"")</f>
        <v/>
      </c>
      <c r="H218" s="15">
        <f>IFERROR(IF(G218="","",IF(INDEX(Accounts!$P$2:$P$11,$F218)="static",INDEX(Accounts!$Q$2:$Q$11,$F218)-INDEX(Accounts!$R$2:$R$11,$F218),IF(INDEX(Accounts!$S$2:$S$11,$F218)="NONE",G218-INDEX(Accounts!$R$2:$R$11,$F218),MIN(G218-INDEX(Accounts!$R$2:$R$11,$F218),INDEX(Accounts!$Q$2:$Q$11,$F218)+INDEX(Accounts!$S$2:$S$11,$F218))))),"")</f>
        <v/>
      </c>
      <c r="I218" s="16">
        <f>IF(AND($A218="",$B218="",$C218="",$D218="",$E218=""),"",IF(OR($A218="",$F218=""),"UNKNOWN_ACCOUNT",IF(OR($B218="",$C218=""),"INCOMPLETE",IFERROR(IF(OR(NOT(ISNUMBER($B218)),NOT(ISNUMBER($C218)),IF(C218="",FALSE,IF(ISNUMBER(C218),OR(C218&lt;=0,C218&gt;100000000,ROUND(C218*100,6)&lt;&gt;INT(ROUND(C218*100,6))),TRUE)),IF(D218="",FALSE,IF(ISNUMBER(D218),OR(D218&lt;=0,D218&gt;100000000,ROUND(D218*100,6)&lt;&gt;INT(ROUND(D218*100,6))),TRUE)),IF(E218="",FALSE,IF(ISNUMBER(E218),OR(E218&lt;=0,E218&gt;100000000,ROUND(E218*100,6)&lt;&gt;INT(ROUND(E218*100,6))),TRUE)),AND($D218&lt;&gt;"",$D218&lt;MAX($C218,$E218)),AND($E218&lt;&gt;"",$E218&gt;MIN($C218,IF($D218="",$C218,$D218))),COUNTIFS($A$2:$A$1001,$A218,$B$2:$B$1001,$B218)&gt;1),"INVALID",IFERROR(IF(IF(INDEX(Accounts!$T$2:$T$11,$F218),ROUND(IF($E218="",$C218,MIN($C218,$E218))-(H218),6)&lt;=0,ROUND(IF($E218="",$C218,MIN($C218,$E218))-(H218),6)&lt;0),"BREACHED","OK"),"INCOMPLETE")),"INVALID"))))</f>
        <v/>
      </c>
      <c r="J218" s="33">
        <f>IF(OR(I218="OK",I218="BREACHED"),-INT(ROUND(-(H218)*100,6))/100,I218)</f>
        <v/>
      </c>
    </row>
    <row r="219" ht="18" customHeight="1">
      <c r="A219" s="9" t="n"/>
      <c r="B219" s="32" t="n"/>
      <c r="C219" s="12" t="n"/>
      <c r="D219" s="12" t="n"/>
      <c r="E219" s="12" t="n"/>
      <c r="F219" s="15">
        <f>IFERROR(MATCH($A219,Accounts!$A$2:$A$11,0),"")</f>
        <v/>
      </c>
      <c r="G219" s="14">
        <f>IFERROR(IF(OR($A219="",$F219=""),"",IF(INDEX(Accounts!$P$2:$P$11,$F219)="static",INDEX(Accounts!$Q$2:$Q$11,$F219),IF(INDEX(Accounts!$P$2:$P$11,$F219)="eod_trailing",MAX(INDEX(Accounts!$Q$2:$Q$11,$F219),_xlfn.MAXIFS($C$2:$C$1001,$A$2:$A$1001,$A219,$B$2:$B$1001,"&lt;"&amp;$B219)),MAX(INDEX(Accounts!$Q$2:$Q$11,$F219),_xlfn.MAXIFS($C$2:$C$1001,$A$2:$A$1001,$A219,$B$2:$B$1001,"&lt;"&amp;$B219),_xlfn.MAXIFS($D$2:$D$1001,$A$2:$A$1001,$A219,$B$2:$B$1001,"&lt;="&amp;$B219),$C219)))),"")</f>
        <v/>
      </c>
      <c r="H219" s="15">
        <f>IFERROR(IF(G219="","",IF(INDEX(Accounts!$P$2:$P$11,$F219)="static",INDEX(Accounts!$Q$2:$Q$11,$F219)-INDEX(Accounts!$R$2:$R$11,$F219),IF(INDEX(Accounts!$S$2:$S$11,$F219)="NONE",G219-INDEX(Accounts!$R$2:$R$11,$F219),MIN(G219-INDEX(Accounts!$R$2:$R$11,$F219),INDEX(Accounts!$Q$2:$Q$11,$F219)+INDEX(Accounts!$S$2:$S$11,$F219))))),"")</f>
        <v/>
      </c>
      <c r="I219" s="16">
        <f>IF(AND($A219="",$B219="",$C219="",$D219="",$E219=""),"",IF(OR($A219="",$F219=""),"UNKNOWN_ACCOUNT",IF(OR($B219="",$C219=""),"INCOMPLETE",IFERROR(IF(OR(NOT(ISNUMBER($B219)),NOT(ISNUMBER($C219)),IF(C219="",FALSE,IF(ISNUMBER(C219),OR(C219&lt;=0,C219&gt;100000000,ROUND(C219*100,6)&lt;&gt;INT(ROUND(C219*100,6))),TRUE)),IF(D219="",FALSE,IF(ISNUMBER(D219),OR(D219&lt;=0,D219&gt;100000000,ROUND(D219*100,6)&lt;&gt;INT(ROUND(D219*100,6))),TRUE)),IF(E219="",FALSE,IF(ISNUMBER(E219),OR(E219&lt;=0,E219&gt;100000000,ROUND(E219*100,6)&lt;&gt;INT(ROUND(E219*100,6))),TRUE)),AND($D219&lt;&gt;"",$D219&lt;MAX($C219,$E219)),AND($E219&lt;&gt;"",$E219&gt;MIN($C219,IF($D219="",$C219,$D219))),COUNTIFS($A$2:$A$1001,$A219,$B$2:$B$1001,$B219)&gt;1),"INVALID",IFERROR(IF(IF(INDEX(Accounts!$T$2:$T$11,$F219),ROUND(IF($E219="",$C219,MIN($C219,$E219))-(H219),6)&lt;=0,ROUND(IF($E219="",$C219,MIN($C219,$E219))-(H219),6)&lt;0),"BREACHED","OK"),"INCOMPLETE")),"INVALID"))))</f>
        <v/>
      </c>
      <c r="J219" s="33">
        <f>IF(OR(I219="OK",I219="BREACHED"),-INT(ROUND(-(H219)*100,6))/100,I219)</f>
        <v/>
      </c>
    </row>
    <row r="220" ht="18" customHeight="1">
      <c r="A220" s="9" t="n"/>
      <c r="B220" s="32" t="n"/>
      <c r="C220" s="12" t="n"/>
      <c r="D220" s="12" t="n"/>
      <c r="E220" s="12" t="n"/>
      <c r="F220" s="15">
        <f>IFERROR(MATCH($A220,Accounts!$A$2:$A$11,0),"")</f>
        <v/>
      </c>
      <c r="G220" s="14">
        <f>IFERROR(IF(OR($A220="",$F220=""),"",IF(INDEX(Accounts!$P$2:$P$11,$F220)="static",INDEX(Accounts!$Q$2:$Q$11,$F220),IF(INDEX(Accounts!$P$2:$P$11,$F220)="eod_trailing",MAX(INDEX(Accounts!$Q$2:$Q$11,$F220),_xlfn.MAXIFS($C$2:$C$1001,$A$2:$A$1001,$A220,$B$2:$B$1001,"&lt;"&amp;$B220)),MAX(INDEX(Accounts!$Q$2:$Q$11,$F220),_xlfn.MAXIFS($C$2:$C$1001,$A$2:$A$1001,$A220,$B$2:$B$1001,"&lt;"&amp;$B220),_xlfn.MAXIFS($D$2:$D$1001,$A$2:$A$1001,$A220,$B$2:$B$1001,"&lt;="&amp;$B220),$C220)))),"")</f>
        <v/>
      </c>
      <c r="H220" s="15">
        <f>IFERROR(IF(G220="","",IF(INDEX(Accounts!$P$2:$P$11,$F220)="static",INDEX(Accounts!$Q$2:$Q$11,$F220)-INDEX(Accounts!$R$2:$R$11,$F220),IF(INDEX(Accounts!$S$2:$S$11,$F220)="NONE",G220-INDEX(Accounts!$R$2:$R$11,$F220),MIN(G220-INDEX(Accounts!$R$2:$R$11,$F220),INDEX(Accounts!$Q$2:$Q$11,$F220)+INDEX(Accounts!$S$2:$S$11,$F220))))),"")</f>
        <v/>
      </c>
      <c r="I220" s="16">
        <f>IF(AND($A220="",$B220="",$C220="",$D220="",$E220=""),"",IF(OR($A220="",$F220=""),"UNKNOWN_ACCOUNT",IF(OR($B220="",$C220=""),"INCOMPLETE",IFERROR(IF(OR(NOT(ISNUMBER($B220)),NOT(ISNUMBER($C220)),IF(C220="",FALSE,IF(ISNUMBER(C220),OR(C220&lt;=0,C220&gt;100000000,ROUND(C220*100,6)&lt;&gt;INT(ROUND(C220*100,6))),TRUE)),IF(D220="",FALSE,IF(ISNUMBER(D220),OR(D220&lt;=0,D220&gt;100000000,ROUND(D220*100,6)&lt;&gt;INT(ROUND(D220*100,6))),TRUE)),IF(E220="",FALSE,IF(ISNUMBER(E220),OR(E220&lt;=0,E220&gt;100000000,ROUND(E220*100,6)&lt;&gt;INT(ROUND(E220*100,6))),TRUE)),AND($D220&lt;&gt;"",$D220&lt;MAX($C220,$E220)),AND($E220&lt;&gt;"",$E220&gt;MIN($C220,IF($D220="",$C220,$D220))),COUNTIFS($A$2:$A$1001,$A220,$B$2:$B$1001,$B220)&gt;1),"INVALID",IFERROR(IF(IF(INDEX(Accounts!$T$2:$T$11,$F220),ROUND(IF($E220="",$C220,MIN($C220,$E220))-(H220),6)&lt;=0,ROUND(IF($E220="",$C220,MIN($C220,$E220))-(H220),6)&lt;0),"BREACHED","OK"),"INCOMPLETE")),"INVALID"))))</f>
        <v/>
      </c>
      <c r="J220" s="33">
        <f>IF(OR(I220="OK",I220="BREACHED"),-INT(ROUND(-(H220)*100,6))/100,I220)</f>
        <v/>
      </c>
    </row>
    <row r="221" ht="18" customHeight="1">
      <c r="A221" s="9" t="n"/>
      <c r="B221" s="32" t="n"/>
      <c r="C221" s="12" t="n"/>
      <c r="D221" s="12" t="n"/>
      <c r="E221" s="12" t="n"/>
      <c r="F221" s="15">
        <f>IFERROR(MATCH($A221,Accounts!$A$2:$A$11,0),"")</f>
        <v/>
      </c>
      <c r="G221" s="14">
        <f>IFERROR(IF(OR($A221="",$F221=""),"",IF(INDEX(Accounts!$P$2:$P$11,$F221)="static",INDEX(Accounts!$Q$2:$Q$11,$F221),IF(INDEX(Accounts!$P$2:$P$11,$F221)="eod_trailing",MAX(INDEX(Accounts!$Q$2:$Q$11,$F221),_xlfn.MAXIFS($C$2:$C$1001,$A$2:$A$1001,$A221,$B$2:$B$1001,"&lt;"&amp;$B221)),MAX(INDEX(Accounts!$Q$2:$Q$11,$F221),_xlfn.MAXIFS($C$2:$C$1001,$A$2:$A$1001,$A221,$B$2:$B$1001,"&lt;"&amp;$B221),_xlfn.MAXIFS($D$2:$D$1001,$A$2:$A$1001,$A221,$B$2:$B$1001,"&lt;="&amp;$B221),$C221)))),"")</f>
        <v/>
      </c>
      <c r="H221" s="15">
        <f>IFERROR(IF(G221="","",IF(INDEX(Accounts!$P$2:$P$11,$F221)="static",INDEX(Accounts!$Q$2:$Q$11,$F221)-INDEX(Accounts!$R$2:$R$11,$F221),IF(INDEX(Accounts!$S$2:$S$11,$F221)="NONE",G221-INDEX(Accounts!$R$2:$R$11,$F221),MIN(G221-INDEX(Accounts!$R$2:$R$11,$F221),INDEX(Accounts!$Q$2:$Q$11,$F221)+INDEX(Accounts!$S$2:$S$11,$F221))))),"")</f>
        <v/>
      </c>
      <c r="I221" s="16">
        <f>IF(AND($A221="",$B221="",$C221="",$D221="",$E221=""),"",IF(OR($A221="",$F221=""),"UNKNOWN_ACCOUNT",IF(OR($B221="",$C221=""),"INCOMPLETE",IFERROR(IF(OR(NOT(ISNUMBER($B221)),NOT(ISNUMBER($C221)),IF(C221="",FALSE,IF(ISNUMBER(C221),OR(C221&lt;=0,C221&gt;100000000,ROUND(C221*100,6)&lt;&gt;INT(ROUND(C221*100,6))),TRUE)),IF(D221="",FALSE,IF(ISNUMBER(D221),OR(D221&lt;=0,D221&gt;100000000,ROUND(D221*100,6)&lt;&gt;INT(ROUND(D221*100,6))),TRUE)),IF(E221="",FALSE,IF(ISNUMBER(E221),OR(E221&lt;=0,E221&gt;100000000,ROUND(E221*100,6)&lt;&gt;INT(ROUND(E221*100,6))),TRUE)),AND($D221&lt;&gt;"",$D221&lt;MAX($C221,$E221)),AND($E221&lt;&gt;"",$E221&gt;MIN($C221,IF($D221="",$C221,$D221))),COUNTIFS($A$2:$A$1001,$A221,$B$2:$B$1001,$B221)&gt;1),"INVALID",IFERROR(IF(IF(INDEX(Accounts!$T$2:$T$11,$F221),ROUND(IF($E221="",$C221,MIN($C221,$E221))-(H221),6)&lt;=0,ROUND(IF($E221="",$C221,MIN($C221,$E221))-(H221),6)&lt;0),"BREACHED","OK"),"INCOMPLETE")),"INVALID"))))</f>
        <v/>
      </c>
      <c r="J221" s="33">
        <f>IF(OR(I221="OK",I221="BREACHED"),-INT(ROUND(-(H221)*100,6))/100,I221)</f>
        <v/>
      </c>
    </row>
    <row r="222" ht="18" customHeight="1">
      <c r="A222" s="9" t="n"/>
      <c r="B222" s="32" t="n"/>
      <c r="C222" s="12" t="n"/>
      <c r="D222" s="12" t="n"/>
      <c r="E222" s="12" t="n"/>
      <c r="F222" s="15">
        <f>IFERROR(MATCH($A222,Accounts!$A$2:$A$11,0),"")</f>
        <v/>
      </c>
      <c r="G222" s="14">
        <f>IFERROR(IF(OR($A222="",$F222=""),"",IF(INDEX(Accounts!$P$2:$P$11,$F222)="static",INDEX(Accounts!$Q$2:$Q$11,$F222),IF(INDEX(Accounts!$P$2:$P$11,$F222)="eod_trailing",MAX(INDEX(Accounts!$Q$2:$Q$11,$F222),_xlfn.MAXIFS($C$2:$C$1001,$A$2:$A$1001,$A222,$B$2:$B$1001,"&lt;"&amp;$B222)),MAX(INDEX(Accounts!$Q$2:$Q$11,$F222),_xlfn.MAXIFS($C$2:$C$1001,$A$2:$A$1001,$A222,$B$2:$B$1001,"&lt;"&amp;$B222),_xlfn.MAXIFS($D$2:$D$1001,$A$2:$A$1001,$A222,$B$2:$B$1001,"&lt;="&amp;$B222),$C222)))),"")</f>
        <v/>
      </c>
      <c r="H222" s="15">
        <f>IFERROR(IF(G222="","",IF(INDEX(Accounts!$P$2:$P$11,$F222)="static",INDEX(Accounts!$Q$2:$Q$11,$F222)-INDEX(Accounts!$R$2:$R$11,$F222),IF(INDEX(Accounts!$S$2:$S$11,$F222)="NONE",G222-INDEX(Accounts!$R$2:$R$11,$F222),MIN(G222-INDEX(Accounts!$R$2:$R$11,$F222),INDEX(Accounts!$Q$2:$Q$11,$F222)+INDEX(Accounts!$S$2:$S$11,$F222))))),"")</f>
        <v/>
      </c>
      <c r="I222" s="16">
        <f>IF(AND($A222="",$B222="",$C222="",$D222="",$E222=""),"",IF(OR($A222="",$F222=""),"UNKNOWN_ACCOUNT",IF(OR($B222="",$C222=""),"INCOMPLETE",IFERROR(IF(OR(NOT(ISNUMBER($B222)),NOT(ISNUMBER($C222)),IF(C222="",FALSE,IF(ISNUMBER(C222),OR(C222&lt;=0,C222&gt;100000000,ROUND(C222*100,6)&lt;&gt;INT(ROUND(C222*100,6))),TRUE)),IF(D222="",FALSE,IF(ISNUMBER(D222),OR(D222&lt;=0,D222&gt;100000000,ROUND(D222*100,6)&lt;&gt;INT(ROUND(D222*100,6))),TRUE)),IF(E222="",FALSE,IF(ISNUMBER(E222),OR(E222&lt;=0,E222&gt;100000000,ROUND(E222*100,6)&lt;&gt;INT(ROUND(E222*100,6))),TRUE)),AND($D222&lt;&gt;"",$D222&lt;MAX($C222,$E222)),AND($E222&lt;&gt;"",$E222&gt;MIN($C222,IF($D222="",$C222,$D222))),COUNTIFS($A$2:$A$1001,$A222,$B$2:$B$1001,$B222)&gt;1),"INVALID",IFERROR(IF(IF(INDEX(Accounts!$T$2:$T$11,$F222),ROUND(IF($E222="",$C222,MIN($C222,$E222))-(H222),6)&lt;=0,ROUND(IF($E222="",$C222,MIN($C222,$E222))-(H222),6)&lt;0),"BREACHED","OK"),"INCOMPLETE")),"INVALID"))))</f>
        <v/>
      </c>
      <c r="J222" s="33">
        <f>IF(OR(I222="OK",I222="BREACHED"),-INT(ROUND(-(H222)*100,6))/100,I222)</f>
        <v/>
      </c>
    </row>
    <row r="223" ht="18" customHeight="1">
      <c r="A223" s="9" t="n"/>
      <c r="B223" s="32" t="n"/>
      <c r="C223" s="12" t="n"/>
      <c r="D223" s="12" t="n"/>
      <c r="E223" s="12" t="n"/>
      <c r="F223" s="15">
        <f>IFERROR(MATCH($A223,Accounts!$A$2:$A$11,0),"")</f>
        <v/>
      </c>
      <c r="G223" s="14">
        <f>IFERROR(IF(OR($A223="",$F223=""),"",IF(INDEX(Accounts!$P$2:$P$11,$F223)="static",INDEX(Accounts!$Q$2:$Q$11,$F223),IF(INDEX(Accounts!$P$2:$P$11,$F223)="eod_trailing",MAX(INDEX(Accounts!$Q$2:$Q$11,$F223),_xlfn.MAXIFS($C$2:$C$1001,$A$2:$A$1001,$A223,$B$2:$B$1001,"&lt;"&amp;$B223)),MAX(INDEX(Accounts!$Q$2:$Q$11,$F223),_xlfn.MAXIFS($C$2:$C$1001,$A$2:$A$1001,$A223,$B$2:$B$1001,"&lt;"&amp;$B223),_xlfn.MAXIFS($D$2:$D$1001,$A$2:$A$1001,$A223,$B$2:$B$1001,"&lt;="&amp;$B223),$C223)))),"")</f>
        <v/>
      </c>
      <c r="H223" s="15">
        <f>IFERROR(IF(G223="","",IF(INDEX(Accounts!$P$2:$P$11,$F223)="static",INDEX(Accounts!$Q$2:$Q$11,$F223)-INDEX(Accounts!$R$2:$R$11,$F223),IF(INDEX(Accounts!$S$2:$S$11,$F223)="NONE",G223-INDEX(Accounts!$R$2:$R$11,$F223),MIN(G223-INDEX(Accounts!$R$2:$R$11,$F223),INDEX(Accounts!$Q$2:$Q$11,$F223)+INDEX(Accounts!$S$2:$S$11,$F223))))),"")</f>
        <v/>
      </c>
      <c r="I223" s="16">
        <f>IF(AND($A223="",$B223="",$C223="",$D223="",$E223=""),"",IF(OR($A223="",$F223=""),"UNKNOWN_ACCOUNT",IF(OR($B223="",$C223=""),"INCOMPLETE",IFERROR(IF(OR(NOT(ISNUMBER($B223)),NOT(ISNUMBER($C223)),IF(C223="",FALSE,IF(ISNUMBER(C223),OR(C223&lt;=0,C223&gt;100000000,ROUND(C223*100,6)&lt;&gt;INT(ROUND(C223*100,6))),TRUE)),IF(D223="",FALSE,IF(ISNUMBER(D223),OR(D223&lt;=0,D223&gt;100000000,ROUND(D223*100,6)&lt;&gt;INT(ROUND(D223*100,6))),TRUE)),IF(E223="",FALSE,IF(ISNUMBER(E223),OR(E223&lt;=0,E223&gt;100000000,ROUND(E223*100,6)&lt;&gt;INT(ROUND(E223*100,6))),TRUE)),AND($D223&lt;&gt;"",$D223&lt;MAX($C223,$E223)),AND($E223&lt;&gt;"",$E223&gt;MIN($C223,IF($D223="",$C223,$D223))),COUNTIFS($A$2:$A$1001,$A223,$B$2:$B$1001,$B223)&gt;1),"INVALID",IFERROR(IF(IF(INDEX(Accounts!$T$2:$T$11,$F223),ROUND(IF($E223="",$C223,MIN($C223,$E223))-(H223),6)&lt;=0,ROUND(IF($E223="",$C223,MIN($C223,$E223))-(H223),6)&lt;0),"BREACHED","OK"),"INCOMPLETE")),"INVALID"))))</f>
        <v/>
      </c>
      <c r="J223" s="33">
        <f>IF(OR(I223="OK",I223="BREACHED"),-INT(ROUND(-(H223)*100,6))/100,I223)</f>
        <v/>
      </c>
    </row>
    <row r="224" ht="18" customHeight="1">
      <c r="A224" s="9" t="n"/>
      <c r="B224" s="32" t="n"/>
      <c r="C224" s="12" t="n"/>
      <c r="D224" s="12" t="n"/>
      <c r="E224" s="12" t="n"/>
      <c r="F224" s="15">
        <f>IFERROR(MATCH($A224,Accounts!$A$2:$A$11,0),"")</f>
        <v/>
      </c>
      <c r="G224" s="14">
        <f>IFERROR(IF(OR($A224="",$F224=""),"",IF(INDEX(Accounts!$P$2:$P$11,$F224)="static",INDEX(Accounts!$Q$2:$Q$11,$F224),IF(INDEX(Accounts!$P$2:$P$11,$F224)="eod_trailing",MAX(INDEX(Accounts!$Q$2:$Q$11,$F224),_xlfn.MAXIFS($C$2:$C$1001,$A$2:$A$1001,$A224,$B$2:$B$1001,"&lt;"&amp;$B224)),MAX(INDEX(Accounts!$Q$2:$Q$11,$F224),_xlfn.MAXIFS($C$2:$C$1001,$A$2:$A$1001,$A224,$B$2:$B$1001,"&lt;"&amp;$B224),_xlfn.MAXIFS($D$2:$D$1001,$A$2:$A$1001,$A224,$B$2:$B$1001,"&lt;="&amp;$B224),$C224)))),"")</f>
        <v/>
      </c>
      <c r="H224" s="15">
        <f>IFERROR(IF(G224="","",IF(INDEX(Accounts!$P$2:$P$11,$F224)="static",INDEX(Accounts!$Q$2:$Q$11,$F224)-INDEX(Accounts!$R$2:$R$11,$F224),IF(INDEX(Accounts!$S$2:$S$11,$F224)="NONE",G224-INDEX(Accounts!$R$2:$R$11,$F224),MIN(G224-INDEX(Accounts!$R$2:$R$11,$F224),INDEX(Accounts!$Q$2:$Q$11,$F224)+INDEX(Accounts!$S$2:$S$11,$F224))))),"")</f>
        <v/>
      </c>
      <c r="I224" s="16">
        <f>IF(AND($A224="",$B224="",$C224="",$D224="",$E224=""),"",IF(OR($A224="",$F224=""),"UNKNOWN_ACCOUNT",IF(OR($B224="",$C224=""),"INCOMPLETE",IFERROR(IF(OR(NOT(ISNUMBER($B224)),NOT(ISNUMBER($C224)),IF(C224="",FALSE,IF(ISNUMBER(C224),OR(C224&lt;=0,C224&gt;100000000,ROUND(C224*100,6)&lt;&gt;INT(ROUND(C224*100,6))),TRUE)),IF(D224="",FALSE,IF(ISNUMBER(D224),OR(D224&lt;=0,D224&gt;100000000,ROUND(D224*100,6)&lt;&gt;INT(ROUND(D224*100,6))),TRUE)),IF(E224="",FALSE,IF(ISNUMBER(E224),OR(E224&lt;=0,E224&gt;100000000,ROUND(E224*100,6)&lt;&gt;INT(ROUND(E224*100,6))),TRUE)),AND($D224&lt;&gt;"",$D224&lt;MAX($C224,$E224)),AND($E224&lt;&gt;"",$E224&gt;MIN($C224,IF($D224="",$C224,$D224))),COUNTIFS($A$2:$A$1001,$A224,$B$2:$B$1001,$B224)&gt;1),"INVALID",IFERROR(IF(IF(INDEX(Accounts!$T$2:$T$11,$F224),ROUND(IF($E224="",$C224,MIN($C224,$E224))-(H224),6)&lt;=0,ROUND(IF($E224="",$C224,MIN($C224,$E224))-(H224),6)&lt;0),"BREACHED","OK"),"INCOMPLETE")),"INVALID"))))</f>
        <v/>
      </c>
      <c r="J224" s="33">
        <f>IF(OR(I224="OK",I224="BREACHED"),-INT(ROUND(-(H224)*100,6))/100,I224)</f>
        <v/>
      </c>
    </row>
    <row r="225" ht="18" customHeight="1">
      <c r="A225" s="9" t="n"/>
      <c r="B225" s="32" t="n"/>
      <c r="C225" s="12" t="n"/>
      <c r="D225" s="12" t="n"/>
      <c r="E225" s="12" t="n"/>
      <c r="F225" s="15">
        <f>IFERROR(MATCH($A225,Accounts!$A$2:$A$11,0),"")</f>
        <v/>
      </c>
      <c r="G225" s="14">
        <f>IFERROR(IF(OR($A225="",$F225=""),"",IF(INDEX(Accounts!$P$2:$P$11,$F225)="static",INDEX(Accounts!$Q$2:$Q$11,$F225),IF(INDEX(Accounts!$P$2:$P$11,$F225)="eod_trailing",MAX(INDEX(Accounts!$Q$2:$Q$11,$F225),_xlfn.MAXIFS($C$2:$C$1001,$A$2:$A$1001,$A225,$B$2:$B$1001,"&lt;"&amp;$B225)),MAX(INDEX(Accounts!$Q$2:$Q$11,$F225),_xlfn.MAXIFS($C$2:$C$1001,$A$2:$A$1001,$A225,$B$2:$B$1001,"&lt;"&amp;$B225),_xlfn.MAXIFS($D$2:$D$1001,$A$2:$A$1001,$A225,$B$2:$B$1001,"&lt;="&amp;$B225),$C225)))),"")</f>
        <v/>
      </c>
      <c r="H225" s="15">
        <f>IFERROR(IF(G225="","",IF(INDEX(Accounts!$P$2:$P$11,$F225)="static",INDEX(Accounts!$Q$2:$Q$11,$F225)-INDEX(Accounts!$R$2:$R$11,$F225),IF(INDEX(Accounts!$S$2:$S$11,$F225)="NONE",G225-INDEX(Accounts!$R$2:$R$11,$F225),MIN(G225-INDEX(Accounts!$R$2:$R$11,$F225),INDEX(Accounts!$Q$2:$Q$11,$F225)+INDEX(Accounts!$S$2:$S$11,$F225))))),"")</f>
        <v/>
      </c>
      <c r="I225" s="16">
        <f>IF(AND($A225="",$B225="",$C225="",$D225="",$E225=""),"",IF(OR($A225="",$F225=""),"UNKNOWN_ACCOUNT",IF(OR($B225="",$C225=""),"INCOMPLETE",IFERROR(IF(OR(NOT(ISNUMBER($B225)),NOT(ISNUMBER($C225)),IF(C225="",FALSE,IF(ISNUMBER(C225),OR(C225&lt;=0,C225&gt;100000000,ROUND(C225*100,6)&lt;&gt;INT(ROUND(C225*100,6))),TRUE)),IF(D225="",FALSE,IF(ISNUMBER(D225),OR(D225&lt;=0,D225&gt;100000000,ROUND(D225*100,6)&lt;&gt;INT(ROUND(D225*100,6))),TRUE)),IF(E225="",FALSE,IF(ISNUMBER(E225),OR(E225&lt;=0,E225&gt;100000000,ROUND(E225*100,6)&lt;&gt;INT(ROUND(E225*100,6))),TRUE)),AND($D225&lt;&gt;"",$D225&lt;MAX($C225,$E225)),AND($E225&lt;&gt;"",$E225&gt;MIN($C225,IF($D225="",$C225,$D225))),COUNTIFS($A$2:$A$1001,$A225,$B$2:$B$1001,$B225)&gt;1),"INVALID",IFERROR(IF(IF(INDEX(Accounts!$T$2:$T$11,$F225),ROUND(IF($E225="",$C225,MIN($C225,$E225))-(H225),6)&lt;=0,ROUND(IF($E225="",$C225,MIN($C225,$E225))-(H225),6)&lt;0),"BREACHED","OK"),"INCOMPLETE")),"INVALID"))))</f>
        <v/>
      </c>
      <c r="J225" s="33">
        <f>IF(OR(I225="OK",I225="BREACHED"),-INT(ROUND(-(H225)*100,6))/100,I225)</f>
        <v/>
      </c>
    </row>
    <row r="226" ht="18" customHeight="1">
      <c r="A226" s="9" t="n"/>
      <c r="B226" s="32" t="n"/>
      <c r="C226" s="12" t="n"/>
      <c r="D226" s="12" t="n"/>
      <c r="E226" s="12" t="n"/>
      <c r="F226" s="15">
        <f>IFERROR(MATCH($A226,Accounts!$A$2:$A$11,0),"")</f>
        <v/>
      </c>
      <c r="G226" s="14">
        <f>IFERROR(IF(OR($A226="",$F226=""),"",IF(INDEX(Accounts!$P$2:$P$11,$F226)="static",INDEX(Accounts!$Q$2:$Q$11,$F226),IF(INDEX(Accounts!$P$2:$P$11,$F226)="eod_trailing",MAX(INDEX(Accounts!$Q$2:$Q$11,$F226),_xlfn.MAXIFS($C$2:$C$1001,$A$2:$A$1001,$A226,$B$2:$B$1001,"&lt;"&amp;$B226)),MAX(INDEX(Accounts!$Q$2:$Q$11,$F226),_xlfn.MAXIFS($C$2:$C$1001,$A$2:$A$1001,$A226,$B$2:$B$1001,"&lt;"&amp;$B226),_xlfn.MAXIFS($D$2:$D$1001,$A$2:$A$1001,$A226,$B$2:$B$1001,"&lt;="&amp;$B226),$C226)))),"")</f>
        <v/>
      </c>
      <c r="H226" s="15">
        <f>IFERROR(IF(G226="","",IF(INDEX(Accounts!$P$2:$P$11,$F226)="static",INDEX(Accounts!$Q$2:$Q$11,$F226)-INDEX(Accounts!$R$2:$R$11,$F226),IF(INDEX(Accounts!$S$2:$S$11,$F226)="NONE",G226-INDEX(Accounts!$R$2:$R$11,$F226),MIN(G226-INDEX(Accounts!$R$2:$R$11,$F226),INDEX(Accounts!$Q$2:$Q$11,$F226)+INDEX(Accounts!$S$2:$S$11,$F226))))),"")</f>
        <v/>
      </c>
      <c r="I226" s="16">
        <f>IF(AND($A226="",$B226="",$C226="",$D226="",$E226=""),"",IF(OR($A226="",$F226=""),"UNKNOWN_ACCOUNT",IF(OR($B226="",$C226=""),"INCOMPLETE",IFERROR(IF(OR(NOT(ISNUMBER($B226)),NOT(ISNUMBER($C226)),IF(C226="",FALSE,IF(ISNUMBER(C226),OR(C226&lt;=0,C226&gt;100000000,ROUND(C226*100,6)&lt;&gt;INT(ROUND(C226*100,6))),TRUE)),IF(D226="",FALSE,IF(ISNUMBER(D226),OR(D226&lt;=0,D226&gt;100000000,ROUND(D226*100,6)&lt;&gt;INT(ROUND(D226*100,6))),TRUE)),IF(E226="",FALSE,IF(ISNUMBER(E226),OR(E226&lt;=0,E226&gt;100000000,ROUND(E226*100,6)&lt;&gt;INT(ROUND(E226*100,6))),TRUE)),AND($D226&lt;&gt;"",$D226&lt;MAX($C226,$E226)),AND($E226&lt;&gt;"",$E226&gt;MIN($C226,IF($D226="",$C226,$D226))),COUNTIFS($A$2:$A$1001,$A226,$B$2:$B$1001,$B226)&gt;1),"INVALID",IFERROR(IF(IF(INDEX(Accounts!$T$2:$T$11,$F226),ROUND(IF($E226="",$C226,MIN($C226,$E226))-(H226),6)&lt;=0,ROUND(IF($E226="",$C226,MIN($C226,$E226))-(H226),6)&lt;0),"BREACHED","OK"),"INCOMPLETE")),"INVALID"))))</f>
        <v/>
      </c>
      <c r="J226" s="33">
        <f>IF(OR(I226="OK",I226="BREACHED"),-INT(ROUND(-(H226)*100,6))/100,I226)</f>
        <v/>
      </c>
    </row>
    <row r="227" ht="18" customHeight="1">
      <c r="A227" s="9" t="n"/>
      <c r="B227" s="32" t="n"/>
      <c r="C227" s="12" t="n"/>
      <c r="D227" s="12" t="n"/>
      <c r="E227" s="12" t="n"/>
      <c r="F227" s="15">
        <f>IFERROR(MATCH($A227,Accounts!$A$2:$A$11,0),"")</f>
        <v/>
      </c>
      <c r="G227" s="14">
        <f>IFERROR(IF(OR($A227="",$F227=""),"",IF(INDEX(Accounts!$P$2:$P$11,$F227)="static",INDEX(Accounts!$Q$2:$Q$11,$F227),IF(INDEX(Accounts!$P$2:$P$11,$F227)="eod_trailing",MAX(INDEX(Accounts!$Q$2:$Q$11,$F227),_xlfn.MAXIFS($C$2:$C$1001,$A$2:$A$1001,$A227,$B$2:$B$1001,"&lt;"&amp;$B227)),MAX(INDEX(Accounts!$Q$2:$Q$11,$F227),_xlfn.MAXIFS($C$2:$C$1001,$A$2:$A$1001,$A227,$B$2:$B$1001,"&lt;"&amp;$B227),_xlfn.MAXIFS($D$2:$D$1001,$A$2:$A$1001,$A227,$B$2:$B$1001,"&lt;="&amp;$B227),$C227)))),"")</f>
        <v/>
      </c>
      <c r="H227" s="15">
        <f>IFERROR(IF(G227="","",IF(INDEX(Accounts!$P$2:$P$11,$F227)="static",INDEX(Accounts!$Q$2:$Q$11,$F227)-INDEX(Accounts!$R$2:$R$11,$F227),IF(INDEX(Accounts!$S$2:$S$11,$F227)="NONE",G227-INDEX(Accounts!$R$2:$R$11,$F227),MIN(G227-INDEX(Accounts!$R$2:$R$11,$F227),INDEX(Accounts!$Q$2:$Q$11,$F227)+INDEX(Accounts!$S$2:$S$11,$F227))))),"")</f>
        <v/>
      </c>
      <c r="I227" s="16">
        <f>IF(AND($A227="",$B227="",$C227="",$D227="",$E227=""),"",IF(OR($A227="",$F227=""),"UNKNOWN_ACCOUNT",IF(OR($B227="",$C227=""),"INCOMPLETE",IFERROR(IF(OR(NOT(ISNUMBER($B227)),NOT(ISNUMBER($C227)),IF(C227="",FALSE,IF(ISNUMBER(C227),OR(C227&lt;=0,C227&gt;100000000,ROUND(C227*100,6)&lt;&gt;INT(ROUND(C227*100,6))),TRUE)),IF(D227="",FALSE,IF(ISNUMBER(D227),OR(D227&lt;=0,D227&gt;100000000,ROUND(D227*100,6)&lt;&gt;INT(ROUND(D227*100,6))),TRUE)),IF(E227="",FALSE,IF(ISNUMBER(E227),OR(E227&lt;=0,E227&gt;100000000,ROUND(E227*100,6)&lt;&gt;INT(ROUND(E227*100,6))),TRUE)),AND($D227&lt;&gt;"",$D227&lt;MAX($C227,$E227)),AND($E227&lt;&gt;"",$E227&gt;MIN($C227,IF($D227="",$C227,$D227))),COUNTIFS($A$2:$A$1001,$A227,$B$2:$B$1001,$B227)&gt;1),"INVALID",IFERROR(IF(IF(INDEX(Accounts!$T$2:$T$11,$F227),ROUND(IF($E227="",$C227,MIN($C227,$E227))-(H227),6)&lt;=0,ROUND(IF($E227="",$C227,MIN($C227,$E227))-(H227),6)&lt;0),"BREACHED","OK"),"INCOMPLETE")),"INVALID"))))</f>
        <v/>
      </c>
      <c r="J227" s="33">
        <f>IF(OR(I227="OK",I227="BREACHED"),-INT(ROUND(-(H227)*100,6))/100,I227)</f>
        <v/>
      </c>
    </row>
    <row r="228" ht="18" customHeight="1">
      <c r="A228" s="9" t="n"/>
      <c r="B228" s="32" t="n"/>
      <c r="C228" s="12" t="n"/>
      <c r="D228" s="12" t="n"/>
      <c r="E228" s="12" t="n"/>
      <c r="F228" s="15">
        <f>IFERROR(MATCH($A228,Accounts!$A$2:$A$11,0),"")</f>
        <v/>
      </c>
      <c r="G228" s="14">
        <f>IFERROR(IF(OR($A228="",$F228=""),"",IF(INDEX(Accounts!$P$2:$P$11,$F228)="static",INDEX(Accounts!$Q$2:$Q$11,$F228),IF(INDEX(Accounts!$P$2:$P$11,$F228)="eod_trailing",MAX(INDEX(Accounts!$Q$2:$Q$11,$F228),_xlfn.MAXIFS($C$2:$C$1001,$A$2:$A$1001,$A228,$B$2:$B$1001,"&lt;"&amp;$B228)),MAX(INDEX(Accounts!$Q$2:$Q$11,$F228),_xlfn.MAXIFS($C$2:$C$1001,$A$2:$A$1001,$A228,$B$2:$B$1001,"&lt;"&amp;$B228),_xlfn.MAXIFS($D$2:$D$1001,$A$2:$A$1001,$A228,$B$2:$B$1001,"&lt;="&amp;$B228),$C228)))),"")</f>
        <v/>
      </c>
      <c r="H228" s="15">
        <f>IFERROR(IF(G228="","",IF(INDEX(Accounts!$P$2:$P$11,$F228)="static",INDEX(Accounts!$Q$2:$Q$11,$F228)-INDEX(Accounts!$R$2:$R$11,$F228),IF(INDEX(Accounts!$S$2:$S$11,$F228)="NONE",G228-INDEX(Accounts!$R$2:$R$11,$F228),MIN(G228-INDEX(Accounts!$R$2:$R$11,$F228),INDEX(Accounts!$Q$2:$Q$11,$F228)+INDEX(Accounts!$S$2:$S$11,$F228))))),"")</f>
        <v/>
      </c>
      <c r="I228" s="16">
        <f>IF(AND($A228="",$B228="",$C228="",$D228="",$E228=""),"",IF(OR($A228="",$F228=""),"UNKNOWN_ACCOUNT",IF(OR($B228="",$C228=""),"INCOMPLETE",IFERROR(IF(OR(NOT(ISNUMBER($B228)),NOT(ISNUMBER($C228)),IF(C228="",FALSE,IF(ISNUMBER(C228),OR(C228&lt;=0,C228&gt;100000000,ROUND(C228*100,6)&lt;&gt;INT(ROUND(C228*100,6))),TRUE)),IF(D228="",FALSE,IF(ISNUMBER(D228),OR(D228&lt;=0,D228&gt;100000000,ROUND(D228*100,6)&lt;&gt;INT(ROUND(D228*100,6))),TRUE)),IF(E228="",FALSE,IF(ISNUMBER(E228),OR(E228&lt;=0,E228&gt;100000000,ROUND(E228*100,6)&lt;&gt;INT(ROUND(E228*100,6))),TRUE)),AND($D228&lt;&gt;"",$D228&lt;MAX($C228,$E228)),AND($E228&lt;&gt;"",$E228&gt;MIN($C228,IF($D228="",$C228,$D228))),COUNTIFS($A$2:$A$1001,$A228,$B$2:$B$1001,$B228)&gt;1),"INVALID",IFERROR(IF(IF(INDEX(Accounts!$T$2:$T$11,$F228),ROUND(IF($E228="",$C228,MIN($C228,$E228))-(H228),6)&lt;=0,ROUND(IF($E228="",$C228,MIN($C228,$E228))-(H228),6)&lt;0),"BREACHED","OK"),"INCOMPLETE")),"INVALID"))))</f>
        <v/>
      </c>
      <c r="J228" s="33">
        <f>IF(OR(I228="OK",I228="BREACHED"),-INT(ROUND(-(H228)*100,6))/100,I228)</f>
        <v/>
      </c>
    </row>
    <row r="229" ht="18" customHeight="1">
      <c r="A229" s="9" t="n"/>
      <c r="B229" s="32" t="n"/>
      <c r="C229" s="12" t="n"/>
      <c r="D229" s="12" t="n"/>
      <c r="E229" s="12" t="n"/>
      <c r="F229" s="15">
        <f>IFERROR(MATCH($A229,Accounts!$A$2:$A$11,0),"")</f>
        <v/>
      </c>
      <c r="G229" s="14">
        <f>IFERROR(IF(OR($A229="",$F229=""),"",IF(INDEX(Accounts!$P$2:$P$11,$F229)="static",INDEX(Accounts!$Q$2:$Q$11,$F229),IF(INDEX(Accounts!$P$2:$P$11,$F229)="eod_trailing",MAX(INDEX(Accounts!$Q$2:$Q$11,$F229),_xlfn.MAXIFS($C$2:$C$1001,$A$2:$A$1001,$A229,$B$2:$B$1001,"&lt;"&amp;$B229)),MAX(INDEX(Accounts!$Q$2:$Q$11,$F229),_xlfn.MAXIFS($C$2:$C$1001,$A$2:$A$1001,$A229,$B$2:$B$1001,"&lt;"&amp;$B229),_xlfn.MAXIFS($D$2:$D$1001,$A$2:$A$1001,$A229,$B$2:$B$1001,"&lt;="&amp;$B229),$C229)))),"")</f>
        <v/>
      </c>
      <c r="H229" s="15">
        <f>IFERROR(IF(G229="","",IF(INDEX(Accounts!$P$2:$P$11,$F229)="static",INDEX(Accounts!$Q$2:$Q$11,$F229)-INDEX(Accounts!$R$2:$R$11,$F229),IF(INDEX(Accounts!$S$2:$S$11,$F229)="NONE",G229-INDEX(Accounts!$R$2:$R$11,$F229),MIN(G229-INDEX(Accounts!$R$2:$R$11,$F229),INDEX(Accounts!$Q$2:$Q$11,$F229)+INDEX(Accounts!$S$2:$S$11,$F229))))),"")</f>
        <v/>
      </c>
      <c r="I229" s="16">
        <f>IF(AND($A229="",$B229="",$C229="",$D229="",$E229=""),"",IF(OR($A229="",$F229=""),"UNKNOWN_ACCOUNT",IF(OR($B229="",$C229=""),"INCOMPLETE",IFERROR(IF(OR(NOT(ISNUMBER($B229)),NOT(ISNUMBER($C229)),IF(C229="",FALSE,IF(ISNUMBER(C229),OR(C229&lt;=0,C229&gt;100000000,ROUND(C229*100,6)&lt;&gt;INT(ROUND(C229*100,6))),TRUE)),IF(D229="",FALSE,IF(ISNUMBER(D229),OR(D229&lt;=0,D229&gt;100000000,ROUND(D229*100,6)&lt;&gt;INT(ROUND(D229*100,6))),TRUE)),IF(E229="",FALSE,IF(ISNUMBER(E229),OR(E229&lt;=0,E229&gt;100000000,ROUND(E229*100,6)&lt;&gt;INT(ROUND(E229*100,6))),TRUE)),AND($D229&lt;&gt;"",$D229&lt;MAX($C229,$E229)),AND($E229&lt;&gt;"",$E229&gt;MIN($C229,IF($D229="",$C229,$D229))),COUNTIFS($A$2:$A$1001,$A229,$B$2:$B$1001,$B229)&gt;1),"INVALID",IFERROR(IF(IF(INDEX(Accounts!$T$2:$T$11,$F229),ROUND(IF($E229="",$C229,MIN($C229,$E229))-(H229),6)&lt;=0,ROUND(IF($E229="",$C229,MIN($C229,$E229))-(H229),6)&lt;0),"BREACHED","OK"),"INCOMPLETE")),"INVALID"))))</f>
        <v/>
      </c>
      <c r="J229" s="33">
        <f>IF(OR(I229="OK",I229="BREACHED"),-INT(ROUND(-(H229)*100,6))/100,I229)</f>
        <v/>
      </c>
    </row>
    <row r="230" ht="18" customHeight="1">
      <c r="A230" s="9" t="n"/>
      <c r="B230" s="32" t="n"/>
      <c r="C230" s="12" t="n"/>
      <c r="D230" s="12" t="n"/>
      <c r="E230" s="12" t="n"/>
      <c r="F230" s="15">
        <f>IFERROR(MATCH($A230,Accounts!$A$2:$A$11,0),"")</f>
        <v/>
      </c>
      <c r="G230" s="14">
        <f>IFERROR(IF(OR($A230="",$F230=""),"",IF(INDEX(Accounts!$P$2:$P$11,$F230)="static",INDEX(Accounts!$Q$2:$Q$11,$F230),IF(INDEX(Accounts!$P$2:$P$11,$F230)="eod_trailing",MAX(INDEX(Accounts!$Q$2:$Q$11,$F230),_xlfn.MAXIFS($C$2:$C$1001,$A$2:$A$1001,$A230,$B$2:$B$1001,"&lt;"&amp;$B230)),MAX(INDEX(Accounts!$Q$2:$Q$11,$F230),_xlfn.MAXIFS($C$2:$C$1001,$A$2:$A$1001,$A230,$B$2:$B$1001,"&lt;"&amp;$B230),_xlfn.MAXIFS($D$2:$D$1001,$A$2:$A$1001,$A230,$B$2:$B$1001,"&lt;="&amp;$B230),$C230)))),"")</f>
        <v/>
      </c>
      <c r="H230" s="15">
        <f>IFERROR(IF(G230="","",IF(INDEX(Accounts!$P$2:$P$11,$F230)="static",INDEX(Accounts!$Q$2:$Q$11,$F230)-INDEX(Accounts!$R$2:$R$11,$F230),IF(INDEX(Accounts!$S$2:$S$11,$F230)="NONE",G230-INDEX(Accounts!$R$2:$R$11,$F230),MIN(G230-INDEX(Accounts!$R$2:$R$11,$F230),INDEX(Accounts!$Q$2:$Q$11,$F230)+INDEX(Accounts!$S$2:$S$11,$F230))))),"")</f>
        <v/>
      </c>
      <c r="I230" s="16">
        <f>IF(AND($A230="",$B230="",$C230="",$D230="",$E230=""),"",IF(OR($A230="",$F230=""),"UNKNOWN_ACCOUNT",IF(OR($B230="",$C230=""),"INCOMPLETE",IFERROR(IF(OR(NOT(ISNUMBER($B230)),NOT(ISNUMBER($C230)),IF(C230="",FALSE,IF(ISNUMBER(C230),OR(C230&lt;=0,C230&gt;100000000,ROUND(C230*100,6)&lt;&gt;INT(ROUND(C230*100,6))),TRUE)),IF(D230="",FALSE,IF(ISNUMBER(D230),OR(D230&lt;=0,D230&gt;100000000,ROUND(D230*100,6)&lt;&gt;INT(ROUND(D230*100,6))),TRUE)),IF(E230="",FALSE,IF(ISNUMBER(E230),OR(E230&lt;=0,E230&gt;100000000,ROUND(E230*100,6)&lt;&gt;INT(ROUND(E230*100,6))),TRUE)),AND($D230&lt;&gt;"",$D230&lt;MAX($C230,$E230)),AND($E230&lt;&gt;"",$E230&gt;MIN($C230,IF($D230="",$C230,$D230))),COUNTIFS($A$2:$A$1001,$A230,$B$2:$B$1001,$B230)&gt;1),"INVALID",IFERROR(IF(IF(INDEX(Accounts!$T$2:$T$11,$F230),ROUND(IF($E230="",$C230,MIN($C230,$E230))-(H230),6)&lt;=0,ROUND(IF($E230="",$C230,MIN($C230,$E230))-(H230),6)&lt;0),"BREACHED","OK"),"INCOMPLETE")),"INVALID"))))</f>
        <v/>
      </c>
      <c r="J230" s="33">
        <f>IF(OR(I230="OK",I230="BREACHED"),-INT(ROUND(-(H230)*100,6))/100,I230)</f>
        <v/>
      </c>
    </row>
    <row r="231" ht="18" customHeight="1">
      <c r="A231" s="9" t="n"/>
      <c r="B231" s="32" t="n"/>
      <c r="C231" s="12" t="n"/>
      <c r="D231" s="12" t="n"/>
      <c r="E231" s="12" t="n"/>
      <c r="F231" s="15">
        <f>IFERROR(MATCH($A231,Accounts!$A$2:$A$11,0),"")</f>
        <v/>
      </c>
      <c r="G231" s="14">
        <f>IFERROR(IF(OR($A231="",$F231=""),"",IF(INDEX(Accounts!$P$2:$P$11,$F231)="static",INDEX(Accounts!$Q$2:$Q$11,$F231),IF(INDEX(Accounts!$P$2:$P$11,$F231)="eod_trailing",MAX(INDEX(Accounts!$Q$2:$Q$11,$F231),_xlfn.MAXIFS($C$2:$C$1001,$A$2:$A$1001,$A231,$B$2:$B$1001,"&lt;"&amp;$B231)),MAX(INDEX(Accounts!$Q$2:$Q$11,$F231),_xlfn.MAXIFS($C$2:$C$1001,$A$2:$A$1001,$A231,$B$2:$B$1001,"&lt;"&amp;$B231),_xlfn.MAXIFS($D$2:$D$1001,$A$2:$A$1001,$A231,$B$2:$B$1001,"&lt;="&amp;$B231),$C231)))),"")</f>
        <v/>
      </c>
      <c r="H231" s="15">
        <f>IFERROR(IF(G231="","",IF(INDEX(Accounts!$P$2:$P$11,$F231)="static",INDEX(Accounts!$Q$2:$Q$11,$F231)-INDEX(Accounts!$R$2:$R$11,$F231),IF(INDEX(Accounts!$S$2:$S$11,$F231)="NONE",G231-INDEX(Accounts!$R$2:$R$11,$F231),MIN(G231-INDEX(Accounts!$R$2:$R$11,$F231),INDEX(Accounts!$Q$2:$Q$11,$F231)+INDEX(Accounts!$S$2:$S$11,$F231))))),"")</f>
        <v/>
      </c>
      <c r="I231" s="16">
        <f>IF(AND($A231="",$B231="",$C231="",$D231="",$E231=""),"",IF(OR($A231="",$F231=""),"UNKNOWN_ACCOUNT",IF(OR($B231="",$C231=""),"INCOMPLETE",IFERROR(IF(OR(NOT(ISNUMBER($B231)),NOT(ISNUMBER($C231)),IF(C231="",FALSE,IF(ISNUMBER(C231),OR(C231&lt;=0,C231&gt;100000000,ROUND(C231*100,6)&lt;&gt;INT(ROUND(C231*100,6))),TRUE)),IF(D231="",FALSE,IF(ISNUMBER(D231),OR(D231&lt;=0,D231&gt;100000000,ROUND(D231*100,6)&lt;&gt;INT(ROUND(D231*100,6))),TRUE)),IF(E231="",FALSE,IF(ISNUMBER(E231),OR(E231&lt;=0,E231&gt;100000000,ROUND(E231*100,6)&lt;&gt;INT(ROUND(E231*100,6))),TRUE)),AND($D231&lt;&gt;"",$D231&lt;MAX($C231,$E231)),AND($E231&lt;&gt;"",$E231&gt;MIN($C231,IF($D231="",$C231,$D231))),COUNTIFS($A$2:$A$1001,$A231,$B$2:$B$1001,$B231)&gt;1),"INVALID",IFERROR(IF(IF(INDEX(Accounts!$T$2:$T$11,$F231),ROUND(IF($E231="",$C231,MIN($C231,$E231))-(H231),6)&lt;=0,ROUND(IF($E231="",$C231,MIN($C231,$E231))-(H231),6)&lt;0),"BREACHED","OK"),"INCOMPLETE")),"INVALID"))))</f>
        <v/>
      </c>
      <c r="J231" s="33">
        <f>IF(OR(I231="OK",I231="BREACHED"),-INT(ROUND(-(H231)*100,6))/100,I231)</f>
        <v/>
      </c>
    </row>
    <row r="232" ht="18" customHeight="1">
      <c r="A232" s="9" t="n"/>
      <c r="B232" s="32" t="n"/>
      <c r="C232" s="12" t="n"/>
      <c r="D232" s="12" t="n"/>
      <c r="E232" s="12" t="n"/>
      <c r="F232" s="15">
        <f>IFERROR(MATCH($A232,Accounts!$A$2:$A$11,0),"")</f>
        <v/>
      </c>
      <c r="G232" s="14">
        <f>IFERROR(IF(OR($A232="",$F232=""),"",IF(INDEX(Accounts!$P$2:$P$11,$F232)="static",INDEX(Accounts!$Q$2:$Q$11,$F232),IF(INDEX(Accounts!$P$2:$P$11,$F232)="eod_trailing",MAX(INDEX(Accounts!$Q$2:$Q$11,$F232),_xlfn.MAXIFS($C$2:$C$1001,$A$2:$A$1001,$A232,$B$2:$B$1001,"&lt;"&amp;$B232)),MAX(INDEX(Accounts!$Q$2:$Q$11,$F232),_xlfn.MAXIFS($C$2:$C$1001,$A$2:$A$1001,$A232,$B$2:$B$1001,"&lt;"&amp;$B232),_xlfn.MAXIFS($D$2:$D$1001,$A$2:$A$1001,$A232,$B$2:$B$1001,"&lt;="&amp;$B232),$C232)))),"")</f>
        <v/>
      </c>
      <c r="H232" s="15">
        <f>IFERROR(IF(G232="","",IF(INDEX(Accounts!$P$2:$P$11,$F232)="static",INDEX(Accounts!$Q$2:$Q$11,$F232)-INDEX(Accounts!$R$2:$R$11,$F232),IF(INDEX(Accounts!$S$2:$S$11,$F232)="NONE",G232-INDEX(Accounts!$R$2:$R$11,$F232),MIN(G232-INDEX(Accounts!$R$2:$R$11,$F232),INDEX(Accounts!$Q$2:$Q$11,$F232)+INDEX(Accounts!$S$2:$S$11,$F232))))),"")</f>
        <v/>
      </c>
      <c r="I232" s="16">
        <f>IF(AND($A232="",$B232="",$C232="",$D232="",$E232=""),"",IF(OR($A232="",$F232=""),"UNKNOWN_ACCOUNT",IF(OR($B232="",$C232=""),"INCOMPLETE",IFERROR(IF(OR(NOT(ISNUMBER($B232)),NOT(ISNUMBER($C232)),IF(C232="",FALSE,IF(ISNUMBER(C232),OR(C232&lt;=0,C232&gt;100000000,ROUND(C232*100,6)&lt;&gt;INT(ROUND(C232*100,6))),TRUE)),IF(D232="",FALSE,IF(ISNUMBER(D232),OR(D232&lt;=0,D232&gt;100000000,ROUND(D232*100,6)&lt;&gt;INT(ROUND(D232*100,6))),TRUE)),IF(E232="",FALSE,IF(ISNUMBER(E232),OR(E232&lt;=0,E232&gt;100000000,ROUND(E232*100,6)&lt;&gt;INT(ROUND(E232*100,6))),TRUE)),AND($D232&lt;&gt;"",$D232&lt;MAX($C232,$E232)),AND($E232&lt;&gt;"",$E232&gt;MIN($C232,IF($D232="",$C232,$D232))),COUNTIFS($A$2:$A$1001,$A232,$B$2:$B$1001,$B232)&gt;1),"INVALID",IFERROR(IF(IF(INDEX(Accounts!$T$2:$T$11,$F232),ROUND(IF($E232="",$C232,MIN($C232,$E232))-(H232),6)&lt;=0,ROUND(IF($E232="",$C232,MIN($C232,$E232))-(H232),6)&lt;0),"BREACHED","OK"),"INCOMPLETE")),"INVALID"))))</f>
        <v/>
      </c>
      <c r="J232" s="33">
        <f>IF(OR(I232="OK",I232="BREACHED"),-INT(ROUND(-(H232)*100,6))/100,I232)</f>
        <v/>
      </c>
    </row>
    <row r="233" ht="18" customHeight="1">
      <c r="A233" s="9" t="n"/>
      <c r="B233" s="32" t="n"/>
      <c r="C233" s="12" t="n"/>
      <c r="D233" s="12" t="n"/>
      <c r="E233" s="12" t="n"/>
      <c r="F233" s="15">
        <f>IFERROR(MATCH($A233,Accounts!$A$2:$A$11,0),"")</f>
        <v/>
      </c>
      <c r="G233" s="14">
        <f>IFERROR(IF(OR($A233="",$F233=""),"",IF(INDEX(Accounts!$P$2:$P$11,$F233)="static",INDEX(Accounts!$Q$2:$Q$11,$F233),IF(INDEX(Accounts!$P$2:$P$11,$F233)="eod_trailing",MAX(INDEX(Accounts!$Q$2:$Q$11,$F233),_xlfn.MAXIFS($C$2:$C$1001,$A$2:$A$1001,$A233,$B$2:$B$1001,"&lt;"&amp;$B233)),MAX(INDEX(Accounts!$Q$2:$Q$11,$F233),_xlfn.MAXIFS($C$2:$C$1001,$A$2:$A$1001,$A233,$B$2:$B$1001,"&lt;"&amp;$B233),_xlfn.MAXIFS($D$2:$D$1001,$A$2:$A$1001,$A233,$B$2:$B$1001,"&lt;="&amp;$B233),$C233)))),"")</f>
        <v/>
      </c>
      <c r="H233" s="15">
        <f>IFERROR(IF(G233="","",IF(INDEX(Accounts!$P$2:$P$11,$F233)="static",INDEX(Accounts!$Q$2:$Q$11,$F233)-INDEX(Accounts!$R$2:$R$11,$F233),IF(INDEX(Accounts!$S$2:$S$11,$F233)="NONE",G233-INDEX(Accounts!$R$2:$R$11,$F233),MIN(G233-INDEX(Accounts!$R$2:$R$11,$F233),INDEX(Accounts!$Q$2:$Q$11,$F233)+INDEX(Accounts!$S$2:$S$11,$F233))))),"")</f>
        <v/>
      </c>
      <c r="I233" s="16">
        <f>IF(AND($A233="",$B233="",$C233="",$D233="",$E233=""),"",IF(OR($A233="",$F233=""),"UNKNOWN_ACCOUNT",IF(OR($B233="",$C233=""),"INCOMPLETE",IFERROR(IF(OR(NOT(ISNUMBER($B233)),NOT(ISNUMBER($C233)),IF(C233="",FALSE,IF(ISNUMBER(C233),OR(C233&lt;=0,C233&gt;100000000,ROUND(C233*100,6)&lt;&gt;INT(ROUND(C233*100,6))),TRUE)),IF(D233="",FALSE,IF(ISNUMBER(D233),OR(D233&lt;=0,D233&gt;100000000,ROUND(D233*100,6)&lt;&gt;INT(ROUND(D233*100,6))),TRUE)),IF(E233="",FALSE,IF(ISNUMBER(E233),OR(E233&lt;=0,E233&gt;100000000,ROUND(E233*100,6)&lt;&gt;INT(ROUND(E233*100,6))),TRUE)),AND($D233&lt;&gt;"",$D233&lt;MAX($C233,$E233)),AND($E233&lt;&gt;"",$E233&gt;MIN($C233,IF($D233="",$C233,$D233))),COUNTIFS($A$2:$A$1001,$A233,$B$2:$B$1001,$B233)&gt;1),"INVALID",IFERROR(IF(IF(INDEX(Accounts!$T$2:$T$11,$F233),ROUND(IF($E233="",$C233,MIN($C233,$E233))-(H233),6)&lt;=0,ROUND(IF($E233="",$C233,MIN($C233,$E233))-(H233),6)&lt;0),"BREACHED","OK"),"INCOMPLETE")),"INVALID"))))</f>
        <v/>
      </c>
      <c r="J233" s="33">
        <f>IF(OR(I233="OK",I233="BREACHED"),-INT(ROUND(-(H233)*100,6))/100,I233)</f>
        <v/>
      </c>
    </row>
    <row r="234" ht="18" customHeight="1">
      <c r="A234" s="9" t="n"/>
      <c r="B234" s="32" t="n"/>
      <c r="C234" s="12" t="n"/>
      <c r="D234" s="12" t="n"/>
      <c r="E234" s="12" t="n"/>
      <c r="F234" s="15">
        <f>IFERROR(MATCH($A234,Accounts!$A$2:$A$11,0),"")</f>
        <v/>
      </c>
      <c r="G234" s="14">
        <f>IFERROR(IF(OR($A234="",$F234=""),"",IF(INDEX(Accounts!$P$2:$P$11,$F234)="static",INDEX(Accounts!$Q$2:$Q$11,$F234),IF(INDEX(Accounts!$P$2:$P$11,$F234)="eod_trailing",MAX(INDEX(Accounts!$Q$2:$Q$11,$F234),_xlfn.MAXIFS($C$2:$C$1001,$A$2:$A$1001,$A234,$B$2:$B$1001,"&lt;"&amp;$B234)),MAX(INDEX(Accounts!$Q$2:$Q$11,$F234),_xlfn.MAXIFS($C$2:$C$1001,$A$2:$A$1001,$A234,$B$2:$B$1001,"&lt;"&amp;$B234),_xlfn.MAXIFS($D$2:$D$1001,$A$2:$A$1001,$A234,$B$2:$B$1001,"&lt;="&amp;$B234),$C234)))),"")</f>
        <v/>
      </c>
      <c r="H234" s="15">
        <f>IFERROR(IF(G234="","",IF(INDEX(Accounts!$P$2:$P$11,$F234)="static",INDEX(Accounts!$Q$2:$Q$11,$F234)-INDEX(Accounts!$R$2:$R$11,$F234),IF(INDEX(Accounts!$S$2:$S$11,$F234)="NONE",G234-INDEX(Accounts!$R$2:$R$11,$F234),MIN(G234-INDEX(Accounts!$R$2:$R$11,$F234),INDEX(Accounts!$Q$2:$Q$11,$F234)+INDEX(Accounts!$S$2:$S$11,$F234))))),"")</f>
        <v/>
      </c>
      <c r="I234" s="16">
        <f>IF(AND($A234="",$B234="",$C234="",$D234="",$E234=""),"",IF(OR($A234="",$F234=""),"UNKNOWN_ACCOUNT",IF(OR($B234="",$C234=""),"INCOMPLETE",IFERROR(IF(OR(NOT(ISNUMBER($B234)),NOT(ISNUMBER($C234)),IF(C234="",FALSE,IF(ISNUMBER(C234),OR(C234&lt;=0,C234&gt;100000000,ROUND(C234*100,6)&lt;&gt;INT(ROUND(C234*100,6))),TRUE)),IF(D234="",FALSE,IF(ISNUMBER(D234),OR(D234&lt;=0,D234&gt;100000000,ROUND(D234*100,6)&lt;&gt;INT(ROUND(D234*100,6))),TRUE)),IF(E234="",FALSE,IF(ISNUMBER(E234),OR(E234&lt;=0,E234&gt;100000000,ROUND(E234*100,6)&lt;&gt;INT(ROUND(E234*100,6))),TRUE)),AND($D234&lt;&gt;"",$D234&lt;MAX($C234,$E234)),AND($E234&lt;&gt;"",$E234&gt;MIN($C234,IF($D234="",$C234,$D234))),COUNTIFS($A$2:$A$1001,$A234,$B$2:$B$1001,$B234)&gt;1),"INVALID",IFERROR(IF(IF(INDEX(Accounts!$T$2:$T$11,$F234),ROUND(IF($E234="",$C234,MIN($C234,$E234))-(H234),6)&lt;=0,ROUND(IF($E234="",$C234,MIN($C234,$E234))-(H234),6)&lt;0),"BREACHED","OK"),"INCOMPLETE")),"INVALID"))))</f>
        <v/>
      </c>
      <c r="J234" s="33">
        <f>IF(OR(I234="OK",I234="BREACHED"),-INT(ROUND(-(H234)*100,6))/100,I234)</f>
        <v/>
      </c>
    </row>
    <row r="235" ht="18" customHeight="1">
      <c r="A235" s="9" t="n"/>
      <c r="B235" s="32" t="n"/>
      <c r="C235" s="12" t="n"/>
      <c r="D235" s="12" t="n"/>
      <c r="E235" s="12" t="n"/>
      <c r="F235" s="15">
        <f>IFERROR(MATCH($A235,Accounts!$A$2:$A$11,0),"")</f>
        <v/>
      </c>
      <c r="G235" s="14">
        <f>IFERROR(IF(OR($A235="",$F235=""),"",IF(INDEX(Accounts!$P$2:$P$11,$F235)="static",INDEX(Accounts!$Q$2:$Q$11,$F235),IF(INDEX(Accounts!$P$2:$P$11,$F235)="eod_trailing",MAX(INDEX(Accounts!$Q$2:$Q$11,$F235),_xlfn.MAXIFS($C$2:$C$1001,$A$2:$A$1001,$A235,$B$2:$B$1001,"&lt;"&amp;$B235)),MAX(INDEX(Accounts!$Q$2:$Q$11,$F235),_xlfn.MAXIFS($C$2:$C$1001,$A$2:$A$1001,$A235,$B$2:$B$1001,"&lt;"&amp;$B235),_xlfn.MAXIFS($D$2:$D$1001,$A$2:$A$1001,$A235,$B$2:$B$1001,"&lt;="&amp;$B235),$C235)))),"")</f>
        <v/>
      </c>
      <c r="H235" s="15">
        <f>IFERROR(IF(G235="","",IF(INDEX(Accounts!$P$2:$P$11,$F235)="static",INDEX(Accounts!$Q$2:$Q$11,$F235)-INDEX(Accounts!$R$2:$R$11,$F235),IF(INDEX(Accounts!$S$2:$S$11,$F235)="NONE",G235-INDEX(Accounts!$R$2:$R$11,$F235),MIN(G235-INDEX(Accounts!$R$2:$R$11,$F235),INDEX(Accounts!$Q$2:$Q$11,$F235)+INDEX(Accounts!$S$2:$S$11,$F235))))),"")</f>
        <v/>
      </c>
      <c r="I235" s="16">
        <f>IF(AND($A235="",$B235="",$C235="",$D235="",$E235=""),"",IF(OR($A235="",$F235=""),"UNKNOWN_ACCOUNT",IF(OR($B235="",$C235=""),"INCOMPLETE",IFERROR(IF(OR(NOT(ISNUMBER($B235)),NOT(ISNUMBER($C235)),IF(C235="",FALSE,IF(ISNUMBER(C235),OR(C235&lt;=0,C235&gt;100000000,ROUND(C235*100,6)&lt;&gt;INT(ROUND(C235*100,6))),TRUE)),IF(D235="",FALSE,IF(ISNUMBER(D235),OR(D235&lt;=0,D235&gt;100000000,ROUND(D235*100,6)&lt;&gt;INT(ROUND(D235*100,6))),TRUE)),IF(E235="",FALSE,IF(ISNUMBER(E235),OR(E235&lt;=0,E235&gt;100000000,ROUND(E235*100,6)&lt;&gt;INT(ROUND(E235*100,6))),TRUE)),AND($D235&lt;&gt;"",$D235&lt;MAX($C235,$E235)),AND($E235&lt;&gt;"",$E235&gt;MIN($C235,IF($D235="",$C235,$D235))),COUNTIFS($A$2:$A$1001,$A235,$B$2:$B$1001,$B235)&gt;1),"INVALID",IFERROR(IF(IF(INDEX(Accounts!$T$2:$T$11,$F235),ROUND(IF($E235="",$C235,MIN($C235,$E235))-(H235),6)&lt;=0,ROUND(IF($E235="",$C235,MIN($C235,$E235))-(H235),6)&lt;0),"BREACHED","OK"),"INCOMPLETE")),"INVALID"))))</f>
        <v/>
      </c>
      <c r="J235" s="33">
        <f>IF(OR(I235="OK",I235="BREACHED"),-INT(ROUND(-(H235)*100,6))/100,I235)</f>
        <v/>
      </c>
    </row>
    <row r="236" ht="18" customHeight="1">
      <c r="A236" s="9" t="n"/>
      <c r="B236" s="32" t="n"/>
      <c r="C236" s="12" t="n"/>
      <c r="D236" s="12" t="n"/>
      <c r="E236" s="12" t="n"/>
      <c r="F236" s="15">
        <f>IFERROR(MATCH($A236,Accounts!$A$2:$A$11,0),"")</f>
        <v/>
      </c>
      <c r="G236" s="14">
        <f>IFERROR(IF(OR($A236="",$F236=""),"",IF(INDEX(Accounts!$P$2:$P$11,$F236)="static",INDEX(Accounts!$Q$2:$Q$11,$F236),IF(INDEX(Accounts!$P$2:$P$11,$F236)="eod_trailing",MAX(INDEX(Accounts!$Q$2:$Q$11,$F236),_xlfn.MAXIFS($C$2:$C$1001,$A$2:$A$1001,$A236,$B$2:$B$1001,"&lt;"&amp;$B236)),MAX(INDEX(Accounts!$Q$2:$Q$11,$F236),_xlfn.MAXIFS($C$2:$C$1001,$A$2:$A$1001,$A236,$B$2:$B$1001,"&lt;"&amp;$B236),_xlfn.MAXIFS($D$2:$D$1001,$A$2:$A$1001,$A236,$B$2:$B$1001,"&lt;="&amp;$B236),$C236)))),"")</f>
        <v/>
      </c>
      <c r="H236" s="15">
        <f>IFERROR(IF(G236="","",IF(INDEX(Accounts!$P$2:$P$11,$F236)="static",INDEX(Accounts!$Q$2:$Q$11,$F236)-INDEX(Accounts!$R$2:$R$11,$F236),IF(INDEX(Accounts!$S$2:$S$11,$F236)="NONE",G236-INDEX(Accounts!$R$2:$R$11,$F236),MIN(G236-INDEX(Accounts!$R$2:$R$11,$F236),INDEX(Accounts!$Q$2:$Q$11,$F236)+INDEX(Accounts!$S$2:$S$11,$F236))))),"")</f>
        <v/>
      </c>
      <c r="I236" s="16">
        <f>IF(AND($A236="",$B236="",$C236="",$D236="",$E236=""),"",IF(OR($A236="",$F236=""),"UNKNOWN_ACCOUNT",IF(OR($B236="",$C236=""),"INCOMPLETE",IFERROR(IF(OR(NOT(ISNUMBER($B236)),NOT(ISNUMBER($C236)),IF(C236="",FALSE,IF(ISNUMBER(C236),OR(C236&lt;=0,C236&gt;100000000,ROUND(C236*100,6)&lt;&gt;INT(ROUND(C236*100,6))),TRUE)),IF(D236="",FALSE,IF(ISNUMBER(D236),OR(D236&lt;=0,D236&gt;100000000,ROUND(D236*100,6)&lt;&gt;INT(ROUND(D236*100,6))),TRUE)),IF(E236="",FALSE,IF(ISNUMBER(E236),OR(E236&lt;=0,E236&gt;100000000,ROUND(E236*100,6)&lt;&gt;INT(ROUND(E236*100,6))),TRUE)),AND($D236&lt;&gt;"",$D236&lt;MAX($C236,$E236)),AND($E236&lt;&gt;"",$E236&gt;MIN($C236,IF($D236="",$C236,$D236))),COUNTIFS($A$2:$A$1001,$A236,$B$2:$B$1001,$B236)&gt;1),"INVALID",IFERROR(IF(IF(INDEX(Accounts!$T$2:$T$11,$F236),ROUND(IF($E236="",$C236,MIN($C236,$E236))-(H236),6)&lt;=0,ROUND(IF($E236="",$C236,MIN($C236,$E236))-(H236),6)&lt;0),"BREACHED","OK"),"INCOMPLETE")),"INVALID"))))</f>
        <v/>
      </c>
      <c r="J236" s="33">
        <f>IF(OR(I236="OK",I236="BREACHED"),-INT(ROUND(-(H236)*100,6))/100,I236)</f>
        <v/>
      </c>
    </row>
    <row r="237" ht="18" customHeight="1">
      <c r="A237" s="9" t="n"/>
      <c r="B237" s="32" t="n"/>
      <c r="C237" s="12" t="n"/>
      <c r="D237" s="12" t="n"/>
      <c r="E237" s="12" t="n"/>
      <c r="F237" s="15">
        <f>IFERROR(MATCH($A237,Accounts!$A$2:$A$11,0),"")</f>
        <v/>
      </c>
      <c r="G237" s="14">
        <f>IFERROR(IF(OR($A237="",$F237=""),"",IF(INDEX(Accounts!$P$2:$P$11,$F237)="static",INDEX(Accounts!$Q$2:$Q$11,$F237),IF(INDEX(Accounts!$P$2:$P$11,$F237)="eod_trailing",MAX(INDEX(Accounts!$Q$2:$Q$11,$F237),_xlfn.MAXIFS($C$2:$C$1001,$A$2:$A$1001,$A237,$B$2:$B$1001,"&lt;"&amp;$B237)),MAX(INDEX(Accounts!$Q$2:$Q$11,$F237),_xlfn.MAXIFS($C$2:$C$1001,$A$2:$A$1001,$A237,$B$2:$B$1001,"&lt;"&amp;$B237),_xlfn.MAXIFS($D$2:$D$1001,$A$2:$A$1001,$A237,$B$2:$B$1001,"&lt;="&amp;$B237),$C237)))),"")</f>
        <v/>
      </c>
      <c r="H237" s="15">
        <f>IFERROR(IF(G237="","",IF(INDEX(Accounts!$P$2:$P$11,$F237)="static",INDEX(Accounts!$Q$2:$Q$11,$F237)-INDEX(Accounts!$R$2:$R$11,$F237),IF(INDEX(Accounts!$S$2:$S$11,$F237)="NONE",G237-INDEX(Accounts!$R$2:$R$11,$F237),MIN(G237-INDEX(Accounts!$R$2:$R$11,$F237),INDEX(Accounts!$Q$2:$Q$11,$F237)+INDEX(Accounts!$S$2:$S$11,$F237))))),"")</f>
        <v/>
      </c>
      <c r="I237" s="16">
        <f>IF(AND($A237="",$B237="",$C237="",$D237="",$E237=""),"",IF(OR($A237="",$F237=""),"UNKNOWN_ACCOUNT",IF(OR($B237="",$C237=""),"INCOMPLETE",IFERROR(IF(OR(NOT(ISNUMBER($B237)),NOT(ISNUMBER($C237)),IF(C237="",FALSE,IF(ISNUMBER(C237),OR(C237&lt;=0,C237&gt;100000000,ROUND(C237*100,6)&lt;&gt;INT(ROUND(C237*100,6))),TRUE)),IF(D237="",FALSE,IF(ISNUMBER(D237),OR(D237&lt;=0,D237&gt;100000000,ROUND(D237*100,6)&lt;&gt;INT(ROUND(D237*100,6))),TRUE)),IF(E237="",FALSE,IF(ISNUMBER(E237),OR(E237&lt;=0,E237&gt;100000000,ROUND(E237*100,6)&lt;&gt;INT(ROUND(E237*100,6))),TRUE)),AND($D237&lt;&gt;"",$D237&lt;MAX($C237,$E237)),AND($E237&lt;&gt;"",$E237&gt;MIN($C237,IF($D237="",$C237,$D237))),COUNTIFS($A$2:$A$1001,$A237,$B$2:$B$1001,$B237)&gt;1),"INVALID",IFERROR(IF(IF(INDEX(Accounts!$T$2:$T$11,$F237),ROUND(IF($E237="",$C237,MIN($C237,$E237))-(H237),6)&lt;=0,ROUND(IF($E237="",$C237,MIN($C237,$E237))-(H237),6)&lt;0),"BREACHED","OK"),"INCOMPLETE")),"INVALID"))))</f>
        <v/>
      </c>
      <c r="J237" s="33">
        <f>IF(OR(I237="OK",I237="BREACHED"),-INT(ROUND(-(H237)*100,6))/100,I237)</f>
        <v/>
      </c>
    </row>
    <row r="238" ht="18" customHeight="1">
      <c r="A238" s="9" t="n"/>
      <c r="B238" s="32" t="n"/>
      <c r="C238" s="12" t="n"/>
      <c r="D238" s="12" t="n"/>
      <c r="E238" s="12" t="n"/>
      <c r="F238" s="15">
        <f>IFERROR(MATCH($A238,Accounts!$A$2:$A$11,0),"")</f>
        <v/>
      </c>
      <c r="G238" s="14">
        <f>IFERROR(IF(OR($A238="",$F238=""),"",IF(INDEX(Accounts!$P$2:$P$11,$F238)="static",INDEX(Accounts!$Q$2:$Q$11,$F238),IF(INDEX(Accounts!$P$2:$P$11,$F238)="eod_trailing",MAX(INDEX(Accounts!$Q$2:$Q$11,$F238),_xlfn.MAXIFS($C$2:$C$1001,$A$2:$A$1001,$A238,$B$2:$B$1001,"&lt;"&amp;$B238)),MAX(INDEX(Accounts!$Q$2:$Q$11,$F238),_xlfn.MAXIFS($C$2:$C$1001,$A$2:$A$1001,$A238,$B$2:$B$1001,"&lt;"&amp;$B238),_xlfn.MAXIFS($D$2:$D$1001,$A$2:$A$1001,$A238,$B$2:$B$1001,"&lt;="&amp;$B238),$C238)))),"")</f>
        <v/>
      </c>
      <c r="H238" s="15">
        <f>IFERROR(IF(G238="","",IF(INDEX(Accounts!$P$2:$P$11,$F238)="static",INDEX(Accounts!$Q$2:$Q$11,$F238)-INDEX(Accounts!$R$2:$R$11,$F238),IF(INDEX(Accounts!$S$2:$S$11,$F238)="NONE",G238-INDEX(Accounts!$R$2:$R$11,$F238),MIN(G238-INDEX(Accounts!$R$2:$R$11,$F238),INDEX(Accounts!$Q$2:$Q$11,$F238)+INDEX(Accounts!$S$2:$S$11,$F238))))),"")</f>
        <v/>
      </c>
      <c r="I238" s="16">
        <f>IF(AND($A238="",$B238="",$C238="",$D238="",$E238=""),"",IF(OR($A238="",$F238=""),"UNKNOWN_ACCOUNT",IF(OR($B238="",$C238=""),"INCOMPLETE",IFERROR(IF(OR(NOT(ISNUMBER($B238)),NOT(ISNUMBER($C238)),IF(C238="",FALSE,IF(ISNUMBER(C238),OR(C238&lt;=0,C238&gt;100000000,ROUND(C238*100,6)&lt;&gt;INT(ROUND(C238*100,6))),TRUE)),IF(D238="",FALSE,IF(ISNUMBER(D238),OR(D238&lt;=0,D238&gt;100000000,ROUND(D238*100,6)&lt;&gt;INT(ROUND(D238*100,6))),TRUE)),IF(E238="",FALSE,IF(ISNUMBER(E238),OR(E238&lt;=0,E238&gt;100000000,ROUND(E238*100,6)&lt;&gt;INT(ROUND(E238*100,6))),TRUE)),AND($D238&lt;&gt;"",$D238&lt;MAX($C238,$E238)),AND($E238&lt;&gt;"",$E238&gt;MIN($C238,IF($D238="",$C238,$D238))),COUNTIFS($A$2:$A$1001,$A238,$B$2:$B$1001,$B238)&gt;1),"INVALID",IFERROR(IF(IF(INDEX(Accounts!$T$2:$T$11,$F238),ROUND(IF($E238="",$C238,MIN($C238,$E238))-(H238),6)&lt;=0,ROUND(IF($E238="",$C238,MIN($C238,$E238))-(H238),6)&lt;0),"BREACHED","OK"),"INCOMPLETE")),"INVALID"))))</f>
        <v/>
      </c>
      <c r="J238" s="33">
        <f>IF(OR(I238="OK",I238="BREACHED"),-INT(ROUND(-(H238)*100,6))/100,I238)</f>
        <v/>
      </c>
    </row>
    <row r="239" ht="18" customHeight="1">
      <c r="A239" s="9" t="n"/>
      <c r="B239" s="32" t="n"/>
      <c r="C239" s="12" t="n"/>
      <c r="D239" s="12" t="n"/>
      <c r="E239" s="12" t="n"/>
      <c r="F239" s="15">
        <f>IFERROR(MATCH($A239,Accounts!$A$2:$A$11,0),"")</f>
        <v/>
      </c>
      <c r="G239" s="14">
        <f>IFERROR(IF(OR($A239="",$F239=""),"",IF(INDEX(Accounts!$P$2:$P$11,$F239)="static",INDEX(Accounts!$Q$2:$Q$11,$F239),IF(INDEX(Accounts!$P$2:$P$11,$F239)="eod_trailing",MAX(INDEX(Accounts!$Q$2:$Q$11,$F239),_xlfn.MAXIFS($C$2:$C$1001,$A$2:$A$1001,$A239,$B$2:$B$1001,"&lt;"&amp;$B239)),MAX(INDEX(Accounts!$Q$2:$Q$11,$F239),_xlfn.MAXIFS($C$2:$C$1001,$A$2:$A$1001,$A239,$B$2:$B$1001,"&lt;"&amp;$B239),_xlfn.MAXIFS($D$2:$D$1001,$A$2:$A$1001,$A239,$B$2:$B$1001,"&lt;="&amp;$B239),$C239)))),"")</f>
        <v/>
      </c>
      <c r="H239" s="15">
        <f>IFERROR(IF(G239="","",IF(INDEX(Accounts!$P$2:$P$11,$F239)="static",INDEX(Accounts!$Q$2:$Q$11,$F239)-INDEX(Accounts!$R$2:$R$11,$F239),IF(INDEX(Accounts!$S$2:$S$11,$F239)="NONE",G239-INDEX(Accounts!$R$2:$R$11,$F239),MIN(G239-INDEX(Accounts!$R$2:$R$11,$F239),INDEX(Accounts!$Q$2:$Q$11,$F239)+INDEX(Accounts!$S$2:$S$11,$F239))))),"")</f>
        <v/>
      </c>
      <c r="I239" s="16">
        <f>IF(AND($A239="",$B239="",$C239="",$D239="",$E239=""),"",IF(OR($A239="",$F239=""),"UNKNOWN_ACCOUNT",IF(OR($B239="",$C239=""),"INCOMPLETE",IFERROR(IF(OR(NOT(ISNUMBER($B239)),NOT(ISNUMBER($C239)),IF(C239="",FALSE,IF(ISNUMBER(C239),OR(C239&lt;=0,C239&gt;100000000,ROUND(C239*100,6)&lt;&gt;INT(ROUND(C239*100,6))),TRUE)),IF(D239="",FALSE,IF(ISNUMBER(D239),OR(D239&lt;=0,D239&gt;100000000,ROUND(D239*100,6)&lt;&gt;INT(ROUND(D239*100,6))),TRUE)),IF(E239="",FALSE,IF(ISNUMBER(E239),OR(E239&lt;=0,E239&gt;100000000,ROUND(E239*100,6)&lt;&gt;INT(ROUND(E239*100,6))),TRUE)),AND($D239&lt;&gt;"",$D239&lt;MAX($C239,$E239)),AND($E239&lt;&gt;"",$E239&gt;MIN($C239,IF($D239="",$C239,$D239))),COUNTIFS($A$2:$A$1001,$A239,$B$2:$B$1001,$B239)&gt;1),"INVALID",IFERROR(IF(IF(INDEX(Accounts!$T$2:$T$11,$F239),ROUND(IF($E239="",$C239,MIN($C239,$E239))-(H239),6)&lt;=0,ROUND(IF($E239="",$C239,MIN($C239,$E239))-(H239),6)&lt;0),"BREACHED","OK"),"INCOMPLETE")),"INVALID"))))</f>
        <v/>
      </c>
      <c r="J239" s="33">
        <f>IF(OR(I239="OK",I239="BREACHED"),-INT(ROUND(-(H239)*100,6))/100,I239)</f>
        <v/>
      </c>
    </row>
    <row r="240" ht="18" customHeight="1">
      <c r="A240" s="9" t="n"/>
      <c r="B240" s="32" t="n"/>
      <c r="C240" s="12" t="n"/>
      <c r="D240" s="12" t="n"/>
      <c r="E240" s="12" t="n"/>
      <c r="F240" s="15">
        <f>IFERROR(MATCH($A240,Accounts!$A$2:$A$11,0),"")</f>
        <v/>
      </c>
      <c r="G240" s="14">
        <f>IFERROR(IF(OR($A240="",$F240=""),"",IF(INDEX(Accounts!$P$2:$P$11,$F240)="static",INDEX(Accounts!$Q$2:$Q$11,$F240),IF(INDEX(Accounts!$P$2:$P$11,$F240)="eod_trailing",MAX(INDEX(Accounts!$Q$2:$Q$11,$F240),_xlfn.MAXIFS($C$2:$C$1001,$A$2:$A$1001,$A240,$B$2:$B$1001,"&lt;"&amp;$B240)),MAX(INDEX(Accounts!$Q$2:$Q$11,$F240),_xlfn.MAXIFS($C$2:$C$1001,$A$2:$A$1001,$A240,$B$2:$B$1001,"&lt;"&amp;$B240),_xlfn.MAXIFS($D$2:$D$1001,$A$2:$A$1001,$A240,$B$2:$B$1001,"&lt;="&amp;$B240),$C240)))),"")</f>
        <v/>
      </c>
      <c r="H240" s="15">
        <f>IFERROR(IF(G240="","",IF(INDEX(Accounts!$P$2:$P$11,$F240)="static",INDEX(Accounts!$Q$2:$Q$11,$F240)-INDEX(Accounts!$R$2:$R$11,$F240),IF(INDEX(Accounts!$S$2:$S$11,$F240)="NONE",G240-INDEX(Accounts!$R$2:$R$11,$F240),MIN(G240-INDEX(Accounts!$R$2:$R$11,$F240),INDEX(Accounts!$Q$2:$Q$11,$F240)+INDEX(Accounts!$S$2:$S$11,$F240))))),"")</f>
        <v/>
      </c>
      <c r="I240" s="16">
        <f>IF(AND($A240="",$B240="",$C240="",$D240="",$E240=""),"",IF(OR($A240="",$F240=""),"UNKNOWN_ACCOUNT",IF(OR($B240="",$C240=""),"INCOMPLETE",IFERROR(IF(OR(NOT(ISNUMBER($B240)),NOT(ISNUMBER($C240)),IF(C240="",FALSE,IF(ISNUMBER(C240),OR(C240&lt;=0,C240&gt;100000000,ROUND(C240*100,6)&lt;&gt;INT(ROUND(C240*100,6))),TRUE)),IF(D240="",FALSE,IF(ISNUMBER(D240),OR(D240&lt;=0,D240&gt;100000000,ROUND(D240*100,6)&lt;&gt;INT(ROUND(D240*100,6))),TRUE)),IF(E240="",FALSE,IF(ISNUMBER(E240),OR(E240&lt;=0,E240&gt;100000000,ROUND(E240*100,6)&lt;&gt;INT(ROUND(E240*100,6))),TRUE)),AND($D240&lt;&gt;"",$D240&lt;MAX($C240,$E240)),AND($E240&lt;&gt;"",$E240&gt;MIN($C240,IF($D240="",$C240,$D240))),COUNTIFS($A$2:$A$1001,$A240,$B$2:$B$1001,$B240)&gt;1),"INVALID",IFERROR(IF(IF(INDEX(Accounts!$T$2:$T$11,$F240),ROUND(IF($E240="",$C240,MIN($C240,$E240))-(H240),6)&lt;=0,ROUND(IF($E240="",$C240,MIN($C240,$E240))-(H240),6)&lt;0),"BREACHED","OK"),"INCOMPLETE")),"INVALID"))))</f>
        <v/>
      </c>
      <c r="J240" s="33">
        <f>IF(OR(I240="OK",I240="BREACHED"),-INT(ROUND(-(H240)*100,6))/100,I240)</f>
        <v/>
      </c>
    </row>
    <row r="241" ht="18" customHeight="1">
      <c r="A241" s="9" t="n"/>
      <c r="B241" s="32" t="n"/>
      <c r="C241" s="12" t="n"/>
      <c r="D241" s="12" t="n"/>
      <c r="E241" s="12" t="n"/>
      <c r="F241" s="15">
        <f>IFERROR(MATCH($A241,Accounts!$A$2:$A$11,0),"")</f>
        <v/>
      </c>
      <c r="G241" s="14">
        <f>IFERROR(IF(OR($A241="",$F241=""),"",IF(INDEX(Accounts!$P$2:$P$11,$F241)="static",INDEX(Accounts!$Q$2:$Q$11,$F241),IF(INDEX(Accounts!$P$2:$P$11,$F241)="eod_trailing",MAX(INDEX(Accounts!$Q$2:$Q$11,$F241),_xlfn.MAXIFS($C$2:$C$1001,$A$2:$A$1001,$A241,$B$2:$B$1001,"&lt;"&amp;$B241)),MAX(INDEX(Accounts!$Q$2:$Q$11,$F241),_xlfn.MAXIFS($C$2:$C$1001,$A$2:$A$1001,$A241,$B$2:$B$1001,"&lt;"&amp;$B241),_xlfn.MAXIFS($D$2:$D$1001,$A$2:$A$1001,$A241,$B$2:$B$1001,"&lt;="&amp;$B241),$C241)))),"")</f>
        <v/>
      </c>
      <c r="H241" s="15">
        <f>IFERROR(IF(G241="","",IF(INDEX(Accounts!$P$2:$P$11,$F241)="static",INDEX(Accounts!$Q$2:$Q$11,$F241)-INDEX(Accounts!$R$2:$R$11,$F241),IF(INDEX(Accounts!$S$2:$S$11,$F241)="NONE",G241-INDEX(Accounts!$R$2:$R$11,$F241),MIN(G241-INDEX(Accounts!$R$2:$R$11,$F241),INDEX(Accounts!$Q$2:$Q$11,$F241)+INDEX(Accounts!$S$2:$S$11,$F241))))),"")</f>
        <v/>
      </c>
      <c r="I241" s="16">
        <f>IF(AND($A241="",$B241="",$C241="",$D241="",$E241=""),"",IF(OR($A241="",$F241=""),"UNKNOWN_ACCOUNT",IF(OR($B241="",$C241=""),"INCOMPLETE",IFERROR(IF(OR(NOT(ISNUMBER($B241)),NOT(ISNUMBER($C241)),IF(C241="",FALSE,IF(ISNUMBER(C241),OR(C241&lt;=0,C241&gt;100000000,ROUND(C241*100,6)&lt;&gt;INT(ROUND(C241*100,6))),TRUE)),IF(D241="",FALSE,IF(ISNUMBER(D241),OR(D241&lt;=0,D241&gt;100000000,ROUND(D241*100,6)&lt;&gt;INT(ROUND(D241*100,6))),TRUE)),IF(E241="",FALSE,IF(ISNUMBER(E241),OR(E241&lt;=0,E241&gt;100000000,ROUND(E241*100,6)&lt;&gt;INT(ROUND(E241*100,6))),TRUE)),AND($D241&lt;&gt;"",$D241&lt;MAX($C241,$E241)),AND($E241&lt;&gt;"",$E241&gt;MIN($C241,IF($D241="",$C241,$D241))),COUNTIFS($A$2:$A$1001,$A241,$B$2:$B$1001,$B241)&gt;1),"INVALID",IFERROR(IF(IF(INDEX(Accounts!$T$2:$T$11,$F241),ROUND(IF($E241="",$C241,MIN($C241,$E241))-(H241),6)&lt;=0,ROUND(IF($E241="",$C241,MIN($C241,$E241))-(H241),6)&lt;0),"BREACHED","OK"),"INCOMPLETE")),"INVALID"))))</f>
        <v/>
      </c>
      <c r="J241" s="33">
        <f>IF(OR(I241="OK",I241="BREACHED"),-INT(ROUND(-(H241)*100,6))/100,I241)</f>
        <v/>
      </c>
    </row>
    <row r="242" ht="18" customHeight="1">
      <c r="A242" s="9" t="n"/>
      <c r="B242" s="32" t="n"/>
      <c r="C242" s="12" t="n"/>
      <c r="D242" s="12" t="n"/>
      <c r="E242" s="12" t="n"/>
      <c r="F242" s="15">
        <f>IFERROR(MATCH($A242,Accounts!$A$2:$A$11,0),"")</f>
        <v/>
      </c>
      <c r="G242" s="14">
        <f>IFERROR(IF(OR($A242="",$F242=""),"",IF(INDEX(Accounts!$P$2:$P$11,$F242)="static",INDEX(Accounts!$Q$2:$Q$11,$F242),IF(INDEX(Accounts!$P$2:$P$11,$F242)="eod_trailing",MAX(INDEX(Accounts!$Q$2:$Q$11,$F242),_xlfn.MAXIFS($C$2:$C$1001,$A$2:$A$1001,$A242,$B$2:$B$1001,"&lt;"&amp;$B242)),MAX(INDEX(Accounts!$Q$2:$Q$11,$F242),_xlfn.MAXIFS($C$2:$C$1001,$A$2:$A$1001,$A242,$B$2:$B$1001,"&lt;"&amp;$B242),_xlfn.MAXIFS($D$2:$D$1001,$A$2:$A$1001,$A242,$B$2:$B$1001,"&lt;="&amp;$B242),$C242)))),"")</f>
        <v/>
      </c>
      <c r="H242" s="15">
        <f>IFERROR(IF(G242="","",IF(INDEX(Accounts!$P$2:$P$11,$F242)="static",INDEX(Accounts!$Q$2:$Q$11,$F242)-INDEX(Accounts!$R$2:$R$11,$F242),IF(INDEX(Accounts!$S$2:$S$11,$F242)="NONE",G242-INDEX(Accounts!$R$2:$R$11,$F242),MIN(G242-INDEX(Accounts!$R$2:$R$11,$F242),INDEX(Accounts!$Q$2:$Q$11,$F242)+INDEX(Accounts!$S$2:$S$11,$F242))))),"")</f>
        <v/>
      </c>
      <c r="I242" s="16">
        <f>IF(AND($A242="",$B242="",$C242="",$D242="",$E242=""),"",IF(OR($A242="",$F242=""),"UNKNOWN_ACCOUNT",IF(OR($B242="",$C242=""),"INCOMPLETE",IFERROR(IF(OR(NOT(ISNUMBER($B242)),NOT(ISNUMBER($C242)),IF(C242="",FALSE,IF(ISNUMBER(C242),OR(C242&lt;=0,C242&gt;100000000,ROUND(C242*100,6)&lt;&gt;INT(ROUND(C242*100,6))),TRUE)),IF(D242="",FALSE,IF(ISNUMBER(D242),OR(D242&lt;=0,D242&gt;100000000,ROUND(D242*100,6)&lt;&gt;INT(ROUND(D242*100,6))),TRUE)),IF(E242="",FALSE,IF(ISNUMBER(E242),OR(E242&lt;=0,E242&gt;100000000,ROUND(E242*100,6)&lt;&gt;INT(ROUND(E242*100,6))),TRUE)),AND($D242&lt;&gt;"",$D242&lt;MAX($C242,$E242)),AND($E242&lt;&gt;"",$E242&gt;MIN($C242,IF($D242="",$C242,$D242))),COUNTIFS($A$2:$A$1001,$A242,$B$2:$B$1001,$B242)&gt;1),"INVALID",IFERROR(IF(IF(INDEX(Accounts!$T$2:$T$11,$F242),ROUND(IF($E242="",$C242,MIN($C242,$E242))-(H242),6)&lt;=0,ROUND(IF($E242="",$C242,MIN($C242,$E242))-(H242),6)&lt;0),"BREACHED","OK"),"INCOMPLETE")),"INVALID"))))</f>
        <v/>
      </c>
      <c r="J242" s="33">
        <f>IF(OR(I242="OK",I242="BREACHED"),-INT(ROUND(-(H242)*100,6))/100,I242)</f>
        <v/>
      </c>
    </row>
    <row r="243" ht="18" customHeight="1">
      <c r="A243" s="9" t="n"/>
      <c r="B243" s="32" t="n"/>
      <c r="C243" s="12" t="n"/>
      <c r="D243" s="12" t="n"/>
      <c r="E243" s="12" t="n"/>
      <c r="F243" s="15">
        <f>IFERROR(MATCH($A243,Accounts!$A$2:$A$11,0),"")</f>
        <v/>
      </c>
      <c r="G243" s="14">
        <f>IFERROR(IF(OR($A243="",$F243=""),"",IF(INDEX(Accounts!$P$2:$P$11,$F243)="static",INDEX(Accounts!$Q$2:$Q$11,$F243),IF(INDEX(Accounts!$P$2:$P$11,$F243)="eod_trailing",MAX(INDEX(Accounts!$Q$2:$Q$11,$F243),_xlfn.MAXIFS($C$2:$C$1001,$A$2:$A$1001,$A243,$B$2:$B$1001,"&lt;"&amp;$B243)),MAX(INDEX(Accounts!$Q$2:$Q$11,$F243),_xlfn.MAXIFS($C$2:$C$1001,$A$2:$A$1001,$A243,$B$2:$B$1001,"&lt;"&amp;$B243),_xlfn.MAXIFS($D$2:$D$1001,$A$2:$A$1001,$A243,$B$2:$B$1001,"&lt;="&amp;$B243),$C243)))),"")</f>
        <v/>
      </c>
      <c r="H243" s="15">
        <f>IFERROR(IF(G243="","",IF(INDEX(Accounts!$P$2:$P$11,$F243)="static",INDEX(Accounts!$Q$2:$Q$11,$F243)-INDEX(Accounts!$R$2:$R$11,$F243),IF(INDEX(Accounts!$S$2:$S$11,$F243)="NONE",G243-INDEX(Accounts!$R$2:$R$11,$F243),MIN(G243-INDEX(Accounts!$R$2:$R$11,$F243),INDEX(Accounts!$Q$2:$Q$11,$F243)+INDEX(Accounts!$S$2:$S$11,$F243))))),"")</f>
        <v/>
      </c>
      <c r="I243" s="16">
        <f>IF(AND($A243="",$B243="",$C243="",$D243="",$E243=""),"",IF(OR($A243="",$F243=""),"UNKNOWN_ACCOUNT",IF(OR($B243="",$C243=""),"INCOMPLETE",IFERROR(IF(OR(NOT(ISNUMBER($B243)),NOT(ISNUMBER($C243)),IF(C243="",FALSE,IF(ISNUMBER(C243),OR(C243&lt;=0,C243&gt;100000000,ROUND(C243*100,6)&lt;&gt;INT(ROUND(C243*100,6))),TRUE)),IF(D243="",FALSE,IF(ISNUMBER(D243),OR(D243&lt;=0,D243&gt;100000000,ROUND(D243*100,6)&lt;&gt;INT(ROUND(D243*100,6))),TRUE)),IF(E243="",FALSE,IF(ISNUMBER(E243),OR(E243&lt;=0,E243&gt;100000000,ROUND(E243*100,6)&lt;&gt;INT(ROUND(E243*100,6))),TRUE)),AND($D243&lt;&gt;"",$D243&lt;MAX($C243,$E243)),AND($E243&lt;&gt;"",$E243&gt;MIN($C243,IF($D243="",$C243,$D243))),COUNTIFS($A$2:$A$1001,$A243,$B$2:$B$1001,$B243)&gt;1),"INVALID",IFERROR(IF(IF(INDEX(Accounts!$T$2:$T$11,$F243),ROUND(IF($E243="",$C243,MIN($C243,$E243))-(H243),6)&lt;=0,ROUND(IF($E243="",$C243,MIN($C243,$E243))-(H243),6)&lt;0),"BREACHED","OK"),"INCOMPLETE")),"INVALID"))))</f>
        <v/>
      </c>
      <c r="J243" s="33">
        <f>IF(OR(I243="OK",I243="BREACHED"),-INT(ROUND(-(H243)*100,6))/100,I243)</f>
        <v/>
      </c>
    </row>
    <row r="244" ht="18" customHeight="1">
      <c r="A244" s="9" t="n"/>
      <c r="B244" s="32" t="n"/>
      <c r="C244" s="12" t="n"/>
      <c r="D244" s="12" t="n"/>
      <c r="E244" s="12" t="n"/>
      <c r="F244" s="15">
        <f>IFERROR(MATCH($A244,Accounts!$A$2:$A$11,0),"")</f>
        <v/>
      </c>
      <c r="G244" s="14">
        <f>IFERROR(IF(OR($A244="",$F244=""),"",IF(INDEX(Accounts!$P$2:$P$11,$F244)="static",INDEX(Accounts!$Q$2:$Q$11,$F244),IF(INDEX(Accounts!$P$2:$P$11,$F244)="eod_trailing",MAX(INDEX(Accounts!$Q$2:$Q$11,$F244),_xlfn.MAXIFS($C$2:$C$1001,$A$2:$A$1001,$A244,$B$2:$B$1001,"&lt;"&amp;$B244)),MAX(INDEX(Accounts!$Q$2:$Q$11,$F244),_xlfn.MAXIFS($C$2:$C$1001,$A$2:$A$1001,$A244,$B$2:$B$1001,"&lt;"&amp;$B244),_xlfn.MAXIFS($D$2:$D$1001,$A$2:$A$1001,$A244,$B$2:$B$1001,"&lt;="&amp;$B244),$C244)))),"")</f>
        <v/>
      </c>
      <c r="H244" s="15">
        <f>IFERROR(IF(G244="","",IF(INDEX(Accounts!$P$2:$P$11,$F244)="static",INDEX(Accounts!$Q$2:$Q$11,$F244)-INDEX(Accounts!$R$2:$R$11,$F244),IF(INDEX(Accounts!$S$2:$S$11,$F244)="NONE",G244-INDEX(Accounts!$R$2:$R$11,$F244),MIN(G244-INDEX(Accounts!$R$2:$R$11,$F244),INDEX(Accounts!$Q$2:$Q$11,$F244)+INDEX(Accounts!$S$2:$S$11,$F244))))),"")</f>
        <v/>
      </c>
      <c r="I244" s="16">
        <f>IF(AND($A244="",$B244="",$C244="",$D244="",$E244=""),"",IF(OR($A244="",$F244=""),"UNKNOWN_ACCOUNT",IF(OR($B244="",$C244=""),"INCOMPLETE",IFERROR(IF(OR(NOT(ISNUMBER($B244)),NOT(ISNUMBER($C244)),IF(C244="",FALSE,IF(ISNUMBER(C244),OR(C244&lt;=0,C244&gt;100000000,ROUND(C244*100,6)&lt;&gt;INT(ROUND(C244*100,6))),TRUE)),IF(D244="",FALSE,IF(ISNUMBER(D244),OR(D244&lt;=0,D244&gt;100000000,ROUND(D244*100,6)&lt;&gt;INT(ROUND(D244*100,6))),TRUE)),IF(E244="",FALSE,IF(ISNUMBER(E244),OR(E244&lt;=0,E244&gt;100000000,ROUND(E244*100,6)&lt;&gt;INT(ROUND(E244*100,6))),TRUE)),AND($D244&lt;&gt;"",$D244&lt;MAX($C244,$E244)),AND($E244&lt;&gt;"",$E244&gt;MIN($C244,IF($D244="",$C244,$D244))),COUNTIFS($A$2:$A$1001,$A244,$B$2:$B$1001,$B244)&gt;1),"INVALID",IFERROR(IF(IF(INDEX(Accounts!$T$2:$T$11,$F244),ROUND(IF($E244="",$C244,MIN($C244,$E244))-(H244),6)&lt;=0,ROUND(IF($E244="",$C244,MIN($C244,$E244))-(H244),6)&lt;0),"BREACHED","OK"),"INCOMPLETE")),"INVALID"))))</f>
        <v/>
      </c>
      <c r="J244" s="33">
        <f>IF(OR(I244="OK",I244="BREACHED"),-INT(ROUND(-(H244)*100,6))/100,I244)</f>
        <v/>
      </c>
    </row>
    <row r="245" ht="18" customHeight="1">
      <c r="A245" s="9" t="n"/>
      <c r="B245" s="32" t="n"/>
      <c r="C245" s="12" t="n"/>
      <c r="D245" s="12" t="n"/>
      <c r="E245" s="12" t="n"/>
      <c r="F245" s="15">
        <f>IFERROR(MATCH($A245,Accounts!$A$2:$A$11,0),"")</f>
        <v/>
      </c>
      <c r="G245" s="14">
        <f>IFERROR(IF(OR($A245="",$F245=""),"",IF(INDEX(Accounts!$P$2:$P$11,$F245)="static",INDEX(Accounts!$Q$2:$Q$11,$F245),IF(INDEX(Accounts!$P$2:$P$11,$F245)="eod_trailing",MAX(INDEX(Accounts!$Q$2:$Q$11,$F245),_xlfn.MAXIFS($C$2:$C$1001,$A$2:$A$1001,$A245,$B$2:$B$1001,"&lt;"&amp;$B245)),MAX(INDEX(Accounts!$Q$2:$Q$11,$F245),_xlfn.MAXIFS($C$2:$C$1001,$A$2:$A$1001,$A245,$B$2:$B$1001,"&lt;"&amp;$B245),_xlfn.MAXIFS($D$2:$D$1001,$A$2:$A$1001,$A245,$B$2:$B$1001,"&lt;="&amp;$B245),$C245)))),"")</f>
        <v/>
      </c>
      <c r="H245" s="15">
        <f>IFERROR(IF(G245="","",IF(INDEX(Accounts!$P$2:$P$11,$F245)="static",INDEX(Accounts!$Q$2:$Q$11,$F245)-INDEX(Accounts!$R$2:$R$11,$F245),IF(INDEX(Accounts!$S$2:$S$11,$F245)="NONE",G245-INDEX(Accounts!$R$2:$R$11,$F245),MIN(G245-INDEX(Accounts!$R$2:$R$11,$F245),INDEX(Accounts!$Q$2:$Q$11,$F245)+INDEX(Accounts!$S$2:$S$11,$F245))))),"")</f>
        <v/>
      </c>
      <c r="I245" s="16">
        <f>IF(AND($A245="",$B245="",$C245="",$D245="",$E245=""),"",IF(OR($A245="",$F245=""),"UNKNOWN_ACCOUNT",IF(OR($B245="",$C245=""),"INCOMPLETE",IFERROR(IF(OR(NOT(ISNUMBER($B245)),NOT(ISNUMBER($C245)),IF(C245="",FALSE,IF(ISNUMBER(C245),OR(C245&lt;=0,C245&gt;100000000,ROUND(C245*100,6)&lt;&gt;INT(ROUND(C245*100,6))),TRUE)),IF(D245="",FALSE,IF(ISNUMBER(D245),OR(D245&lt;=0,D245&gt;100000000,ROUND(D245*100,6)&lt;&gt;INT(ROUND(D245*100,6))),TRUE)),IF(E245="",FALSE,IF(ISNUMBER(E245),OR(E245&lt;=0,E245&gt;100000000,ROUND(E245*100,6)&lt;&gt;INT(ROUND(E245*100,6))),TRUE)),AND($D245&lt;&gt;"",$D245&lt;MAX($C245,$E245)),AND($E245&lt;&gt;"",$E245&gt;MIN($C245,IF($D245="",$C245,$D245))),COUNTIFS($A$2:$A$1001,$A245,$B$2:$B$1001,$B245)&gt;1),"INVALID",IFERROR(IF(IF(INDEX(Accounts!$T$2:$T$11,$F245),ROUND(IF($E245="",$C245,MIN($C245,$E245))-(H245),6)&lt;=0,ROUND(IF($E245="",$C245,MIN($C245,$E245))-(H245),6)&lt;0),"BREACHED","OK"),"INCOMPLETE")),"INVALID"))))</f>
        <v/>
      </c>
      <c r="J245" s="33">
        <f>IF(OR(I245="OK",I245="BREACHED"),-INT(ROUND(-(H245)*100,6))/100,I245)</f>
        <v/>
      </c>
    </row>
    <row r="246" ht="18" customHeight="1">
      <c r="A246" s="9" t="n"/>
      <c r="B246" s="32" t="n"/>
      <c r="C246" s="12" t="n"/>
      <c r="D246" s="12" t="n"/>
      <c r="E246" s="12" t="n"/>
      <c r="F246" s="15">
        <f>IFERROR(MATCH($A246,Accounts!$A$2:$A$11,0),"")</f>
        <v/>
      </c>
      <c r="G246" s="14">
        <f>IFERROR(IF(OR($A246="",$F246=""),"",IF(INDEX(Accounts!$P$2:$P$11,$F246)="static",INDEX(Accounts!$Q$2:$Q$11,$F246),IF(INDEX(Accounts!$P$2:$P$11,$F246)="eod_trailing",MAX(INDEX(Accounts!$Q$2:$Q$11,$F246),_xlfn.MAXIFS($C$2:$C$1001,$A$2:$A$1001,$A246,$B$2:$B$1001,"&lt;"&amp;$B246)),MAX(INDEX(Accounts!$Q$2:$Q$11,$F246),_xlfn.MAXIFS($C$2:$C$1001,$A$2:$A$1001,$A246,$B$2:$B$1001,"&lt;"&amp;$B246),_xlfn.MAXIFS($D$2:$D$1001,$A$2:$A$1001,$A246,$B$2:$B$1001,"&lt;="&amp;$B246),$C246)))),"")</f>
        <v/>
      </c>
      <c r="H246" s="15">
        <f>IFERROR(IF(G246="","",IF(INDEX(Accounts!$P$2:$P$11,$F246)="static",INDEX(Accounts!$Q$2:$Q$11,$F246)-INDEX(Accounts!$R$2:$R$11,$F246),IF(INDEX(Accounts!$S$2:$S$11,$F246)="NONE",G246-INDEX(Accounts!$R$2:$R$11,$F246),MIN(G246-INDEX(Accounts!$R$2:$R$11,$F246),INDEX(Accounts!$Q$2:$Q$11,$F246)+INDEX(Accounts!$S$2:$S$11,$F246))))),"")</f>
        <v/>
      </c>
      <c r="I246" s="16">
        <f>IF(AND($A246="",$B246="",$C246="",$D246="",$E246=""),"",IF(OR($A246="",$F246=""),"UNKNOWN_ACCOUNT",IF(OR($B246="",$C246=""),"INCOMPLETE",IFERROR(IF(OR(NOT(ISNUMBER($B246)),NOT(ISNUMBER($C246)),IF(C246="",FALSE,IF(ISNUMBER(C246),OR(C246&lt;=0,C246&gt;100000000,ROUND(C246*100,6)&lt;&gt;INT(ROUND(C246*100,6))),TRUE)),IF(D246="",FALSE,IF(ISNUMBER(D246),OR(D246&lt;=0,D246&gt;100000000,ROUND(D246*100,6)&lt;&gt;INT(ROUND(D246*100,6))),TRUE)),IF(E246="",FALSE,IF(ISNUMBER(E246),OR(E246&lt;=0,E246&gt;100000000,ROUND(E246*100,6)&lt;&gt;INT(ROUND(E246*100,6))),TRUE)),AND($D246&lt;&gt;"",$D246&lt;MAX($C246,$E246)),AND($E246&lt;&gt;"",$E246&gt;MIN($C246,IF($D246="",$C246,$D246))),COUNTIFS($A$2:$A$1001,$A246,$B$2:$B$1001,$B246)&gt;1),"INVALID",IFERROR(IF(IF(INDEX(Accounts!$T$2:$T$11,$F246),ROUND(IF($E246="",$C246,MIN($C246,$E246))-(H246),6)&lt;=0,ROUND(IF($E246="",$C246,MIN($C246,$E246))-(H246),6)&lt;0),"BREACHED","OK"),"INCOMPLETE")),"INVALID"))))</f>
        <v/>
      </c>
      <c r="J246" s="33">
        <f>IF(OR(I246="OK",I246="BREACHED"),-INT(ROUND(-(H246)*100,6))/100,I246)</f>
        <v/>
      </c>
    </row>
    <row r="247" ht="18" customHeight="1">
      <c r="A247" s="9" t="n"/>
      <c r="B247" s="32" t="n"/>
      <c r="C247" s="12" t="n"/>
      <c r="D247" s="12" t="n"/>
      <c r="E247" s="12" t="n"/>
      <c r="F247" s="15">
        <f>IFERROR(MATCH($A247,Accounts!$A$2:$A$11,0),"")</f>
        <v/>
      </c>
      <c r="G247" s="14">
        <f>IFERROR(IF(OR($A247="",$F247=""),"",IF(INDEX(Accounts!$P$2:$P$11,$F247)="static",INDEX(Accounts!$Q$2:$Q$11,$F247),IF(INDEX(Accounts!$P$2:$P$11,$F247)="eod_trailing",MAX(INDEX(Accounts!$Q$2:$Q$11,$F247),_xlfn.MAXIFS($C$2:$C$1001,$A$2:$A$1001,$A247,$B$2:$B$1001,"&lt;"&amp;$B247)),MAX(INDEX(Accounts!$Q$2:$Q$11,$F247),_xlfn.MAXIFS($C$2:$C$1001,$A$2:$A$1001,$A247,$B$2:$B$1001,"&lt;"&amp;$B247),_xlfn.MAXIFS($D$2:$D$1001,$A$2:$A$1001,$A247,$B$2:$B$1001,"&lt;="&amp;$B247),$C247)))),"")</f>
        <v/>
      </c>
      <c r="H247" s="15">
        <f>IFERROR(IF(G247="","",IF(INDEX(Accounts!$P$2:$P$11,$F247)="static",INDEX(Accounts!$Q$2:$Q$11,$F247)-INDEX(Accounts!$R$2:$R$11,$F247),IF(INDEX(Accounts!$S$2:$S$11,$F247)="NONE",G247-INDEX(Accounts!$R$2:$R$11,$F247),MIN(G247-INDEX(Accounts!$R$2:$R$11,$F247),INDEX(Accounts!$Q$2:$Q$11,$F247)+INDEX(Accounts!$S$2:$S$11,$F247))))),"")</f>
        <v/>
      </c>
      <c r="I247" s="16">
        <f>IF(AND($A247="",$B247="",$C247="",$D247="",$E247=""),"",IF(OR($A247="",$F247=""),"UNKNOWN_ACCOUNT",IF(OR($B247="",$C247=""),"INCOMPLETE",IFERROR(IF(OR(NOT(ISNUMBER($B247)),NOT(ISNUMBER($C247)),IF(C247="",FALSE,IF(ISNUMBER(C247),OR(C247&lt;=0,C247&gt;100000000,ROUND(C247*100,6)&lt;&gt;INT(ROUND(C247*100,6))),TRUE)),IF(D247="",FALSE,IF(ISNUMBER(D247),OR(D247&lt;=0,D247&gt;100000000,ROUND(D247*100,6)&lt;&gt;INT(ROUND(D247*100,6))),TRUE)),IF(E247="",FALSE,IF(ISNUMBER(E247),OR(E247&lt;=0,E247&gt;100000000,ROUND(E247*100,6)&lt;&gt;INT(ROUND(E247*100,6))),TRUE)),AND($D247&lt;&gt;"",$D247&lt;MAX($C247,$E247)),AND($E247&lt;&gt;"",$E247&gt;MIN($C247,IF($D247="",$C247,$D247))),COUNTIFS($A$2:$A$1001,$A247,$B$2:$B$1001,$B247)&gt;1),"INVALID",IFERROR(IF(IF(INDEX(Accounts!$T$2:$T$11,$F247),ROUND(IF($E247="",$C247,MIN($C247,$E247))-(H247),6)&lt;=0,ROUND(IF($E247="",$C247,MIN($C247,$E247))-(H247),6)&lt;0),"BREACHED","OK"),"INCOMPLETE")),"INVALID"))))</f>
        <v/>
      </c>
      <c r="J247" s="33">
        <f>IF(OR(I247="OK",I247="BREACHED"),-INT(ROUND(-(H247)*100,6))/100,I247)</f>
        <v/>
      </c>
    </row>
    <row r="248" ht="18" customHeight="1">
      <c r="A248" s="9" t="n"/>
      <c r="B248" s="32" t="n"/>
      <c r="C248" s="12" t="n"/>
      <c r="D248" s="12" t="n"/>
      <c r="E248" s="12" t="n"/>
      <c r="F248" s="15">
        <f>IFERROR(MATCH($A248,Accounts!$A$2:$A$11,0),"")</f>
        <v/>
      </c>
      <c r="G248" s="14">
        <f>IFERROR(IF(OR($A248="",$F248=""),"",IF(INDEX(Accounts!$P$2:$P$11,$F248)="static",INDEX(Accounts!$Q$2:$Q$11,$F248),IF(INDEX(Accounts!$P$2:$P$11,$F248)="eod_trailing",MAX(INDEX(Accounts!$Q$2:$Q$11,$F248),_xlfn.MAXIFS($C$2:$C$1001,$A$2:$A$1001,$A248,$B$2:$B$1001,"&lt;"&amp;$B248)),MAX(INDEX(Accounts!$Q$2:$Q$11,$F248),_xlfn.MAXIFS($C$2:$C$1001,$A$2:$A$1001,$A248,$B$2:$B$1001,"&lt;"&amp;$B248),_xlfn.MAXIFS($D$2:$D$1001,$A$2:$A$1001,$A248,$B$2:$B$1001,"&lt;="&amp;$B248),$C248)))),"")</f>
        <v/>
      </c>
      <c r="H248" s="15">
        <f>IFERROR(IF(G248="","",IF(INDEX(Accounts!$P$2:$P$11,$F248)="static",INDEX(Accounts!$Q$2:$Q$11,$F248)-INDEX(Accounts!$R$2:$R$11,$F248),IF(INDEX(Accounts!$S$2:$S$11,$F248)="NONE",G248-INDEX(Accounts!$R$2:$R$11,$F248),MIN(G248-INDEX(Accounts!$R$2:$R$11,$F248),INDEX(Accounts!$Q$2:$Q$11,$F248)+INDEX(Accounts!$S$2:$S$11,$F248))))),"")</f>
        <v/>
      </c>
      <c r="I248" s="16">
        <f>IF(AND($A248="",$B248="",$C248="",$D248="",$E248=""),"",IF(OR($A248="",$F248=""),"UNKNOWN_ACCOUNT",IF(OR($B248="",$C248=""),"INCOMPLETE",IFERROR(IF(OR(NOT(ISNUMBER($B248)),NOT(ISNUMBER($C248)),IF(C248="",FALSE,IF(ISNUMBER(C248),OR(C248&lt;=0,C248&gt;100000000,ROUND(C248*100,6)&lt;&gt;INT(ROUND(C248*100,6))),TRUE)),IF(D248="",FALSE,IF(ISNUMBER(D248),OR(D248&lt;=0,D248&gt;100000000,ROUND(D248*100,6)&lt;&gt;INT(ROUND(D248*100,6))),TRUE)),IF(E248="",FALSE,IF(ISNUMBER(E248),OR(E248&lt;=0,E248&gt;100000000,ROUND(E248*100,6)&lt;&gt;INT(ROUND(E248*100,6))),TRUE)),AND($D248&lt;&gt;"",$D248&lt;MAX($C248,$E248)),AND($E248&lt;&gt;"",$E248&gt;MIN($C248,IF($D248="",$C248,$D248))),COUNTIFS($A$2:$A$1001,$A248,$B$2:$B$1001,$B248)&gt;1),"INVALID",IFERROR(IF(IF(INDEX(Accounts!$T$2:$T$11,$F248),ROUND(IF($E248="",$C248,MIN($C248,$E248))-(H248),6)&lt;=0,ROUND(IF($E248="",$C248,MIN($C248,$E248))-(H248),6)&lt;0),"BREACHED","OK"),"INCOMPLETE")),"INVALID"))))</f>
        <v/>
      </c>
      <c r="J248" s="33">
        <f>IF(OR(I248="OK",I248="BREACHED"),-INT(ROUND(-(H248)*100,6))/100,I248)</f>
        <v/>
      </c>
    </row>
    <row r="249" ht="18" customHeight="1">
      <c r="A249" s="9" t="n"/>
      <c r="B249" s="32" t="n"/>
      <c r="C249" s="12" t="n"/>
      <c r="D249" s="12" t="n"/>
      <c r="E249" s="12" t="n"/>
      <c r="F249" s="15">
        <f>IFERROR(MATCH($A249,Accounts!$A$2:$A$11,0),"")</f>
        <v/>
      </c>
      <c r="G249" s="14">
        <f>IFERROR(IF(OR($A249="",$F249=""),"",IF(INDEX(Accounts!$P$2:$P$11,$F249)="static",INDEX(Accounts!$Q$2:$Q$11,$F249),IF(INDEX(Accounts!$P$2:$P$11,$F249)="eod_trailing",MAX(INDEX(Accounts!$Q$2:$Q$11,$F249),_xlfn.MAXIFS($C$2:$C$1001,$A$2:$A$1001,$A249,$B$2:$B$1001,"&lt;"&amp;$B249)),MAX(INDEX(Accounts!$Q$2:$Q$11,$F249),_xlfn.MAXIFS($C$2:$C$1001,$A$2:$A$1001,$A249,$B$2:$B$1001,"&lt;"&amp;$B249),_xlfn.MAXIFS($D$2:$D$1001,$A$2:$A$1001,$A249,$B$2:$B$1001,"&lt;="&amp;$B249),$C249)))),"")</f>
        <v/>
      </c>
      <c r="H249" s="15">
        <f>IFERROR(IF(G249="","",IF(INDEX(Accounts!$P$2:$P$11,$F249)="static",INDEX(Accounts!$Q$2:$Q$11,$F249)-INDEX(Accounts!$R$2:$R$11,$F249),IF(INDEX(Accounts!$S$2:$S$11,$F249)="NONE",G249-INDEX(Accounts!$R$2:$R$11,$F249),MIN(G249-INDEX(Accounts!$R$2:$R$11,$F249),INDEX(Accounts!$Q$2:$Q$11,$F249)+INDEX(Accounts!$S$2:$S$11,$F249))))),"")</f>
        <v/>
      </c>
      <c r="I249" s="16">
        <f>IF(AND($A249="",$B249="",$C249="",$D249="",$E249=""),"",IF(OR($A249="",$F249=""),"UNKNOWN_ACCOUNT",IF(OR($B249="",$C249=""),"INCOMPLETE",IFERROR(IF(OR(NOT(ISNUMBER($B249)),NOT(ISNUMBER($C249)),IF(C249="",FALSE,IF(ISNUMBER(C249),OR(C249&lt;=0,C249&gt;100000000,ROUND(C249*100,6)&lt;&gt;INT(ROUND(C249*100,6))),TRUE)),IF(D249="",FALSE,IF(ISNUMBER(D249),OR(D249&lt;=0,D249&gt;100000000,ROUND(D249*100,6)&lt;&gt;INT(ROUND(D249*100,6))),TRUE)),IF(E249="",FALSE,IF(ISNUMBER(E249),OR(E249&lt;=0,E249&gt;100000000,ROUND(E249*100,6)&lt;&gt;INT(ROUND(E249*100,6))),TRUE)),AND($D249&lt;&gt;"",$D249&lt;MAX($C249,$E249)),AND($E249&lt;&gt;"",$E249&gt;MIN($C249,IF($D249="",$C249,$D249))),COUNTIFS($A$2:$A$1001,$A249,$B$2:$B$1001,$B249)&gt;1),"INVALID",IFERROR(IF(IF(INDEX(Accounts!$T$2:$T$11,$F249),ROUND(IF($E249="",$C249,MIN($C249,$E249))-(H249),6)&lt;=0,ROUND(IF($E249="",$C249,MIN($C249,$E249))-(H249),6)&lt;0),"BREACHED","OK"),"INCOMPLETE")),"INVALID"))))</f>
        <v/>
      </c>
      <c r="J249" s="33">
        <f>IF(OR(I249="OK",I249="BREACHED"),-INT(ROUND(-(H249)*100,6))/100,I249)</f>
        <v/>
      </c>
    </row>
    <row r="250" ht="18" customHeight="1">
      <c r="A250" s="9" t="n"/>
      <c r="B250" s="32" t="n"/>
      <c r="C250" s="12" t="n"/>
      <c r="D250" s="12" t="n"/>
      <c r="E250" s="12" t="n"/>
      <c r="F250" s="15">
        <f>IFERROR(MATCH($A250,Accounts!$A$2:$A$11,0),"")</f>
        <v/>
      </c>
      <c r="G250" s="14">
        <f>IFERROR(IF(OR($A250="",$F250=""),"",IF(INDEX(Accounts!$P$2:$P$11,$F250)="static",INDEX(Accounts!$Q$2:$Q$11,$F250),IF(INDEX(Accounts!$P$2:$P$11,$F250)="eod_trailing",MAX(INDEX(Accounts!$Q$2:$Q$11,$F250),_xlfn.MAXIFS($C$2:$C$1001,$A$2:$A$1001,$A250,$B$2:$B$1001,"&lt;"&amp;$B250)),MAX(INDEX(Accounts!$Q$2:$Q$11,$F250),_xlfn.MAXIFS($C$2:$C$1001,$A$2:$A$1001,$A250,$B$2:$B$1001,"&lt;"&amp;$B250),_xlfn.MAXIFS($D$2:$D$1001,$A$2:$A$1001,$A250,$B$2:$B$1001,"&lt;="&amp;$B250),$C250)))),"")</f>
        <v/>
      </c>
      <c r="H250" s="15">
        <f>IFERROR(IF(G250="","",IF(INDEX(Accounts!$P$2:$P$11,$F250)="static",INDEX(Accounts!$Q$2:$Q$11,$F250)-INDEX(Accounts!$R$2:$R$11,$F250),IF(INDEX(Accounts!$S$2:$S$11,$F250)="NONE",G250-INDEX(Accounts!$R$2:$R$11,$F250),MIN(G250-INDEX(Accounts!$R$2:$R$11,$F250),INDEX(Accounts!$Q$2:$Q$11,$F250)+INDEX(Accounts!$S$2:$S$11,$F250))))),"")</f>
        <v/>
      </c>
      <c r="I250" s="16">
        <f>IF(AND($A250="",$B250="",$C250="",$D250="",$E250=""),"",IF(OR($A250="",$F250=""),"UNKNOWN_ACCOUNT",IF(OR($B250="",$C250=""),"INCOMPLETE",IFERROR(IF(OR(NOT(ISNUMBER($B250)),NOT(ISNUMBER($C250)),IF(C250="",FALSE,IF(ISNUMBER(C250),OR(C250&lt;=0,C250&gt;100000000,ROUND(C250*100,6)&lt;&gt;INT(ROUND(C250*100,6))),TRUE)),IF(D250="",FALSE,IF(ISNUMBER(D250),OR(D250&lt;=0,D250&gt;100000000,ROUND(D250*100,6)&lt;&gt;INT(ROUND(D250*100,6))),TRUE)),IF(E250="",FALSE,IF(ISNUMBER(E250),OR(E250&lt;=0,E250&gt;100000000,ROUND(E250*100,6)&lt;&gt;INT(ROUND(E250*100,6))),TRUE)),AND($D250&lt;&gt;"",$D250&lt;MAX($C250,$E250)),AND($E250&lt;&gt;"",$E250&gt;MIN($C250,IF($D250="",$C250,$D250))),COUNTIFS($A$2:$A$1001,$A250,$B$2:$B$1001,$B250)&gt;1),"INVALID",IFERROR(IF(IF(INDEX(Accounts!$T$2:$T$11,$F250),ROUND(IF($E250="",$C250,MIN($C250,$E250))-(H250),6)&lt;=0,ROUND(IF($E250="",$C250,MIN($C250,$E250))-(H250),6)&lt;0),"BREACHED","OK"),"INCOMPLETE")),"INVALID"))))</f>
        <v/>
      </c>
      <c r="J250" s="33">
        <f>IF(OR(I250="OK",I250="BREACHED"),-INT(ROUND(-(H250)*100,6))/100,I250)</f>
        <v/>
      </c>
    </row>
    <row r="251" ht="18" customHeight="1">
      <c r="A251" s="9" t="n"/>
      <c r="B251" s="32" t="n"/>
      <c r="C251" s="12" t="n"/>
      <c r="D251" s="12" t="n"/>
      <c r="E251" s="12" t="n"/>
      <c r="F251" s="15">
        <f>IFERROR(MATCH($A251,Accounts!$A$2:$A$11,0),"")</f>
        <v/>
      </c>
      <c r="G251" s="14">
        <f>IFERROR(IF(OR($A251="",$F251=""),"",IF(INDEX(Accounts!$P$2:$P$11,$F251)="static",INDEX(Accounts!$Q$2:$Q$11,$F251),IF(INDEX(Accounts!$P$2:$P$11,$F251)="eod_trailing",MAX(INDEX(Accounts!$Q$2:$Q$11,$F251),_xlfn.MAXIFS($C$2:$C$1001,$A$2:$A$1001,$A251,$B$2:$B$1001,"&lt;"&amp;$B251)),MAX(INDEX(Accounts!$Q$2:$Q$11,$F251),_xlfn.MAXIFS($C$2:$C$1001,$A$2:$A$1001,$A251,$B$2:$B$1001,"&lt;"&amp;$B251),_xlfn.MAXIFS($D$2:$D$1001,$A$2:$A$1001,$A251,$B$2:$B$1001,"&lt;="&amp;$B251),$C251)))),"")</f>
        <v/>
      </c>
      <c r="H251" s="15">
        <f>IFERROR(IF(G251="","",IF(INDEX(Accounts!$P$2:$P$11,$F251)="static",INDEX(Accounts!$Q$2:$Q$11,$F251)-INDEX(Accounts!$R$2:$R$11,$F251),IF(INDEX(Accounts!$S$2:$S$11,$F251)="NONE",G251-INDEX(Accounts!$R$2:$R$11,$F251),MIN(G251-INDEX(Accounts!$R$2:$R$11,$F251),INDEX(Accounts!$Q$2:$Q$11,$F251)+INDEX(Accounts!$S$2:$S$11,$F251))))),"")</f>
        <v/>
      </c>
      <c r="I251" s="16">
        <f>IF(AND($A251="",$B251="",$C251="",$D251="",$E251=""),"",IF(OR($A251="",$F251=""),"UNKNOWN_ACCOUNT",IF(OR($B251="",$C251=""),"INCOMPLETE",IFERROR(IF(OR(NOT(ISNUMBER($B251)),NOT(ISNUMBER($C251)),IF(C251="",FALSE,IF(ISNUMBER(C251),OR(C251&lt;=0,C251&gt;100000000,ROUND(C251*100,6)&lt;&gt;INT(ROUND(C251*100,6))),TRUE)),IF(D251="",FALSE,IF(ISNUMBER(D251),OR(D251&lt;=0,D251&gt;100000000,ROUND(D251*100,6)&lt;&gt;INT(ROUND(D251*100,6))),TRUE)),IF(E251="",FALSE,IF(ISNUMBER(E251),OR(E251&lt;=0,E251&gt;100000000,ROUND(E251*100,6)&lt;&gt;INT(ROUND(E251*100,6))),TRUE)),AND($D251&lt;&gt;"",$D251&lt;MAX($C251,$E251)),AND($E251&lt;&gt;"",$E251&gt;MIN($C251,IF($D251="",$C251,$D251))),COUNTIFS($A$2:$A$1001,$A251,$B$2:$B$1001,$B251)&gt;1),"INVALID",IFERROR(IF(IF(INDEX(Accounts!$T$2:$T$11,$F251),ROUND(IF($E251="",$C251,MIN($C251,$E251))-(H251),6)&lt;=0,ROUND(IF($E251="",$C251,MIN($C251,$E251))-(H251),6)&lt;0),"BREACHED","OK"),"INCOMPLETE")),"INVALID"))))</f>
        <v/>
      </c>
      <c r="J251" s="33">
        <f>IF(OR(I251="OK",I251="BREACHED"),-INT(ROUND(-(H251)*100,6))/100,I251)</f>
        <v/>
      </c>
    </row>
    <row r="252" ht="18" customHeight="1">
      <c r="A252" s="9" t="n"/>
      <c r="B252" s="32" t="n"/>
      <c r="C252" s="12" t="n"/>
      <c r="D252" s="12" t="n"/>
      <c r="E252" s="12" t="n"/>
      <c r="F252" s="15">
        <f>IFERROR(MATCH($A252,Accounts!$A$2:$A$11,0),"")</f>
        <v/>
      </c>
      <c r="G252" s="14">
        <f>IFERROR(IF(OR($A252="",$F252=""),"",IF(INDEX(Accounts!$P$2:$P$11,$F252)="static",INDEX(Accounts!$Q$2:$Q$11,$F252),IF(INDEX(Accounts!$P$2:$P$11,$F252)="eod_trailing",MAX(INDEX(Accounts!$Q$2:$Q$11,$F252),_xlfn.MAXIFS($C$2:$C$1001,$A$2:$A$1001,$A252,$B$2:$B$1001,"&lt;"&amp;$B252)),MAX(INDEX(Accounts!$Q$2:$Q$11,$F252),_xlfn.MAXIFS($C$2:$C$1001,$A$2:$A$1001,$A252,$B$2:$B$1001,"&lt;"&amp;$B252),_xlfn.MAXIFS($D$2:$D$1001,$A$2:$A$1001,$A252,$B$2:$B$1001,"&lt;="&amp;$B252),$C252)))),"")</f>
        <v/>
      </c>
      <c r="H252" s="15">
        <f>IFERROR(IF(G252="","",IF(INDEX(Accounts!$P$2:$P$11,$F252)="static",INDEX(Accounts!$Q$2:$Q$11,$F252)-INDEX(Accounts!$R$2:$R$11,$F252),IF(INDEX(Accounts!$S$2:$S$11,$F252)="NONE",G252-INDEX(Accounts!$R$2:$R$11,$F252),MIN(G252-INDEX(Accounts!$R$2:$R$11,$F252),INDEX(Accounts!$Q$2:$Q$11,$F252)+INDEX(Accounts!$S$2:$S$11,$F252))))),"")</f>
        <v/>
      </c>
      <c r="I252" s="16">
        <f>IF(AND($A252="",$B252="",$C252="",$D252="",$E252=""),"",IF(OR($A252="",$F252=""),"UNKNOWN_ACCOUNT",IF(OR($B252="",$C252=""),"INCOMPLETE",IFERROR(IF(OR(NOT(ISNUMBER($B252)),NOT(ISNUMBER($C252)),IF(C252="",FALSE,IF(ISNUMBER(C252),OR(C252&lt;=0,C252&gt;100000000,ROUND(C252*100,6)&lt;&gt;INT(ROUND(C252*100,6))),TRUE)),IF(D252="",FALSE,IF(ISNUMBER(D252),OR(D252&lt;=0,D252&gt;100000000,ROUND(D252*100,6)&lt;&gt;INT(ROUND(D252*100,6))),TRUE)),IF(E252="",FALSE,IF(ISNUMBER(E252),OR(E252&lt;=0,E252&gt;100000000,ROUND(E252*100,6)&lt;&gt;INT(ROUND(E252*100,6))),TRUE)),AND($D252&lt;&gt;"",$D252&lt;MAX($C252,$E252)),AND($E252&lt;&gt;"",$E252&gt;MIN($C252,IF($D252="",$C252,$D252))),COUNTIFS($A$2:$A$1001,$A252,$B$2:$B$1001,$B252)&gt;1),"INVALID",IFERROR(IF(IF(INDEX(Accounts!$T$2:$T$11,$F252),ROUND(IF($E252="",$C252,MIN($C252,$E252))-(H252),6)&lt;=0,ROUND(IF($E252="",$C252,MIN($C252,$E252))-(H252),6)&lt;0),"BREACHED","OK"),"INCOMPLETE")),"INVALID"))))</f>
        <v/>
      </c>
      <c r="J252" s="33">
        <f>IF(OR(I252="OK",I252="BREACHED"),-INT(ROUND(-(H252)*100,6))/100,I252)</f>
        <v/>
      </c>
    </row>
    <row r="253" ht="18" customHeight="1">
      <c r="A253" s="9" t="n"/>
      <c r="B253" s="32" t="n"/>
      <c r="C253" s="12" t="n"/>
      <c r="D253" s="12" t="n"/>
      <c r="E253" s="12" t="n"/>
      <c r="F253" s="15">
        <f>IFERROR(MATCH($A253,Accounts!$A$2:$A$11,0),"")</f>
        <v/>
      </c>
      <c r="G253" s="14">
        <f>IFERROR(IF(OR($A253="",$F253=""),"",IF(INDEX(Accounts!$P$2:$P$11,$F253)="static",INDEX(Accounts!$Q$2:$Q$11,$F253),IF(INDEX(Accounts!$P$2:$P$11,$F253)="eod_trailing",MAX(INDEX(Accounts!$Q$2:$Q$11,$F253),_xlfn.MAXIFS($C$2:$C$1001,$A$2:$A$1001,$A253,$B$2:$B$1001,"&lt;"&amp;$B253)),MAX(INDEX(Accounts!$Q$2:$Q$11,$F253),_xlfn.MAXIFS($C$2:$C$1001,$A$2:$A$1001,$A253,$B$2:$B$1001,"&lt;"&amp;$B253),_xlfn.MAXIFS($D$2:$D$1001,$A$2:$A$1001,$A253,$B$2:$B$1001,"&lt;="&amp;$B253),$C253)))),"")</f>
        <v/>
      </c>
      <c r="H253" s="15">
        <f>IFERROR(IF(G253="","",IF(INDEX(Accounts!$P$2:$P$11,$F253)="static",INDEX(Accounts!$Q$2:$Q$11,$F253)-INDEX(Accounts!$R$2:$R$11,$F253),IF(INDEX(Accounts!$S$2:$S$11,$F253)="NONE",G253-INDEX(Accounts!$R$2:$R$11,$F253),MIN(G253-INDEX(Accounts!$R$2:$R$11,$F253),INDEX(Accounts!$Q$2:$Q$11,$F253)+INDEX(Accounts!$S$2:$S$11,$F253))))),"")</f>
        <v/>
      </c>
      <c r="I253" s="16">
        <f>IF(AND($A253="",$B253="",$C253="",$D253="",$E253=""),"",IF(OR($A253="",$F253=""),"UNKNOWN_ACCOUNT",IF(OR($B253="",$C253=""),"INCOMPLETE",IFERROR(IF(OR(NOT(ISNUMBER($B253)),NOT(ISNUMBER($C253)),IF(C253="",FALSE,IF(ISNUMBER(C253),OR(C253&lt;=0,C253&gt;100000000,ROUND(C253*100,6)&lt;&gt;INT(ROUND(C253*100,6))),TRUE)),IF(D253="",FALSE,IF(ISNUMBER(D253),OR(D253&lt;=0,D253&gt;100000000,ROUND(D253*100,6)&lt;&gt;INT(ROUND(D253*100,6))),TRUE)),IF(E253="",FALSE,IF(ISNUMBER(E253),OR(E253&lt;=0,E253&gt;100000000,ROUND(E253*100,6)&lt;&gt;INT(ROUND(E253*100,6))),TRUE)),AND($D253&lt;&gt;"",$D253&lt;MAX($C253,$E253)),AND($E253&lt;&gt;"",$E253&gt;MIN($C253,IF($D253="",$C253,$D253))),COUNTIFS($A$2:$A$1001,$A253,$B$2:$B$1001,$B253)&gt;1),"INVALID",IFERROR(IF(IF(INDEX(Accounts!$T$2:$T$11,$F253),ROUND(IF($E253="",$C253,MIN($C253,$E253))-(H253),6)&lt;=0,ROUND(IF($E253="",$C253,MIN($C253,$E253))-(H253),6)&lt;0),"BREACHED","OK"),"INCOMPLETE")),"INVALID"))))</f>
        <v/>
      </c>
      <c r="J253" s="33">
        <f>IF(OR(I253="OK",I253="BREACHED"),-INT(ROUND(-(H253)*100,6))/100,I253)</f>
        <v/>
      </c>
    </row>
    <row r="254" ht="18" customHeight="1">
      <c r="A254" s="9" t="n"/>
      <c r="B254" s="32" t="n"/>
      <c r="C254" s="12" t="n"/>
      <c r="D254" s="12" t="n"/>
      <c r="E254" s="12" t="n"/>
      <c r="F254" s="15">
        <f>IFERROR(MATCH($A254,Accounts!$A$2:$A$11,0),"")</f>
        <v/>
      </c>
      <c r="G254" s="14">
        <f>IFERROR(IF(OR($A254="",$F254=""),"",IF(INDEX(Accounts!$P$2:$P$11,$F254)="static",INDEX(Accounts!$Q$2:$Q$11,$F254),IF(INDEX(Accounts!$P$2:$P$11,$F254)="eod_trailing",MAX(INDEX(Accounts!$Q$2:$Q$11,$F254),_xlfn.MAXIFS($C$2:$C$1001,$A$2:$A$1001,$A254,$B$2:$B$1001,"&lt;"&amp;$B254)),MAX(INDEX(Accounts!$Q$2:$Q$11,$F254),_xlfn.MAXIFS($C$2:$C$1001,$A$2:$A$1001,$A254,$B$2:$B$1001,"&lt;"&amp;$B254),_xlfn.MAXIFS($D$2:$D$1001,$A$2:$A$1001,$A254,$B$2:$B$1001,"&lt;="&amp;$B254),$C254)))),"")</f>
        <v/>
      </c>
      <c r="H254" s="15">
        <f>IFERROR(IF(G254="","",IF(INDEX(Accounts!$P$2:$P$11,$F254)="static",INDEX(Accounts!$Q$2:$Q$11,$F254)-INDEX(Accounts!$R$2:$R$11,$F254),IF(INDEX(Accounts!$S$2:$S$11,$F254)="NONE",G254-INDEX(Accounts!$R$2:$R$11,$F254),MIN(G254-INDEX(Accounts!$R$2:$R$11,$F254),INDEX(Accounts!$Q$2:$Q$11,$F254)+INDEX(Accounts!$S$2:$S$11,$F254))))),"")</f>
        <v/>
      </c>
      <c r="I254" s="16">
        <f>IF(AND($A254="",$B254="",$C254="",$D254="",$E254=""),"",IF(OR($A254="",$F254=""),"UNKNOWN_ACCOUNT",IF(OR($B254="",$C254=""),"INCOMPLETE",IFERROR(IF(OR(NOT(ISNUMBER($B254)),NOT(ISNUMBER($C254)),IF(C254="",FALSE,IF(ISNUMBER(C254),OR(C254&lt;=0,C254&gt;100000000,ROUND(C254*100,6)&lt;&gt;INT(ROUND(C254*100,6))),TRUE)),IF(D254="",FALSE,IF(ISNUMBER(D254),OR(D254&lt;=0,D254&gt;100000000,ROUND(D254*100,6)&lt;&gt;INT(ROUND(D254*100,6))),TRUE)),IF(E254="",FALSE,IF(ISNUMBER(E254),OR(E254&lt;=0,E254&gt;100000000,ROUND(E254*100,6)&lt;&gt;INT(ROUND(E254*100,6))),TRUE)),AND($D254&lt;&gt;"",$D254&lt;MAX($C254,$E254)),AND($E254&lt;&gt;"",$E254&gt;MIN($C254,IF($D254="",$C254,$D254))),COUNTIFS($A$2:$A$1001,$A254,$B$2:$B$1001,$B254)&gt;1),"INVALID",IFERROR(IF(IF(INDEX(Accounts!$T$2:$T$11,$F254),ROUND(IF($E254="",$C254,MIN($C254,$E254))-(H254),6)&lt;=0,ROUND(IF($E254="",$C254,MIN($C254,$E254))-(H254),6)&lt;0),"BREACHED","OK"),"INCOMPLETE")),"INVALID"))))</f>
        <v/>
      </c>
      <c r="J254" s="33">
        <f>IF(OR(I254="OK",I254="BREACHED"),-INT(ROUND(-(H254)*100,6))/100,I254)</f>
        <v/>
      </c>
    </row>
    <row r="255" ht="18" customHeight="1">
      <c r="A255" s="9" t="n"/>
      <c r="B255" s="32" t="n"/>
      <c r="C255" s="12" t="n"/>
      <c r="D255" s="12" t="n"/>
      <c r="E255" s="12" t="n"/>
      <c r="F255" s="15">
        <f>IFERROR(MATCH($A255,Accounts!$A$2:$A$11,0),"")</f>
        <v/>
      </c>
      <c r="G255" s="14">
        <f>IFERROR(IF(OR($A255="",$F255=""),"",IF(INDEX(Accounts!$P$2:$P$11,$F255)="static",INDEX(Accounts!$Q$2:$Q$11,$F255),IF(INDEX(Accounts!$P$2:$P$11,$F255)="eod_trailing",MAX(INDEX(Accounts!$Q$2:$Q$11,$F255),_xlfn.MAXIFS($C$2:$C$1001,$A$2:$A$1001,$A255,$B$2:$B$1001,"&lt;"&amp;$B255)),MAX(INDEX(Accounts!$Q$2:$Q$11,$F255),_xlfn.MAXIFS($C$2:$C$1001,$A$2:$A$1001,$A255,$B$2:$B$1001,"&lt;"&amp;$B255),_xlfn.MAXIFS($D$2:$D$1001,$A$2:$A$1001,$A255,$B$2:$B$1001,"&lt;="&amp;$B255),$C255)))),"")</f>
        <v/>
      </c>
      <c r="H255" s="15">
        <f>IFERROR(IF(G255="","",IF(INDEX(Accounts!$P$2:$P$11,$F255)="static",INDEX(Accounts!$Q$2:$Q$11,$F255)-INDEX(Accounts!$R$2:$R$11,$F255),IF(INDEX(Accounts!$S$2:$S$11,$F255)="NONE",G255-INDEX(Accounts!$R$2:$R$11,$F255),MIN(G255-INDEX(Accounts!$R$2:$R$11,$F255),INDEX(Accounts!$Q$2:$Q$11,$F255)+INDEX(Accounts!$S$2:$S$11,$F255))))),"")</f>
        <v/>
      </c>
      <c r="I255" s="16">
        <f>IF(AND($A255="",$B255="",$C255="",$D255="",$E255=""),"",IF(OR($A255="",$F255=""),"UNKNOWN_ACCOUNT",IF(OR($B255="",$C255=""),"INCOMPLETE",IFERROR(IF(OR(NOT(ISNUMBER($B255)),NOT(ISNUMBER($C255)),IF(C255="",FALSE,IF(ISNUMBER(C255),OR(C255&lt;=0,C255&gt;100000000,ROUND(C255*100,6)&lt;&gt;INT(ROUND(C255*100,6))),TRUE)),IF(D255="",FALSE,IF(ISNUMBER(D255),OR(D255&lt;=0,D255&gt;100000000,ROUND(D255*100,6)&lt;&gt;INT(ROUND(D255*100,6))),TRUE)),IF(E255="",FALSE,IF(ISNUMBER(E255),OR(E255&lt;=0,E255&gt;100000000,ROUND(E255*100,6)&lt;&gt;INT(ROUND(E255*100,6))),TRUE)),AND($D255&lt;&gt;"",$D255&lt;MAX($C255,$E255)),AND($E255&lt;&gt;"",$E255&gt;MIN($C255,IF($D255="",$C255,$D255))),COUNTIFS($A$2:$A$1001,$A255,$B$2:$B$1001,$B255)&gt;1),"INVALID",IFERROR(IF(IF(INDEX(Accounts!$T$2:$T$11,$F255),ROUND(IF($E255="",$C255,MIN($C255,$E255))-(H255),6)&lt;=0,ROUND(IF($E255="",$C255,MIN($C255,$E255))-(H255),6)&lt;0),"BREACHED","OK"),"INCOMPLETE")),"INVALID"))))</f>
        <v/>
      </c>
      <c r="J255" s="33">
        <f>IF(OR(I255="OK",I255="BREACHED"),-INT(ROUND(-(H255)*100,6))/100,I255)</f>
        <v/>
      </c>
    </row>
    <row r="256" ht="18" customHeight="1">
      <c r="A256" s="9" t="n"/>
      <c r="B256" s="32" t="n"/>
      <c r="C256" s="12" t="n"/>
      <c r="D256" s="12" t="n"/>
      <c r="E256" s="12" t="n"/>
      <c r="F256" s="15">
        <f>IFERROR(MATCH($A256,Accounts!$A$2:$A$11,0),"")</f>
        <v/>
      </c>
      <c r="G256" s="14">
        <f>IFERROR(IF(OR($A256="",$F256=""),"",IF(INDEX(Accounts!$P$2:$P$11,$F256)="static",INDEX(Accounts!$Q$2:$Q$11,$F256),IF(INDEX(Accounts!$P$2:$P$11,$F256)="eod_trailing",MAX(INDEX(Accounts!$Q$2:$Q$11,$F256),_xlfn.MAXIFS($C$2:$C$1001,$A$2:$A$1001,$A256,$B$2:$B$1001,"&lt;"&amp;$B256)),MAX(INDEX(Accounts!$Q$2:$Q$11,$F256),_xlfn.MAXIFS($C$2:$C$1001,$A$2:$A$1001,$A256,$B$2:$B$1001,"&lt;"&amp;$B256),_xlfn.MAXIFS($D$2:$D$1001,$A$2:$A$1001,$A256,$B$2:$B$1001,"&lt;="&amp;$B256),$C256)))),"")</f>
        <v/>
      </c>
      <c r="H256" s="15">
        <f>IFERROR(IF(G256="","",IF(INDEX(Accounts!$P$2:$P$11,$F256)="static",INDEX(Accounts!$Q$2:$Q$11,$F256)-INDEX(Accounts!$R$2:$R$11,$F256),IF(INDEX(Accounts!$S$2:$S$11,$F256)="NONE",G256-INDEX(Accounts!$R$2:$R$11,$F256),MIN(G256-INDEX(Accounts!$R$2:$R$11,$F256),INDEX(Accounts!$Q$2:$Q$11,$F256)+INDEX(Accounts!$S$2:$S$11,$F256))))),"")</f>
        <v/>
      </c>
      <c r="I256" s="16">
        <f>IF(AND($A256="",$B256="",$C256="",$D256="",$E256=""),"",IF(OR($A256="",$F256=""),"UNKNOWN_ACCOUNT",IF(OR($B256="",$C256=""),"INCOMPLETE",IFERROR(IF(OR(NOT(ISNUMBER($B256)),NOT(ISNUMBER($C256)),IF(C256="",FALSE,IF(ISNUMBER(C256),OR(C256&lt;=0,C256&gt;100000000,ROUND(C256*100,6)&lt;&gt;INT(ROUND(C256*100,6))),TRUE)),IF(D256="",FALSE,IF(ISNUMBER(D256),OR(D256&lt;=0,D256&gt;100000000,ROUND(D256*100,6)&lt;&gt;INT(ROUND(D256*100,6))),TRUE)),IF(E256="",FALSE,IF(ISNUMBER(E256),OR(E256&lt;=0,E256&gt;100000000,ROUND(E256*100,6)&lt;&gt;INT(ROUND(E256*100,6))),TRUE)),AND($D256&lt;&gt;"",$D256&lt;MAX($C256,$E256)),AND($E256&lt;&gt;"",$E256&gt;MIN($C256,IF($D256="",$C256,$D256))),COUNTIFS($A$2:$A$1001,$A256,$B$2:$B$1001,$B256)&gt;1),"INVALID",IFERROR(IF(IF(INDEX(Accounts!$T$2:$T$11,$F256),ROUND(IF($E256="",$C256,MIN($C256,$E256))-(H256),6)&lt;=0,ROUND(IF($E256="",$C256,MIN($C256,$E256))-(H256),6)&lt;0),"BREACHED","OK"),"INCOMPLETE")),"INVALID"))))</f>
        <v/>
      </c>
      <c r="J256" s="33">
        <f>IF(OR(I256="OK",I256="BREACHED"),-INT(ROUND(-(H256)*100,6))/100,I256)</f>
        <v/>
      </c>
    </row>
    <row r="257" ht="18" customHeight="1">
      <c r="A257" s="9" t="n"/>
      <c r="B257" s="32" t="n"/>
      <c r="C257" s="12" t="n"/>
      <c r="D257" s="12" t="n"/>
      <c r="E257" s="12" t="n"/>
      <c r="F257" s="15">
        <f>IFERROR(MATCH($A257,Accounts!$A$2:$A$11,0),"")</f>
        <v/>
      </c>
      <c r="G257" s="14">
        <f>IFERROR(IF(OR($A257="",$F257=""),"",IF(INDEX(Accounts!$P$2:$P$11,$F257)="static",INDEX(Accounts!$Q$2:$Q$11,$F257),IF(INDEX(Accounts!$P$2:$P$11,$F257)="eod_trailing",MAX(INDEX(Accounts!$Q$2:$Q$11,$F257),_xlfn.MAXIFS($C$2:$C$1001,$A$2:$A$1001,$A257,$B$2:$B$1001,"&lt;"&amp;$B257)),MAX(INDEX(Accounts!$Q$2:$Q$11,$F257),_xlfn.MAXIFS($C$2:$C$1001,$A$2:$A$1001,$A257,$B$2:$B$1001,"&lt;"&amp;$B257),_xlfn.MAXIFS($D$2:$D$1001,$A$2:$A$1001,$A257,$B$2:$B$1001,"&lt;="&amp;$B257),$C257)))),"")</f>
        <v/>
      </c>
      <c r="H257" s="15">
        <f>IFERROR(IF(G257="","",IF(INDEX(Accounts!$P$2:$P$11,$F257)="static",INDEX(Accounts!$Q$2:$Q$11,$F257)-INDEX(Accounts!$R$2:$R$11,$F257),IF(INDEX(Accounts!$S$2:$S$11,$F257)="NONE",G257-INDEX(Accounts!$R$2:$R$11,$F257),MIN(G257-INDEX(Accounts!$R$2:$R$11,$F257),INDEX(Accounts!$Q$2:$Q$11,$F257)+INDEX(Accounts!$S$2:$S$11,$F257))))),"")</f>
        <v/>
      </c>
      <c r="I257" s="16">
        <f>IF(AND($A257="",$B257="",$C257="",$D257="",$E257=""),"",IF(OR($A257="",$F257=""),"UNKNOWN_ACCOUNT",IF(OR($B257="",$C257=""),"INCOMPLETE",IFERROR(IF(OR(NOT(ISNUMBER($B257)),NOT(ISNUMBER($C257)),IF(C257="",FALSE,IF(ISNUMBER(C257),OR(C257&lt;=0,C257&gt;100000000,ROUND(C257*100,6)&lt;&gt;INT(ROUND(C257*100,6))),TRUE)),IF(D257="",FALSE,IF(ISNUMBER(D257),OR(D257&lt;=0,D257&gt;100000000,ROUND(D257*100,6)&lt;&gt;INT(ROUND(D257*100,6))),TRUE)),IF(E257="",FALSE,IF(ISNUMBER(E257),OR(E257&lt;=0,E257&gt;100000000,ROUND(E257*100,6)&lt;&gt;INT(ROUND(E257*100,6))),TRUE)),AND($D257&lt;&gt;"",$D257&lt;MAX($C257,$E257)),AND($E257&lt;&gt;"",$E257&gt;MIN($C257,IF($D257="",$C257,$D257))),COUNTIFS($A$2:$A$1001,$A257,$B$2:$B$1001,$B257)&gt;1),"INVALID",IFERROR(IF(IF(INDEX(Accounts!$T$2:$T$11,$F257),ROUND(IF($E257="",$C257,MIN($C257,$E257))-(H257),6)&lt;=0,ROUND(IF($E257="",$C257,MIN($C257,$E257))-(H257),6)&lt;0),"BREACHED","OK"),"INCOMPLETE")),"INVALID"))))</f>
        <v/>
      </c>
      <c r="J257" s="33">
        <f>IF(OR(I257="OK",I257="BREACHED"),-INT(ROUND(-(H257)*100,6))/100,I257)</f>
        <v/>
      </c>
    </row>
    <row r="258" ht="18" customHeight="1">
      <c r="A258" s="9" t="n"/>
      <c r="B258" s="32" t="n"/>
      <c r="C258" s="12" t="n"/>
      <c r="D258" s="12" t="n"/>
      <c r="E258" s="12" t="n"/>
      <c r="F258" s="15">
        <f>IFERROR(MATCH($A258,Accounts!$A$2:$A$11,0),"")</f>
        <v/>
      </c>
      <c r="G258" s="14">
        <f>IFERROR(IF(OR($A258="",$F258=""),"",IF(INDEX(Accounts!$P$2:$P$11,$F258)="static",INDEX(Accounts!$Q$2:$Q$11,$F258),IF(INDEX(Accounts!$P$2:$P$11,$F258)="eod_trailing",MAX(INDEX(Accounts!$Q$2:$Q$11,$F258),_xlfn.MAXIFS($C$2:$C$1001,$A$2:$A$1001,$A258,$B$2:$B$1001,"&lt;"&amp;$B258)),MAX(INDEX(Accounts!$Q$2:$Q$11,$F258),_xlfn.MAXIFS($C$2:$C$1001,$A$2:$A$1001,$A258,$B$2:$B$1001,"&lt;"&amp;$B258),_xlfn.MAXIFS($D$2:$D$1001,$A$2:$A$1001,$A258,$B$2:$B$1001,"&lt;="&amp;$B258),$C258)))),"")</f>
        <v/>
      </c>
      <c r="H258" s="15">
        <f>IFERROR(IF(G258="","",IF(INDEX(Accounts!$P$2:$P$11,$F258)="static",INDEX(Accounts!$Q$2:$Q$11,$F258)-INDEX(Accounts!$R$2:$R$11,$F258),IF(INDEX(Accounts!$S$2:$S$11,$F258)="NONE",G258-INDEX(Accounts!$R$2:$R$11,$F258),MIN(G258-INDEX(Accounts!$R$2:$R$11,$F258),INDEX(Accounts!$Q$2:$Q$11,$F258)+INDEX(Accounts!$S$2:$S$11,$F258))))),"")</f>
        <v/>
      </c>
      <c r="I258" s="16">
        <f>IF(AND($A258="",$B258="",$C258="",$D258="",$E258=""),"",IF(OR($A258="",$F258=""),"UNKNOWN_ACCOUNT",IF(OR($B258="",$C258=""),"INCOMPLETE",IFERROR(IF(OR(NOT(ISNUMBER($B258)),NOT(ISNUMBER($C258)),IF(C258="",FALSE,IF(ISNUMBER(C258),OR(C258&lt;=0,C258&gt;100000000,ROUND(C258*100,6)&lt;&gt;INT(ROUND(C258*100,6))),TRUE)),IF(D258="",FALSE,IF(ISNUMBER(D258),OR(D258&lt;=0,D258&gt;100000000,ROUND(D258*100,6)&lt;&gt;INT(ROUND(D258*100,6))),TRUE)),IF(E258="",FALSE,IF(ISNUMBER(E258),OR(E258&lt;=0,E258&gt;100000000,ROUND(E258*100,6)&lt;&gt;INT(ROUND(E258*100,6))),TRUE)),AND($D258&lt;&gt;"",$D258&lt;MAX($C258,$E258)),AND($E258&lt;&gt;"",$E258&gt;MIN($C258,IF($D258="",$C258,$D258))),COUNTIFS($A$2:$A$1001,$A258,$B$2:$B$1001,$B258)&gt;1),"INVALID",IFERROR(IF(IF(INDEX(Accounts!$T$2:$T$11,$F258),ROUND(IF($E258="",$C258,MIN($C258,$E258))-(H258),6)&lt;=0,ROUND(IF($E258="",$C258,MIN($C258,$E258))-(H258),6)&lt;0),"BREACHED","OK"),"INCOMPLETE")),"INVALID"))))</f>
        <v/>
      </c>
      <c r="J258" s="33">
        <f>IF(OR(I258="OK",I258="BREACHED"),-INT(ROUND(-(H258)*100,6))/100,I258)</f>
        <v/>
      </c>
    </row>
    <row r="259" ht="18" customHeight="1">
      <c r="A259" s="9" t="n"/>
      <c r="B259" s="32" t="n"/>
      <c r="C259" s="12" t="n"/>
      <c r="D259" s="12" t="n"/>
      <c r="E259" s="12" t="n"/>
      <c r="F259" s="15">
        <f>IFERROR(MATCH($A259,Accounts!$A$2:$A$11,0),"")</f>
        <v/>
      </c>
      <c r="G259" s="14">
        <f>IFERROR(IF(OR($A259="",$F259=""),"",IF(INDEX(Accounts!$P$2:$P$11,$F259)="static",INDEX(Accounts!$Q$2:$Q$11,$F259),IF(INDEX(Accounts!$P$2:$P$11,$F259)="eod_trailing",MAX(INDEX(Accounts!$Q$2:$Q$11,$F259),_xlfn.MAXIFS($C$2:$C$1001,$A$2:$A$1001,$A259,$B$2:$B$1001,"&lt;"&amp;$B259)),MAX(INDEX(Accounts!$Q$2:$Q$11,$F259),_xlfn.MAXIFS($C$2:$C$1001,$A$2:$A$1001,$A259,$B$2:$B$1001,"&lt;"&amp;$B259),_xlfn.MAXIFS($D$2:$D$1001,$A$2:$A$1001,$A259,$B$2:$B$1001,"&lt;="&amp;$B259),$C259)))),"")</f>
        <v/>
      </c>
      <c r="H259" s="15">
        <f>IFERROR(IF(G259="","",IF(INDEX(Accounts!$P$2:$P$11,$F259)="static",INDEX(Accounts!$Q$2:$Q$11,$F259)-INDEX(Accounts!$R$2:$R$11,$F259),IF(INDEX(Accounts!$S$2:$S$11,$F259)="NONE",G259-INDEX(Accounts!$R$2:$R$11,$F259),MIN(G259-INDEX(Accounts!$R$2:$R$11,$F259),INDEX(Accounts!$Q$2:$Q$11,$F259)+INDEX(Accounts!$S$2:$S$11,$F259))))),"")</f>
        <v/>
      </c>
      <c r="I259" s="16">
        <f>IF(AND($A259="",$B259="",$C259="",$D259="",$E259=""),"",IF(OR($A259="",$F259=""),"UNKNOWN_ACCOUNT",IF(OR($B259="",$C259=""),"INCOMPLETE",IFERROR(IF(OR(NOT(ISNUMBER($B259)),NOT(ISNUMBER($C259)),IF(C259="",FALSE,IF(ISNUMBER(C259),OR(C259&lt;=0,C259&gt;100000000,ROUND(C259*100,6)&lt;&gt;INT(ROUND(C259*100,6))),TRUE)),IF(D259="",FALSE,IF(ISNUMBER(D259),OR(D259&lt;=0,D259&gt;100000000,ROUND(D259*100,6)&lt;&gt;INT(ROUND(D259*100,6))),TRUE)),IF(E259="",FALSE,IF(ISNUMBER(E259),OR(E259&lt;=0,E259&gt;100000000,ROUND(E259*100,6)&lt;&gt;INT(ROUND(E259*100,6))),TRUE)),AND($D259&lt;&gt;"",$D259&lt;MAX($C259,$E259)),AND($E259&lt;&gt;"",$E259&gt;MIN($C259,IF($D259="",$C259,$D259))),COUNTIFS($A$2:$A$1001,$A259,$B$2:$B$1001,$B259)&gt;1),"INVALID",IFERROR(IF(IF(INDEX(Accounts!$T$2:$T$11,$F259),ROUND(IF($E259="",$C259,MIN($C259,$E259))-(H259),6)&lt;=0,ROUND(IF($E259="",$C259,MIN($C259,$E259))-(H259),6)&lt;0),"BREACHED","OK"),"INCOMPLETE")),"INVALID"))))</f>
        <v/>
      </c>
      <c r="J259" s="33">
        <f>IF(OR(I259="OK",I259="BREACHED"),-INT(ROUND(-(H259)*100,6))/100,I259)</f>
        <v/>
      </c>
    </row>
    <row r="260" ht="18" customHeight="1">
      <c r="A260" s="9" t="n"/>
      <c r="B260" s="32" t="n"/>
      <c r="C260" s="12" t="n"/>
      <c r="D260" s="12" t="n"/>
      <c r="E260" s="12" t="n"/>
      <c r="F260" s="15">
        <f>IFERROR(MATCH($A260,Accounts!$A$2:$A$11,0),"")</f>
        <v/>
      </c>
      <c r="G260" s="14">
        <f>IFERROR(IF(OR($A260="",$F260=""),"",IF(INDEX(Accounts!$P$2:$P$11,$F260)="static",INDEX(Accounts!$Q$2:$Q$11,$F260),IF(INDEX(Accounts!$P$2:$P$11,$F260)="eod_trailing",MAX(INDEX(Accounts!$Q$2:$Q$11,$F260),_xlfn.MAXIFS($C$2:$C$1001,$A$2:$A$1001,$A260,$B$2:$B$1001,"&lt;"&amp;$B260)),MAX(INDEX(Accounts!$Q$2:$Q$11,$F260),_xlfn.MAXIFS($C$2:$C$1001,$A$2:$A$1001,$A260,$B$2:$B$1001,"&lt;"&amp;$B260),_xlfn.MAXIFS($D$2:$D$1001,$A$2:$A$1001,$A260,$B$2:$B$1001,"&lt;="&amp;$B260),$C260)))),"")</f>
        <v/>
      </c>
      <c r="H260" s="15">
        <f>IFERROR(IF(G260="","",IF(INDEX(Accounts!$P$2:$P$11,$F260)="static",INDEX(Accounts!$Q$2:$Q$11,$F260)-INDEX(Accounts!$R$2:$R$11,$F260),IF(INDEX(Accounts!$S$2:$S$11,$F260)="NONE",G260-INDEX(Accounts!$R$2:$R$11,$F260),MIN(G260-INDEX(Accounts!$R$2:$R$11,$F260),INDEX(Accounts!$Q$2:$Q$11,$F260)+INDEX(Accounts!$S$2:$S$11,$F260))))),"")</f>
        <v/>
      </c>
      <c r="I260" s="16">
        <f>IF(AND($A260="",$B260="",$C260="",$D260="",$E260=""),"",IF(OR($A260="",$F260=""),"UNKNOWN_ACCOUNT",IF(OR($B260="",$C260=""),"INCOMPLETE",IFERROR(IF(OR(NOT(ISNUMBER($B260)),NOT(ISNUMBER($C260)),IF(C260="",FALSE,IF(ISNUMBER(C260),OR(C260&lt;=0,C260&gt;100000000,ROUND(C260*100,6)&lt;&gt;INT(ROUND(C260*100,6))),TRUE)),IF(D260="",FALSE,IF(ISNUMBER(D260),OR(D260&lt;=0,D260&gt;100000000,ROUND(D260*100,6)&lt;&gt;INT(ROUND(D260*100,6))),TRUE)),IF(E260="",FALSE,IF(ISNUMBER(E260),OR(E260&lt;=0,E260&gt;100000000,ROUND(E260*100,6)&lt;&gt;INT(ROUND(E260*100,6))),TRUE)),AND($D260&lt;&gt;"",$D260&lt;MAX($C260,$E260)),AND($E260&lt;&gt;"",$E260&gt;MIN($C260,IF($D260="",$C260,$D260))),COUNTIFS($A$2:$A$1001,$A260,$B$2:$B$1001,$B260)&gt;1),"INVALID",IFERROR(IF(IF(INDEX(Accounts!$T$2:$T$11,$F260),ROUND(IF($E260="",$C260,MIN($C260,$E260))-(H260),6)&lt;=0,ROUND(IF($E260="",$C260,MIN($C260,$E260))-(H260),6)&lt;0),"BREACHED","OK"),"INCOMPLETE")),"INVALID"))))</f>
        <v/>
      </c>
      <c r="J260" s="33">
        <f>IF(OR(I260="OK",I260="BREACHED"),-INT(ROUND(-(H260)*100,6))/100,I260)</f>
        <v/>
      </c>
    </row>
    <row r="261" ht="18" customHeight="1">
      <c r="A261" s="9" t="n"/>
      <c r="B261" s="32" t="n"/>
      <c r="C261" s="12" t="n"/>
      <c r="D261" s="12" t="n"/>
      <c r="E261" s="12" t="n"/>
      <c r="F261" s="15">
        <f>IFERROR(MATCH($A261,Accounts!$A$2:$A$11,0),"")</f>
        <v/>
      </c>
      <c r="G261" s="14">
        <f>IFERROR(IF(OR($A261="",$F261=""),"",IF(INDEX(Accounts!$P$2:$P$11,$F261)="static",INDEX(Accounts!$Q$2:$Q$11,$F261),IF(INDEX(Accounts!$P$2:$P$11,$F261)="eod_trailing",MAX(INDEX(Accounts!$Q$2:$Q$11,$F261),_xlfn.MAXIFS($C$2:$C$1001,$A$2:$A$1001,$A261,$B$2:$B$1001,"&lt;"&amp;$B261)),MAX(INDEX(Accounts!$Q$2:$Q$11,$F261),_xlfn.MAXIFS($C$2:$C$1001,$A$2:$A$1001,$A261,$B$2:$B$1001,"&lt;"&amp;$B261),_xlfn.MAXIFS($D$2:$D$1001,$A$2:$A$1001,$A261,$B$2:$B$1001,"&lt;="&amp;$B261),$C261)))),"")</f>
        <v/>
      </c>
      <c r="H261" s="15">
        <f>IFERROR(IF(G261="","",IF(INDEX(Accounts!$P$2:$P$11,$F261)="static",INDEX(Accounts!$Q$2:$Q$11,$F261)-INDEX(Accounts!$R$2:$R$11,$F261),IF(INDEX(Accounts!$S$2:$S$11,$F261)="NONE",G261-INDEX(Accounts!$R$2:$R$11,$F261),MIN(G261-INDEX(Accounts!$R$2:$R$11,$F261),INDEX(Accounts!$Q$2:$Q$11,$F261)+INDEX(Accounts!$S$2:$S$11,$F261))))),"")</f>
        <v/>
      </c>
      <c r="I261" s="16">
        <f>IF(AND($A261="",$B261="",$C261="",$D261="",$E261=""),"",IF(OR($A261="",$F261=""),"UNKNOWN_ACCOUNT",IF(OR($B261="",$C261=""),"INCOMPLETE",IFERROR(IF(OR(NOT(ISNUMBER($B261)),NOT(ISNUMBER($C261)),IF(C261="",FALSE,IF(ISNUMBER(C261),OR(C261&lt;=0,C261&gt;100000000,ROUND(C261*100,6)&lt;&gt;INT(ROUND(C261*100,6))),TRUE)),IF(D261="",FALSE,IF(ISNUMBER(D261),OR(D261&lt;=0,D261&gt;100000000,ROUND(D261*100,6)&lt;&gt;INT(ROUND(D261*100,6))),TRUE)),IF(E261="",FALSE,IF(ISNUMBER(E261),OR(E261&lt;=0,E261&gt;100000000,ROUND(E261*100,6)&lt;&gt;INT(ROUND(E261*100,6))),TRUE)),AND($D261&lt;&gt;"",$D261&lt;MAX($C261,$E261)),AND($E261&lt;&gt;"",$E261&gt;MIN($C261,IF($D261="",$C261,$D261))),COUNTIFS($A$2:$A$1001,$A261,$B$2:$B$1001,$B261)&gt;1),"INVALID",IFERROR(IF(IF(INDEX(Accounts!$T$2:$T$11,$F261),ROUND(IF($E261="",$C261,MIN($C261,$E261))-(H261),6)&lt;=0,ROUND(IF($E261="",$C261,MIN($C261,$E261))-(H261),6)&lt;0),"BREACHED","OK"),"INCOMPLETE")),"INVALID"))))</f>
        <v/>
      </c>
      <c r="J261" s="33">
        <f>IF(OR(I261="OK",I261="BREACHED"),-INT(ROUND(-(H261)*100,6))/100,I261)</f>
        <v/>
      </c>
    </row>
    <row r="262" ht="18" customHeight="1">
      <c r="A262" s="9" t="n"/>
      <c r="B262" s="32" t="n"/>
      <c r="C262" s="12" t="n"/>
      <c r="D262" s="12" t="n"/>
      <c r="E262" s="12" t="n"/>
      <c r="F262" s="15">
        <f>IFERROR(MATCH($A262,Accounts!$A$2:$A$11,0),"")</f>
        <v/>
      </c>
      <c r="G262" s="14">
        <f>IFERROR(IF(OR($A262="",$F262=""),"",IF(INDEX(Accounts!$P$2:$P$11,$F262)="static",INDEX(Accounts!$Q$2:$Q$11,$F262),IF(INDEX(Accounts!$P$2:$P$11,$F262)="eod_trailing",MAX(INDEX(Accounts!$Q$2:$Q$11,$F262),_xlfn.MAXIFS($C$2:$C$1001,$A$2:$A$1001,$A262,$B$2:$B$1001,"&lt;"&amp;$B262)),MAX(INDEX(Accounts!$Q$2:$Q$11,$F262),_xlfn.MAXIFS($C$2:$C$1001,$A$2:$A$1001,$A262,$B$2:$B$1001,"&lt;"&amp;$B262),_xlfn.MAXIFS($D$2:$D$1001,$A$2:$A$1001,$A262,$B$2:$B$1001,"&lt;="&amp;$B262),$C262)))),"")</f>
        <v/>
      </c>
      <c r="H262" s="15">
        <f>IFERROR(IF(G262="","",IF(INDEX(Accounts!$P$2:$P$11,$F262)="static",INDEX(Accounts!$Q$2:$Q$11,$F262)-INDEX(Accounts!$R$2:$R$11,$F262),IF(INDEX(Accounts!$S$2:$S$11,$F262)="NONE",G262-INDEX(Accounts!$R$2:$R$11,$F262),MIN(G262-INDEX(Accounts!$R$2:$R$11,$F262),INDEX(Accounts!$Q$2:$Q$11,$F262)+INDEX(Accounts!$S$2:$S$11,$F262))))),"")</f>
        <v/>
      </c>
      <c r="I262" s="16">
        <f>IF(AND($A262="",$B262="",$C262="",$D262="",$E262=""),"",IF(OR($A262="",$F262=""),"UNKNOWN_ACCOUNT",IF(OR($B262="",$C262=""),"INCOMPLETE",IFERROR(IF(OR(NOT(ISNUMBER($B262)),NOT(ISNUMBER($C262)),IF(C262="",FALSE,IF(ISNUMBER(C262),OR(C262&lt;=0,C262&gt;100000000,ROUND(C262*100,6)&lt;&gt;INT(ROUND(C262*100,6))),TRUE)),IF(D262="",FALSE,IF(ISNUMBER(D262),OR(D262&lt;=0,D262&gt;100000000,ROUND(D262*100,6)&lt;&gt;INT(ROUND(D262*100,6))),TRUE)),IF(E262="",FALSE,IF(ISNUMBER(E262),OR(E262&lt;=0,E262&gt;100000000,ROUND(E262*100,6)&lt;&gt;INT(ROUND(E262*100,6))),TRUE)),AND($D262&lt;&gt;"",$D262&lt;MAX($C262,$E262)),AND($E262&lt;&gt;"",$E262&gt;MIN($C262,IF($D262="",$C262,$D262))),COUNTIFS($A$2:$A$1001,$A262,$B$2:$B$1001,$B262)&gt;1),"INVALID",IFERROR(IF(IF(INDEX(Accounts!$T$2:$T$11,$F262),ROUND(IF($E262="",$C262,MIN($C262,$E262))-(H262),6)&lt;=0,ROUND(IF($E262="",$C262,MIN($C262,$E262))-(H262),6)&lt;0),"BREACHED","OK"),"INCOMPLETE")),"INVALID"))))</f>
        <v/>
      </c>
      <c r="J262" s="33">
        <f>IF(OR(I262="OK",I262="BREACHED"),-INT(ROUND(-(H262)*100,6))/100,I262)</f>
        <v/>
      </c>
    </row>
    <row r="263" ht="18" customHeight="1">
      <c r="A263" s="9" t="n"/>
      <c r="B263" s="32" t="n"/>
      <c r="C263" s="12" t="n"/>
      <c r="D263" s="12" t="n"/>
      <c r="E263" s="12" t="n"/>
      <c r="F263" s="15">
        <f>IFERROR(MATCH($A263,Accounts!$A$2:$A$11,0),"")</f>
        <v/>
      </c>
      <c r="G263" s="14">
        <f>IFERROR(IF(OR($A263="",$F263=""),"",IF(INDEX(Accounts!$P$2:$P$11,$F263)="static",INDEX(Accounts!$Q$2:$Q$11,$F263),IF(INDEX(Accounts!$P$2:$P$11,$F263)="eod_trailing",MAX(INDEX(Accounts!$Q$2:$Q$11,$F263),_xlfn.MAXIFS($C$2:$C$1001,$A$2:$A$1001,$A263,$B$2:$B$1001,"&lt;"&amp;$B263)),MAX(INDEX(Accounts!$Q$2:$Q$11,$F263),_xlfn.MAXIFS($C$2:$C$1001,$A$2:$A$1001,$A263,$B$2:$B$1001,"&lt;"&amp;$B263),_xlfn.MAXIFS($D$2:$D$1001,$A$2:$A$1001,$A263,$B$2:$B$1001,"&lt;="&amp;$B263),$C263)))),"")</f>
        <v/>
      </c>
      <c r="H263" s="15">
        <f>IFERROR(IF(G263="","",IF(INDEX(Accounts!$P$2:$P$11,$F263)="static",INDEX(Accounts!$Q$2:$Q$11,$F263)-INDEX(Accounts!$R$2:$R$11,$F263),IF(INDEX(Accounts!$S$2:$S$11,$F263)="NONE",G263-INDEX(Accounts!$R$2:$R$11,$F263),MIN(G263-INDEX(Accounts!$R$2:$R$11,$F263),INDEX(Accounts!$Q$2:$Q$11,$F263)+INDEX(Accounts!$S$2:$S$11,$F263))))),"")</f>
        <v/>
      </c>
      <c r="I263" s="16">
        <f>IF(AND($A263="",$B263="",$C263="",$D263="",$E263=""),"",IF(OR($A263="",$F263=""),"UNKNOWN_ACCOUNT",IF(OR($B263="",$C263=""),"INCOMPLETE",IFERROR(IF(OR(NOT(ISNUMBER($B263)),NOT(ISNUMBER($C263)),IF(C263="",FALSE,IF(ISNUMBER(C263),OR(C263&lt;=0,C263&gt;100000000,ROUND(C263*100,6)&lt;&gt;INT(ROUND(C263*100,6))),TRUE)),IF(D263="",FALSE,IF(ISNUMBER(D263),OR(D263&lt;=0,D263&gt;100000000,ROUND(D263*100,6)&lt;&gt;INT(ROUND(D263*100,6))),TRUE)),IF(E263="",FALSE,IF(ISNUMBER(E263),OR(E263&lt;=0,E263&gt;100000000,ROUND(E263*100,6)&lt;&gt;INT(ROUND(E263*100,6))),TRUE)),AND($D263&lt;&gt;"",$D263&lt;MAX($C263,$E263)),AND($E263&lt;&gt;"",$E263&gt;MIN($C263,IF($D263="",$C263,$D263))),COUNTIFS($A$2:$A$1001,$A263,$B$2:$B$1001,$B263)&gt;1),"INVALID",IFERROR(IF(IF(INDEX(Accounts!$T$2:$T$11,$F263),ROUND(IF($E263="",$C263,MIN($C263,$E263))-(H263),6)&lt;=0,ROUND(IF($E263="",$C263,MIN($C263,$E263))-(H263),6)&lt;0),"BREACHED","OK"),"INCOMPLETE")),"INVALID"))))</f>
        <v/>
      </c>
      <c r="J263" s="33">
        <f>IF(OR(I263="OK",I263="BREACHED"),-INT(ROUND(-(H263)*100,6))/100,I263)</f>
        <v/>
      </c>
    </row>
    <row r="264" ht="18" customHeight="1">
      <c r="A264" s="9" t="n"/>
      <c r="B264" s="32" t="n"/>
      <c r="C264" s="12" t="n"/>
      <c r="D264" s="12" t="n"/>
      <c r="E264" s="12" t="n"/>
      <c r="F264" s="15">
        <f>IFERROR(MATCH($A264,Accounts!$A$2:$A$11,0),"")</f>
        <v/>
      </c>
      <c r="G264" s="14">
        <f>IFERROR(IF(OR($A264="",$F264=""),"",IF(INDEX(Accounts!$P$2:$P$11,$F264)="static",INDEX(Accounts!$Q$2:$Q$11,$F264),IF(INDEX(Accounts!$P$2:$P$11,$F264)="eod_trailing",MAX(INDEX(Accounts!$Q$2:$Q$11,$F264),_xlfn.MAXIFS($C$2:$C$1001,$A$2:$A$1001,$A264,$B$2:$B$1001,"&lt;"&amp;$B264)),MAX(INDEX(Accounts!$Q$2:$Q$11,$F264),_xlfn.MAXIFS($C$2:$C$1001,$A$2:$A$1001,$A264,$B$2:$B$1001,"&lt;"&amp;$B264),_xlfn.MAXIFS($D$2:$D$1001,$A$2:$A$1001,$A264,$B$2:$B$1001,"&lt;="&amp;$B264),$C264)))),"")</f>
        <v/>
      </c>
      <c r="H264" s="15">
        <f>IFERROR(IF(G264="","",IF(INDEX(Accounts!$P$2:$P$11,$F264)="static",INDEX(Accounts!$Q$2:$Q$11,$F264)-INDEX(Accounts!$R$2:$R$11,$F264),IF(INDEX(Accounts!$S$2:$S$11,$F264)="NONE",G264-INDEX(Accounts!$R$2:$R$11,$F264),MIN(G264-INDEX(Accounts!$R$2:$R$11,$F264),INDEX(Accounts!$Q$2:$Q$11,$F264)+INDEX(Accounts!$S$2:$S$11,$F264))))),"")</f>
        <v/>
      </c>
      <c r="I264" s="16">
        <f>IF(AND($A264="",$B264="",$C264="",$D264="",$E264=""),"",IF(OR($A264="",$F264=""),"UNKNOWN_ACCOUNT",IF(OR($B264="",$C264=""),"INCOMPLETE",IFERROR(IF(OR(NOT(ISNUMBER($B264)),NOT(ISNUMBER($C264)),IF(C264="",FALSE,IF(ISNUMBER(C264),OR(C264&lt;=0,C264&gt;100000000,ROUND(C264*100,6)&lt;&gt;INT(ROUND(C264*100,6))),TRUE)),IF(D264="",FALSE,IF(ISNUMBER(D264),OR(D264&lt;=0,D264&gt;100000000,ROUND(D264*100,6)&lt;&gt;INT(ROUND(D264*100,6))),TRUE)),IF(E264="",FALSE,IF(ISNUMBER(E264),OR(E264&lt;=0,E264&gt;100000000,ROUND(E264*100,6)&lt;&gt;INT(ROUND(E264*100,6))),TRUE)),AND($D264&lt;&gt;"",$D264&lt;MAX($C264,$E264)),AND($E264&lt;&gt;"",$E264&gt;MIN($C264,IF($D264="",$C264,$D264))),COUNTIFS($A$2:$A$1001,$A264,$B$2:$B$1001,$B264)&gt;1),"INVALID",IFERROR(IF(IF(INDEX(Accounts!$T$2:$T$11,$F264),ROUND(IF($E264="",$C264,MIN($C264,$E264))-(H264),6)&lt;=0,ROUND(IF($E264="",$C264,MIN($C264,$E264))-(H264),6)&lt;0),"BREACHED","OK"),"INCOMPLETE")),"INVALID"))))</f>
        <v/>
      </c>
      <c r="J264" s="33">
        <f>IF(OR(I264="OK",I264="BREACHED"),-INT(ROUND(-(H264)*100,6))/100,I264)</f>
        <v/>
      </c>
    </row>
    <row r="265" ht="18" customHeight="1">
      <c r="A265" s="9" t="n"/>
      <c r="B265" s="32" t="n"/>
      <c r="C265" s="12" t="n"/>
      <c r="D265" s="12" t="n"/>
      <c r="E265" s="12" t="n"/>
      <c r="F265" s="15">
        <f>IFERROR(MATCH($A265,Accounts!$A$2:$A$11,0),"")</f>
        <v/>
      </c>
      <c r="G265" s="14">
        <f>IFERROR(IF(OR($A265="",$F265=""),"",IF(INDEX(Accounts!$P$2:$P$11,$F265)="static",INDEX(Accounts!$Q$2:$Q$11,$F265),IF(INDEX(Accounts!$P$2:$P$11,$F265)="eod_trailing",MAX(INDEX(Accounts!$Q$2:$Q$11,$F265),_xlfn.MAXIFS($C$2:$C$1001,$A$2:$A$1001,$A265,$B$2:$B$1001,"&lt;"&amp;$B265)),MAX(INDEX(Accounts!$Q$2:$Q$11,$F265),_xlfn.MAXIFS($C$2:$C$1001,$A$2:$A$1001,$A265,$B$2:$B$1001,"&lt;"&amp;$B265),_xlfn.MAXIFS($D$2:$D$1001,$A$2:$A$1001,$A265,$B$2:$B$1001,"&lt;="&amp;$B265),$C265)))),"")</f>
        <v/>
      </c>
      <c r="H265" s="15">
        <f>IFERROR(IF(G265="","",IF(INDEX(Accounts!$P$2:$P$11,$F265)="static",INDEX(Accounts!$Q$2:$Q$11,$F265)-INDEX(Accounts!$R$2:$R$11,$F265),IF(INDEX(Accounts!$S$2:$S$11,$F265)="NONE",G265-INDEX(Accounts!$R$2:$R$11,$F265),MIN(G265-INDEX(Accounts!$R$2:$R$11,$F265),INDEX(Accounts!$Q$2:$Q$11,$F265)+INDEX(Accounts!$S$2:$S$11,$F265))))),"")</f>
        <v/>
      </c>
      <c r="I265" s="16">
        <f>IF(AND($A265="",$B265="",$C265="",$D265="",$E265=""),"",IF(OR($A265="",$F265=""),"UNKNOWN_ACCOUNT",IF(OR($B265="",$C265=""),"INCOMPLETE",IFERROR(IF(OR(NOT(ISNUMBER($B265)),NOT(ISNUMBER($C265)),IF(C265="",FALSE,IF(ISNUMBER(C265),OR(C265&lt;=0,C265&gt;100000000,ROUND(C265*100,6)&lt;&gt;INT(ROUND(C265*100,6))),TRUE)),IF(D265="",FALSE,IF(ISNUMBER(D265),OR(D265&lt;=0,D265&gt;100000000,ROUND(D265*100,6)&lt;&gt;INT(ROUND(D265*100,6))),TRUE)),IF(E265="",FALSE,IF(ISNUMBER(E265),OR(E265&lt;=0,E265&gt;100000000,ROUND(E265*100,6)&lt;&gt;INT(ROUND(E265*100,6))),TRUE)),AND($D265&lt;&gt;"",$D265&lt;MAX($C265,$E265)),AND($E265&lt;&gt;"",$E265&gt;MIN($C265,IF($D265="",$C265,$D265))),COUNTIFS($A$2:$A$1001,$A265,$B$2:$B$1001,$B265)&gt;1),"INVALID",IFERROR(IF(IF(INDEX(Accounts!$T$2:$T$11,$F265),ROUND(IF($E265="",$C265,MIN($C265,$E265))-(H265),6)&lt;=0,ROUND(IF($E265="",$C265,MIN($C265,$E265))-(H265),6)&lt;0),"BREACHED","OK"),"INCOMPLETE")),"INVALID"))))</f>
        <v/>
      </c>
      <c r="J265" s="33">
        <f>IF(OR(I265="OK",I265="BREACHED"),-INT(ROUND(-(H265)*100,6))/100,I265)</f>
        <v/>
      </c>
    </row>
    <row r="266" ht="18" customHeight="1">
      <c r="A266" s="9" t="n"/>
      <c r="B266" s="32" t="n"/>
      <c r="C266" s="12" t="n"/>
      <c r="D266" s="12" t="n"/>
      <c r="E266" s="12" t="n"/>
      <c r="F266" s="15">
        <f>IFERROR(MATCH($A266,Accounts!$A$2:$A$11,0),"")</f>
        <v/>
      </c>
      <c r="G266" s="14">
        <f>IFERROR(IF(OR($A266="",$F266=""),"",IF(INDEX(Accounts!$P$2:$P$11,$F266)="static",INDEX(Accounts!$Q$2:$Q$11,$F266),IF(INDEX(Accounts!$P$2:$P$11,$F266)="eod_trailing",MAX(INDEX(Accounts!$Q$2:$Q$11,$F266),_xlfn.MAXIFS($C$2:$C$1001,$A$2:$A$1001,$A266,$B$2:$B$1001,"&lt;"&amp;$B266)),MAX(INDEX(Accounts!$Q$2:$Q$11,$F266),_xlfn.MAXIFS($C$2:$C$1001,$A$2:$A$1001,$A266,$B$2:$B$1001,"&lt;"&amp;$B266),_xlfn.MAXIFS($D$2:$D$1001,$A$2:$A$1001,$A266,$B$2:$B$1001,"&lt;="&amp;$B266),$C266)))),"")</f>
        <v/>
      </c>
      <c r="H266" s="15">
        <f>IFERROR(IF(G266="","",IF(INDEX(Accounts!$P$2:$P$11,$F266)="static",INDEX(Accounts!$Q$2:$Q$11,$F266)-INDEX(Accounts!$R$2:$R$11,$F266),IF(INDEX(Accounts!$S$2:$S$11,$F266)="NONE",G266-INDEX(Accounts!$R$2:$R$11,$F266),MIN(G266-INDEX(Accounts!$R$2:$R$11,$F266),INDEX(Accounts!$Q$2:$Q$11,$F266)+INDEX(Accounts!$S$2:$S$11,$F266))))),"")</f>
        <v/>
      </c>
      <c r="I266" s="16">
        <f>IF(AND($A266="",$B266="",$C266="",$D266="",$E266=""),"",IF(OR($A266="",$F266=""),"UNKNOWN_ACCOUNT",IF(OR($B266="",$C266=""),"INCOMPLETE",IFERROR(IF(OR(NOT(ISNUMBER($B266)),NOT(ISNUMBER($C266)),IF(C266="",FALSE,IF(ISNUMBER(C266),OR(C266&lt;=0,C266&gt;100000000,ROUND(C266*100,6)&lt;&gt;INT(ROUND(C266*100,6))),TRUE)),IF(D266="",FALSE,IF(ISNUMBER(D266),OR(D266&lt;=0,D266&gt;100000000,ROUND(D266*100,6)&lt;&gt;INT(ROUND(D266*100,6))),TRUE)),IF(E266="",FALSE,IF(ISNUMBER(E266),OR(E266&lt;=0,E266&gt;100000000,ROUND(E266*100,6)&lt;&gt;INT(ROUND(E266*100,6))),TRUE)),AND($D266&lt;&gt;"",$D266&lt;MAX($C266,$E266)),AND($E266&lt;&gt;"",$E266&gt;MIN($C266,IF($D266="",$C266,$D266))),COUNTIFS($A$2:$A$1001,$A266,$B$2:$B$1001,$B266)&gt;1),"INVALID",IFERROR(IF(IF(INDEX(Accounts!$T$2:$T$11,$F266),ROUND(IF($E266="",$C266,MIN($C266,$E266))-(H266),6)&lt;=0,ROUND(IF($E266="",$C266,MIN($C266,$E266))-(H266),6)&lt;0),"BREACHED","OK"),"INCOMPLETE")),"INVALID"))))</f>
        <v/>
      </c>
      <c r="J266" s="33">
        <f>IF(OR(I266="OK",I266="BREACHED"),-INT(ROUND(-(H266)*100,6))/100,I266)</f>
        <v/>
      </c>
    </row>
    <row r="267" ht="18" customHeight="1">
      <c r="A267" s="9" t="n"/>
      <c r="B267" s="32" t="n"/>
      <c r="C267" s="12" t="n"/>
      <c r="D267" s="12" t="n"/>
      <c r="E267" s="12" t="n"/>
      <c r="F267" s="15">
        <f>IFERROR(MATCH($A267,Accounts!$A$2:$A$11,0),"")</f>
        <v/>
      </c>
      <c r="G267" s="14">
        <f>IFERROR(IF(OR($A267="",$F267=""),"",IF(INDEX(Accounts!$P$2:$P$11,$F267)="static",INDEX(Accounts!$Q$2:$Q$11,$F267),IF(INDEX(Accounts!$P$2:$P$11,$F267)="eod_trailing",MAX(INDEX(Accounts!$Q$2:$Q$11,$F267),_xlfn.MAXIFS($C$2:$C$1001,$A$2:$A$1001,$A267,$B$2:$B$1001,"&lt;"&amp;$B267)),MAX(INDEX(Accounts!$Q$2:$Q$11,$F267),_xlfn.MAXIFS($C$2:$C$1001,$A$2:$A$1001,$A267,$B$2:$B$1001,"&lt;"&amp;$B267),_xlfn.MAXIFS($D$2:$D$1001,$A$2:$A$1001,$A267,$B$2:$B$1001,"&lt;="&amp;$B267),$C267)))),"")</f>
        <v/>
      </c>
      <c r="H267" s="15">
        <f>IFERROR(IF(G267="","",IF(INDEX(Accounts!$P$2:$P$11,$F267)="static",INDEX(Accounts!$Q$2:$Q$11,$F267)-INDEX(Accounts!$R$2:$R$11,$F267),IF(INDEX(Accounts!$S$2:$S$11,$F267)="NONE",G267-INDEX(Accounts!$R$2:$R$11,$F267),MIN(G267-INDEX(Accounts!$R$2:$R$11,$F267),INDEX(Accounts!$Q$2:$Q$11,$F267)+INDEX(Accounts!$S$2:$S$11,$F267))))),"")</f>
        <v/>
      </c>
      <c r="I267" s="16">
        <f>IF(AND($A267="",$B267="",$C267="",$D267="",$E267=""),"",IF(OR($A267="",$F267=""),"UNKNOWN_ACCOUNT",IF(OR($B267="",$C267=""),"INCOMPLETE",IFERROR(IF(OR(NOT(ISNUMBER($B267)),NOT(ISNUMBER($C267)),IF(C267="",FALSE,IF(ISNUMBER(C267),OR(C267&lt;=0,C267&gt;100000000,ROUND(C267*100,6)&lt;&gt;INT(ROUND(C267*100,6))),TRUE)),IF(D267="",FALSE,IF(ISNUMBER(D267),OR(D267&lt;=0,D267&gt;100000000,ROUND(D267*100,6)&lt;&gt;INT(ROUND(D267*100,6))),TRUE)),IF(E267="",FALSE,IF(ISNUMBER(E267),OR(E267&lt;=0,E267&gt;100000000,ROUND(E267*100,6)&lt;&gt;INT(ROUND(E267*100,6))),TRUE)),AND($D267&lt;&gt;"",$D267&lt;MAX($C267,$E267)),AND($E267&lt;&gt;"",$E267&gt;MIN($C267,IF($D267="",$C267,$D267))),COUNTIFS($A$2:$A$1001,$A267,$B$2:$B$1001,$B267)&gt;1),"INVALID",IFERROR(IF(IF(INDEX(Accounts!$T$2:$T$11,$F267),ROUND(IF($E267="",$C267,MIN($C267,$E267))-(H267),6)&lt;=0,ROUND(IF($E267="",$C267,MIN($C267,$E267))-(H267),6)&lt;0),"BREACHED","OK"),"INCOMPLETE")),"INVALID"))))</f>
        <v/>
      </c>
      <c r="J267" s="33">
        <f>IF(OR(I267="OK",I267="BREACHED"),-INT(ROUND(-(H267)*100,6))/100,I267)</f>
        <v/>
      </c>
    </row>
    <row r="268" ht="18" customHeight="1">
      <c r="A268" s="9" t="n"/>
      <c r="B268" s="32" t="n"/>
      <c r="C268" s="12" t="n"/>
      <c r="D268" s="12" t="n"/>
      <c r="E268" s="12" t="n"/>
      <c r="F268" s="15">
        <f>IFERROR(MATCH($A268,Accounts!$A$2:$A$11,0),"")</f>
        <v/>
      </c>
      <c r="G268" s="14">
        <f>IFERROR(IF(OR($A268="",$F268=""),"",IF(INDEX(Accounts!$P$2:$P$11,$F268)="static",INDEX(Accounts!$Q$2:$Q$11,$F268),IF(INDEX(Accounts!$P$2:$P$11,$F268)="eod_trailing",MAX(INDEX(Accounts!$Q$2:$Q$11,$F268),_xlfn.MAXIFS($C$2:$C$1001,$A$2:$A$1001,$A268,$B$2:$B$1001,"&lt;"&amp;$B268)),MAX(INDEX(Accounts!$Q$2:$Q$11,$F268),_xlfn.MAXIFS($C$2:$C$1001,$A$2:$A$1001,$A268,$B$2:$B$1001,"&lt;"&amp;$B268),_xlfn.MAXIFS($D$2:$D$1001,$A$2:$A$1001,$A268,$B$2:$B$1001,"&lt;="&amp;$B268),$C268)))),"")</f>
        <v/>
      </c>
      <c r="H268" s="15">
        <f>IFERROR(IF(G268="","",IF(INDEX(Accounts!$P$2:$P$11,$F268)="static",INDEX(Accounts!$Q$2:$Q$11,$F268)-INDEX(Accounts!$R$2:$R$11,$F268),IF(INDEX(Accounts!$S$2:$S$11,$F268)="NONE",G268-INDEX(Accounts!$R$2:$R$11,$F268),MIN(G268-INDEX(Accounts!$R$2:$R$11,$F268),INDEX(Accounts!$Q$2:$Q$11,$F268)+INDEX(Accounts!$S$2:$S$11,$F268))))),"")</f>
        <v/>
      </c>
      <c r="I268" s="16">
        <f>IF(AND($A268="",$B268="",$C268="",$D268="",$E268=""),"",IF(OR($A268="",$F268=""),"UNKNOWN_ACCOUNT",IF(OR($B268="",$C268=""),"INCOMPLETE",IFERROR(IF(OR(NOT(ISNUMBER($B268)),NOT(ISNUMBER($C268)),IF(C268="",FALSE,IF(ISNUMBER(C268),OR(C268&lt;=0,C268&gt;100000000,ROUND(C268*100,6)&lt;&gt;INT(ROUND(C268*100,6))),TRUE)),IF(D268="",FALSE,IF(ISNUMBER(D268),OR(D268&lt;=0,D268&gt;100000000,ROUND(D268*100,6)&lt;&gt;INT(ROUND(D268*100,6))),TRUE)),IF(E268="",FALSE,IF(ISNUMBER(E268),OR(E268&lt;=0,E268&gt;100000000,ROUND(E268*100,6)&lt;&gt;INT(ROUND(E268*100,6))),TRUE)),AND($D268&lt;&gt;"",$D268&lt;MAX($C268,$E268)),AND($E268&lt;&gt;"",$E268&gt;MIN($C268,IF($D268="",$C268,$D268))),COUNTIFS($A$2:$A$1001,$A268,$B$2:$B$1001,$B268)&gt;1),"INVALID",IFERROR(IF(IF(INDEX(Accounts!$T$2:$T$11,$F268),ROUND(IF($E268="",$C268,MIN($C268,$E268))-(H268),6)&lt;=0,ROUND(IF($E268="",$C268,MIN($C268,$E268))-(H268),6)&lt;0),"BREACHED","OK"),"INCOMPLETE")),"INVALID"))))</f>
        <v/>
      </c>
      <c r="J268" s="33">
        <f>IF(OR(I268="OK",I268="BREACHED"),-INT(ROUND(-(H268)*100,6))/100,I268)</f>
        <v/>
      </c>
    </row>
    <row r="269" ht="18" customHeight="1">
      <c r="A269" s="9" t="n"/>
      <c r="B269" s="32" t="n"/>
      <c r="C269" s="12" t="n"/>
      <c r="D269" s="12" t="n"/>
      <c r="E269" s="12" t="n"/>
      <c r="F269" s="15">
        <f>IFERROR(MATCH($A269,Accounts!$A$2:$A$11,0),"")</f>
        <v/>
      </c>
      <c r="G269" s="14">
        <f>IFERROR(IF(OR($A269="",$F269=""),"",IF(INDEX(Accounts!$P$2:$P$11,$F269)="static",INDEX(Accounts!$Q$2:$Q$11,$F269),IF(INDEX(Accounts!$P$2:$P$11,$F269)="eod_trailing",MAX(INDEX(Accounts!$Q$2:$Q$11,$F269),_xlfn.MAXIFS($C$2:$C$1001,$A$2:$A$1001,$A269,$B$2:$B$1001,"&lt;"&amp;$B269)),MAX(INDEX(Accounts!$Q$2:$Q$11,$F269),_xlfn.MAXIFS($C$2:$C$1001,$A$2:$A$1001,$A269,$B$2:$B$1001,"&lt;"&amp;$B269),_xlfn.MAXIFS($D$2:$D$1001,$A$2:$A$1001,$A269,$B$2:$B$1001,"&lt;="&amp;$B269),$C269)))),"")</f>
        <v/>
      </c>
      <c r="H269" s="15">
        <f>IFERROR(IF(G269="","",IF(INDEX(Accounts!$P$2:$P$11,$F269)="static",INDEX(Accounts!$Q$2:$Q$11,$F269)-INDEX(Accounts!$R$2:$R$11,$F269),IF(INDEX(Accounts!$S$2:$S$11,$F269)="NONE",G269-INDEX(Accounts!$R$2:$R$11,$F269),MIN(G269-INDEX(Accounts!$R$2:$R$11,$F269),INDEX(Accounts!$Q$2:$Q$11,$F269)+INDEX(Accounts!$S$2:$S$11,$F269))))),"")</f>
        <v/>
      </c>
      <c r="I269" s="16">
        <f>IF(AND($A269="",$B269="",$C269="",$D269="",$E269=""),"",IF(OR($A269="",$F269=""),"UNKNOWN_ACCOUNT",IF(OR($B269="",$C269=""),"INCOMPLETE",IFERROR(IF(OR(NOT(ISNUMBER($B269)),NOT(ISNUMBER($C269)),IF(C269="",FALSE,IF(ISNUMBER(C269),OR(C269&lt;=0,C269&gt;100000000,ROUND(C269*100,6)&lt;&gt;INT(ROUND(C269*100,6))),TRUE)),IF(D269="",FALSE,IF(ISNUMBER(D269),OR(D269&lt;=0,D269&gt;100000000,ROUND(D269*100,6)&lt;&gt;INT(ROUND(D269*100,6))),TRUE)),IF(E269="",FALSE,IF(ISNUMBER(E269),OR(E269&lt;=0,E269&gt;100000000,ROUND(E269*100,6)&lt;&gt;INT(ROUND(E269*100,6))),TRUE)),AND($D269&lt;&gt;"",$D269&lt;MAX($C269,$E269)),AND($E269&lt;&gt;"",$E269&gt;MIN($C269,IF($D269="",$C269,$D269))),COUNTIFS($A$2:$A$1001,$A269,$B$2:$B$1001,$B269)&gt;1),"INVALID",IFERROR(IF(IF(INDEX(Accounts!$T$2:$T$11,$F269),ROUND(IF($E269="",$C269,MIN($C269,$E269))-(H269),6)&lt;=0,ROUND(IF($E269="",$C269,MIN($C269,$E269))-(H269),6)&lt;0),"BREACHED","OK"),"INCOMPLETE")),"INVALID"))))</f>
        <v/>
      </c>
      <c r="J269" s="33">
        <f>IF(OR(I269="OK",I269="BREACHED"),-INT(ROUND(-(H269)*100,6))/100,I269)</f>
        <v/>
      </c>
    </row>
    <row r="270" ht="18" customHeight="1">
      <c r="A270" s="9" t="n"/>
      <c r="B270" s="32" t="n"/>
      <c r="C270" s="12" t="n"/>
      <c r="D270" s="12" t="n"/>
      <c r="E270" s="12" t="n"/>
      <c r="F270" s="15">
        <f>IFERROR(MATCH($A270,Accounts!$A$2:$A$11,0),"")</f>
        <v/>
      </c>
      <c r="G270" s="14">
        <f>IFERROR(IF(OR($A270="",$F270=""),"",IF(INDEX(Accounts!$P$2:$P$11,$F270)="static",INDEX(Accounts!$Q$2:$Q$11,$F270),IF(INDEX(Accounts!$P$2:$P$11,$F270)="eod_trailing",MAX(INDEX(Accounts!$Q$2:$Q$11,$F270),_xlfn.MAXIFS($C$2:$C$1001,$A$2:$A$1001,$A270,$B$2:$B$1001,"&lt;"&amp;$B270)),MAX(INDEX(Accounts!$Q$2:$Q$11,$F270),_xlfn.MAXIFS($C$2:$C$1001,$A$2:$A$1001,$A270,$B$2:$B$1001,"&lt;"&amp;$B270),_xlfn.MAXIFS($D$2:$D$1001,$A$2:$A$1001,$A270,$B$2:$B$1001,"&lt;="&amp;$B270),$C270)))),"")</f>
        <v/>
      </c>
      <c r="H270" s="15">
        <f>IFERROR(IF(G270="","",IF(INDEX(Accounts!$P$2:$P$11,$F270)="static",INDEX(Accounts!$Q$2:$Q$11,$F270)-INDEX(Accounts!$R$2:$R$11,$F270),IF(INDEX(Accounts!$S$2:$S$11,$F270)="NONE",G270-INDEX(Accounts!$R$2:$R$11,$F270),MIN(G270-INDEX(Accounts!$R$2:$R$11,$F270),INDEX(Accounts!$Q$2:$Q$11,$F270)+INDEX(Accounts!$S$2:$S$11,$F270))))),"")</f>
        <v/>
      </c>
      <c r="I270" s="16">
        <f>IF(AND($A270="",$B270="",$C270="",$D270="",$E270=""),"",IF(OR($A270="",$F270=""),"UNKNOWN_ACCOUNT",IF(OR($B270="",$C270=""),"INCOMPLETE",IFERROR(IF(OR(NOT(ISNUMBER($B270)),NOT(ISNUMBER($C270)),IF(C270="",FALSE,IF(ISNUMBER(C270),OR(C270&lt;=0,C270&gt;100000000,ROUND(C270*100,6)&lt;&gt;INT(ROUND(C270*100,6))),TRUE)),IF(D270="",FALSE,IF(ISNUMBER(D270),OR(D270&lt;=0,D270&gt;100000000,ROUND(D270*100,6)&lt;&gt;INT(ROUND(D270*100,6))),TRUE)),IF(E270="",FALSE,IF(ISNUMBER(E270),OR(E270&lt;=0,E270&gt;100000000,ROUND(E270*100,6)&lt;&gt;INT(ROUND(E270*100,6))),TRUE)),AND($D270&lt;&gt;"",$D270&lt;MAX($C270,$E270)),AND($E270&lt;&gt;"",$E270&gt;MIN($C270,IF($D270="",$C270,$D270))),COUNTIFS($A$2:$A$1001,$A270,$B$2:$B$1001,$B270)&gt;1),"INVALID",IFERROR(IF(IF(INDEX(Accounts!$T$2:$T$11,$F270),ROUND(IF($E270="",$C270,MIN($C270,$E270))-(H270),6)&lt;=0,ROUND(IF($E270="",$C270,MIN($C270,$E270))-(H270),6)&lt;0),"BREACHED","OK"),"INCOMPLETE")),"INVALID"))))</f>
        <v/>
      </c>
      <c r="J270" s="33">
        <f>IF(OR(I270="OK",I270="BREACHED"),-INT(ROUND(-(H270)*100,6))/100,I270)</f>
        <v/>
      </c>
    </row>
    <row r="271" ht="18" customHeight="1">
      <c r="A271" s="9" t="n"/>
      <c r="B271" s="32" t="n"/>
      <c r="C271" s="12" t="n"/>
      <c r="D271" s="12" t="n"/>
      <c r="E271" s="12" t="n"/>
      <c r="F271" s="15">
        <f>IFERROR(MATCH($A271,Accounts!$A$2:$A$11,0),"")</f>
        <v/>
      </c>
      <c r="G271" s="14">
        <f>IFERROR(IF(OR($A271="",$F271=""),"",IF(INDEX(Accounts!$P$2:$P$11,$F271)="static",INDEX(Accounts!$Q$2:$Q$11,$F271),IF(INDEX(Accounts!$P$2:$P$11,$F271)="eod_trailing",MAX(INDEX(Accounts!$Q$2:$Q$11,$F271),_xlfn.MAXIFS($C$2:$C$1001,$A$2:$A$1001,$A271,$B$2:$B$1001,"&lt;"&amp;$B271)),MAX(INDEX(Accounts!$Q$2:$Q$11,$F271),_xlfn.MAXIFS($C$2:$C$1001,$A$2:$A$1001,$A271,$B$2:$B$1001,"&lt;"&amp;$B271),_xlfn.MAXIFS($D$2:$D$1001,$A$2:$A$1001,$A271,$B$2:$B$1001,"&lt;="&amp;$B271),$C271)))),"")</f>
        <v/>
      </c>
      <c r="H271" s="15">
        <f>IFERROR(IF(G271="","",IF(INDEX(Accounts!$P$2:$P$11,$F271)="static",INDEX(Accounts!$Q$2:$Q$11,$F271)-INDEX(Accounts!$R$2:$R$11,$F271),IF(INDEX(Accounts!$S$2:$S$11,$F271)="NONE",G271-INDEX(Accounts!$R$2:$R$11,$F271),MIN(G271-INDEX(Accounts!$R$2:$R$11,$F271),INDEX(Accounts!$Q$2:$Q$11,$F271)+INDEX(Accounts!$S$2:$S$11,$F271))))),"")</f>
        <v/>
      </c>
      <c r="I271" s="16">
        <f>IF(AND($A271="",$B271="",$C271="",$D271="",$E271=""),"",IF(OR($A271="",$F271=""),"UNKNOWN_ACCOUNT",IF(OR($B271="",$C271=""),"INCOMPLETE",IFERROR(IF(OR(NOT(ISNUMBER($B271)),NOT(ISNUMBER($C271)),IF(C271="",FALSE,IF(ISNUMBER(C271),OR(C271&lt;=0,C271&gt;100000000,ROUND(C271*100,6)&lt;&gt;INT(ROUND(C271*100,6))),TRUE)),IF(D271="",FALSE,IF(ISNUMBER(D271),OR(D271&lt;=0,D271&gt;100000000,ROUND(D271*100,6)&lt;&gt;INT(ROUND(D271*100,6))),TRUE)),IF(E271="",FALSE,IF(ISNUMBER(E271),OR(E271&lt;=0,E271&gt;100000000,ROUND(E271*100,6)&lt;&gt;INT(ROUND(E271*100,6))),TRUE)),AND($D271&lt;&gt;"",$D271&lt;MAX($C271,$E271)),AND($E271&lt;&gt;"",$E271&gt;MIN($C271,IF($D271="",$C271,$D271))),COUNTIFS($A$2:$A$1001,$A271,$B$2:$B$1001,$B271)&gt;1),"INVALID",IFERROR(IF(IF(INDEX(Accounts!$T$2:$T$11,$F271),ROUND(IF($E271="",$C271,MIN($C271,$E271))-(H271),6)&lt;=0,ROUND(IF($E271="",$C271,MIN($C271,$E271))-(H271),6)&lt;0),"BREACHED","OK"),"INCOMPLETE")),"INVALID"))))</f>
        <v/>
      </c>
      <c r="J271" s="33">
        <f>IF(OR(I271="OK",I271="BREACHED"),-INT(ROUND(-(H271)*100,6))/100,I271)</f>
        <v/>
      </c>
    </row>
    <row r="272" ht="18" customHeight="1">
      <c r="A272" s="9" t="n"/>
      <c r="B272" s="32" t="n"/>
      <c r="C272" s="12" t="n"/>
      <c r="D272" s="12" t="n"/>
      <c r="E272" s="12" t="n"/>
      <c r="F272" s="15">
        <f>IFERROR(MATCH($A272,Accounts!$A$2:$A$11,0),"")</f>
        <v/>
      </c>
      <c r="G272" s="14">
        <f>IFERROR(IF(OR($A272="",$F272=""),"",IF(INDEX(Accounts!$P$2:$P$11,$F272)="static",INDEX(Accounts!$Q$2:$Q$11,$F272),IF(INDEX(Accounts!$P$2:$P$11,$F272)="eod_trailing",MAX(INDEX(Accounts!$Q$2:$Q$11,$F272),_xlfn.MAXIFS($C$2:$C$1001,$A$2:$A$1001,$A272,$B$2:$B$1001,"&lt;"&amp;$B272)),MAX(INDEX(Accounts!$Q$2:$Q$11,$F272),_xlfn.MAXIFS($C$2:$C$1001,$A$2:$A$1001,$A272,$B$2:$B$1001,"&lt;"&amp;$B272),_xlfn.MAXIFS($D$2:$D$1001,$A$2:$A$1001,$A272,$B$2:$B$1001,"&lt;="&amp;$B272),$C272)))),"")</f>
        <v/>
      </c>
      <c r="H272" s="15">
        <f>IFERROR(IF(G272="","",IF(INDEX(Accounts!$P$2:$P$11,$F272)="static",INDEX(Accounts!$Q$2:$Q$11,$F272)-INDEX(Accounts!$R$2:$R$11,$F272),IF(INDEX(Accounts!$S$2:$S$11,$F272)="NONE",G272-INDEX(Accounts!$R$2:$R$11,$F272),MIN(G272-INDEX(Accounts!$R$2:$R$11,$F272),INDEX(Accounts!$Q$2:$Q$11,$F272)+INDEX(Accounts!$S$2:$S$11,$F272))))),"")</f>
        <v/>
      </c>
      <c r="I272" s="16">
        <f>IF(AND($A272="",$B272="",$C272="",$D272="",$E272=""),"",IF(OR($A272="",$F272=""),"UNKNOWN_ACCOUNT",IF(OR($B272="",$C272=""),"INCOMPLETE",IFERROR(IF(OR(NOT(ISNUMBER($B272)),NOT(ISNUMBER($C272)),IF(C272="",FALSE,IF(ISNUMBER(C272),OR(C272&lt;=0,C272&gt;100000000,ROUND(C272*100,6)&lt;&gt;INT(ROUND(C272*100,6))),TRUE)),IF(D272="",FALSE,IF(ISNUMBER(D272),OR(D272&lt;=0,D272&gt;100000000,ROUND(D272*100,6)&lt;&gt;INT(ROUND(D272*100,6))),TRUE)),IF(E272="",FALSE,IF(ISNUMBER(E272),OR(E272&lt;=0,E272&gt;100000000,ROUND(E272*100,6)&lt;&gt;INT(ROUND(E272*100,6))),TRUE)),AND($D272&lt;&gt;"",$D272&lt;MAX($C272,$E272)),AND($E272&lt;&gt;"",$E272&gt;MIN($C272,IF($D272="",$C272,$D272))),COUNTIFS($A$2:$A$1001,$A272,$B$2:$B$1001,$B272)&gt;1),"INVALID",IFERROR(IF(IF(INDEX(Accounts!$T$2:$T$11,$F272),ROUND(IF($E272="",$C272,MIN($C272,$E272))-(H272),6)&lt;=0,ROUND(IF($E272="",$C272,MIN($C272,$E272))-(H272),6)&lt;0),"BREACHED","OK"),"INCOMPLETE")),"INVALID"))))</f>
        <v/>
      </c>
      <c r="J272" s="33">
        <f>IF(OR(I272="OK",I272="BREACHED"),-INT(ROUND(-(H272)*100,6))/100,I272)</f>
        <v/>
      </c>
    </row>
    <row r="273" ht="18" customHeight="1">
      <c r="A273" s="9" t="n"/>
      <c r="B273" s="32" t="n"/>
      <c r="C273" s="12" t="n"/>
      <c r="D273" s="12" t="n"/>
      <c r="E273" s="12" t="n"/>
      <c r="F273" s="15">
        <f>IFERROR(MATCH($A273,Accounts!$A$2:$A$11,0),"")</f>
        <v/>
      </c>
      <c r="G273" s="14">
        <f>IFERROR(IF(OR($A273="",$F273=""),"",IF(INDEX(Accounts!$P$2:$P$11,$F273)="static",INDEX(Accounts!$Q$2:$Q$11,$F273),IF(INDEX(Accounts!$P$2:$P$11,$F273)="eod_trailing",MAX(INDEX(Accounts!$Q$2:$Q$11,$F273),_xlfn.MAXIFS($C$2:$C$1001,$A$2:$A$1001,$A273,$B$2:$B$1001,"&lt;"&amp;$B273)),MAX(INDEX(Accounts!$Q$2:$Q$11,$F273),_xlfn.MAXIFS($C$2:$C$1001,$A$2:$A$1001,$A273,$B$2:$B$1001,"&lt;"&amp;$B273),_xlfn.MAXIFS($D$2:$D$1001,$A$2:$A$1001,$A273,$B$2:$B$1001,"&lt;="&amp;$B273),$C273)))),"")</f>
        <v/>
      </c>
      <c r="H273" s="15">
        <f>IFERROR(IF(G273="","",IF(INDEX(Accounts!$P$2:$P$11,$F273)="static",INDEX(Accounts!$Q$2:$Q$11,$F273)-INDEX(Accounts!$R$2:$R$11,$F273),IF(INDEX(Accounts!$S$2:$S$11,$F273)="NONE",G273-INDEX(Accounts!$R$2:$R$11,$F273),MIN(G273-INDEX(Accounts!$R$2:$R$11,$F273),INDEX(Accounts!$Q$2:$Q$11,$F273)+INDEX(Accounts!$S$2:$S$11,$F273))))),"")</f>
        <v/>
      </c>
      <c r="I273" s="16">
        <f>IF(AND($A273="",$B273="",$C273="",$D273="",$E273=""),"",IF(OR($A273="",$F273=""),"UNKNOWN_ACCOUNT",IF(OR($B273="",$C273=""),"INCOMPLETE",IFERROR(IF(OR(NOT(ISNUMBER($B273)),NOT(ISNUMBER($C273)),IF(C273="",FALSE,IF(ISNUMBER(C273),OR(C273&lt;=0,C273&gt;100000000,ROUND(C273*100,6)&lt;&gt;INT(ROUND(C273*100,6))),TRUE)),IF(D273="",FALSE,IF(ISNUMBER(D273),OR(D273&lt;=0,D273&gt;100000000,ROUND(D273*100,6)&lt;&gt;INT(ROUND(D273*100,6))),TRUE)),IF(E273="",FALSE,IF(ISNUMBER(E273),OR(E273&lt;=0,E273&gt;100000000,ROUND(E273*100,6)&lt;&gt;INT(ROUND(E273*100,6))),TRUE)),AND($D273&lt;&gt;"",$D273&lt;MAX($C273,$E273)),AND($E273&lt;&gt;"",$E273&gt;MIN($C273,IF($D273="",$C273,$D273))),COUNTIFS($A$2:$A$1001,$A273,$B$2:$B$1001,$B273)&gt;1),"INVALID",IFERROR(IF(IF(INDEX(Accounts!$T$2:$T$11,$F273),ROUND(IF($E273="",$C273,MIN($C273,$E273))-(H273),6)&lt;=0,ROUND(IF($E273="",$C273,MIN($C273,$E273))-(H273),6)&lt;0),"BREACHED","OK"),"INCOMPLETE")),"INVALID"))))</f>
        <v/>
      </c>
      <c r="J273" s="33">
        <f>IF(OR(I273="OK",I273="BREACHED"),-INT(ROUND(-(H273)*100,6))/100,I273)</f>
        <v/>
      </c>
    </row>
    <row r="274" ht="18" customHeight="1">
      <c r="A274" s="9" t="n"/>
      <c r="B274" s="32" t="n"/>
      <c r="C274" s="12" t="n"/>
      <c r="D274" s="12" t="n"/>
      <c r="E274" s="12" t="n"/>
      <c r="F274" s="15">
        <f>IFERROR(MATCH($A274,Accounts!$A$2:$A$11,0),"")</f>
        <v/>
      </c>
      <c r="G274" s="14">
        <f>IFERROR(IF(OR($A274="",$F274=""),"",IF(INDEX(Accounts!$P$2:$P$11,$F274)="static",INDEX(Accounts!$Q$2:$Q$11,$F274),IF(INDEX(Accounts!$P$2:$P$11,$F274)="eod_trailing",MAX(INDEX(Accounts!$Q$2:$Q$11,$F274),_xlfn.MAXIFS($C$2:$C$1001,$A$2:$A$1001,$A274,$B$2:$B$1001,"&lt;"&amp;$B274)),MAX(INDEX(Accounts!$Q$2:$Q$11,$F274),_xlfn.MAXIFS($C$2:$C$1001,$A$2:$A$1001,$A274,$B$2:$B$1001,"&lt;"&amp;$B274),_xlfn.MAXIFS($D$2:$D$1001,$A$2:$A$1001,$A274,$B$2:$B$1001,"&lt;="&amp;$B274),$C274)))),"")</f>
        <v/>
      </c>
      <c r="H274" s="15">
        <f>IFERROR(IF(G274="","",IF(INDEX(Accounts!$P$2:$P$11,$F274)="static",INDEX(Accounts!$Q$2:$Q$11,$F274)-INDEX(Accounts!$R$2:$R$11,$F274),IF(INDEX(Accounts!$S$2:$S$11,$F274)="NONE",G274-INDEX(Accounts!$R$2:$R$11,$F274),MIN(G274-INDEX(Accounts!$R$2:$R$11,$F274),INDEX(Accounts!$Q$2:$Q$11,$F274)+INDEX(Accounts!$S$2:$S$11,$F274))))),"")</f>
        <v/>
      </c>
      <c r="I274" s="16">
        <f>IF(AND($A274="",$B274="",$C274="",$D274="",$E274=""),"",IF(OR($A274="",$F274=""),"UNKNOWN_ACCOUNT",IF(OR($B274="",$C274=""),"INCOMPLETE",IFERROR(IF(OR(NOT(ISNUMBER($B274)),NOT(ISNUMBER($C274)),IF(C274="",FALSE,IF(ISNUMBER(C274),OR(C274&lt;=0,C274&gt;100000000,ROUND(C274*100,6)&lt;&gt;INT(ROUND(C274*100,6))),TRUE)),IF(D274="",FALSE,IF(ISNUMBER(D274),OR(D274&lt;=0,D274&gt;100000000,ROUND(D274*100,6)&lt;&gt;INT(ROUND(D274*100,6))),TRUE)),IF(E274="",FALSE,IF(ISNUMBER(E274),OR(E274&lt;=0,E274&gt;100000000,ROUND(E274*100,6)&lt;&gt;INT(ROUND(E274*100,6))),TRUE)),AND($D274&lt;&gt;"",$D274&lt;MAX($C274,$E274)),AND($E274&lt;&gt;"",$E274&gt;MIN($C274,IF($D274="",$C274,$D274))),COUNTIFS($A$2:$A$1001,$A274,$B$2:$B$1001,$B274)&gt;1),"INVALID",IFERROR(IF(IF(INDEX(Accounts!$T$2:$T$11,$F274),ROUND(IF($E274="",$C274,MIN($C274,$E274))-(H274),6)&lt;=0,ROUND(IF($E274="",$C274,MIN($C274,$E274))-(H274),6)&lt;0),"BREACHED","OK"),"INCOMPLETE")),"INVALID"))))</f>
        <v/>
      </c>
      <c r="J274" s="33">
        <f>IF(OR(I274="OK",I274="BREACHED"),-INT(ROUND(-(H274)*100,6))/100,I274)</f>
        <v/>
      </c>
    </row>
    <row r="275" ht="18" customHeight="1">
      <c r="A275" s="9" t="n"/>
      <c r="B275" s="32" t="n"/>
      <c r="C275" s="12" t="n"/>
      <c r="D275" s="12" t="n"/>
      <c r="E275" s="12" t="n"/>
      <c r="F275" s="15">
        <f>IFERROR(MATCH($A275,Accounts!$A$2:$A$11,0),"")</f>
        <v/>
      </c>
      <c r="G275" s="14">
        <f>IFERROR(IF(OR($A275="",$F275=""),"",IF(INDEX(Accounts!$P$2:$P$11,$F275)="static",INDEX(Accounts!$Q$2:$Q$11,$F275),IF(INDEX(Accounts!$P$2:$P$11,$F275)="eod_trailing",MAX(INDEX(Accounts!$Q$2:$Q$11,$F275),_xlfn.MAXIFS($C$2:$C$1001,$A$2:$A$1001,$A275,$B$2:$B$1001,"&lt;"&amp;$B275)),MAX(INDEX(Accounts!$Q$2:$Q$11,$F275),_xlfn.MAXIFS($C$2:$C$1001,$A$2:$A$1001,$A275,$B$2:$B$1001,"&lt;"&amp;$B275),_xlfn.MAXIFS($D$2:$D$1001,$A$2:$A$1001,$A275,$B$2:$B$1001,"&lt;="&amp;$B275),$C275)))),"")</f>
        <v/>
      </c>
      <c r="H275" s="15">
        <f>IFERROR(IF(G275="","",IF(INDEX(Accounts!$P$2:$P$11,$F275)="static",INDEX(Accounts!$Q$2:$Q$11,$F275)-INDEX(Accounts!$R$2:$R$11,$F275),IF(INDEX(Accounts!$S$2:$S$11,$F275)="NONE",G275-INDEX(Accounts!$R$2:$R$11,$F275),MIN(G275-INDEX(Accounts!$R$2:$R$11,$F275),INDEX(Accounts!$Q$2:$Q$11,$F275)+INDEX(Accounts!$S$2:$S$11,$F275))))),"")</f>
        <v/>
      </c>
      <c r="I275" s="16">
        <f>IF(AND($A275="",$B275="",$C275="",$D275="",$E275=""),"",IF(OR($A275="",$F275=""),"UNKNOWN_ACCOUNT",IF(OR($B275="",$C275=""),"INCOMPLETE",IFERROR(IF(OR(NOT(ISNUMBER($B275)),NOT(ISNUMBER($C275)),IF(C275="",FALSE,IF(ISNUMBER(C275),OR(C275&lt;=0,C275&gt;100000000,ROUND(C275*100,6)&lt;&gt;INT(ROUND(C275*100,6))),TRUE)),IF(D275="",FALSE,IF(ISNUMBER(D275),OR(D275&lt;=0,D275&gt;100000000,ROUND(D275*100,6)&lt;&gt;INT(ROUND(D275*100,6))),TRUE)),IF(E275="",FALSE,IF(ISNUMBER(E275),OR(E275&lt;=0,E275&gt;100000000,ROUND(E275*100,6)&lt;&gt;INT(ROUND(E275*100,6))),TRUE)),AND($D275&lt;&gt;"",$D275&lt;MAX($C275,$E275)),AND($E275&lt;&gt;"",$E275&gt;MIN($C275,IF($D275="",$C275,$D275))),COUNTIFS($A$2:$A$1001,$A275,$B$2:$B$1001,$B275)&gt;1),"INVALID",IFERROR(IF(IF(INDEX(Accounts!$T$2:$T$11,$F275),ROUND(IF($E275="",$C275,MIN($C275,$E275))-(H275),6)&lt;=0,ROUND(IF($E275="",$C275,MIN($C275,$E275))-(H275),6)&lt;0),"BREACHED","OK"),"INCOMPLETE")),"INVALID"))))</f>
        <v/>
      </c>
      <c r="J275" s="33">
        <f>IF(OR(I275="OK",I275="BREACHED"),-INT(ROUND(-(H275)*100,6))/100,I275)</f>
        <v/>
      </c>
    </row>
    <row r="276" ht="18" customHeight="1">
      <c r="A276" s="9" t="n"/>
      <c r="B276" s="32" t="n"/>
      <c r="C276" s="12" t="n"/>
      <c r="D276" s="12" t="n"/>
      <c r="E276" s="12" t="n"/>
      <c r="F276" s="15">
        <f>IFERROR(MATCH($A276,Accounts!$A$2:$A$11,0),"")</f>
        <v/>
      </c>
      <c r="G276" s="14">
        <f>IFERROR(IF(OR($A276="",$F276=""),"",IF(INDEX(Accounts!$P$2:$P$11,$F276)="static",INDEX(Accounts!$Q$2:$Q$11,$F276),IF(INDEX(Accounts!$P$2:$P$11,$F276)="eod_trailing",MAX(INDEX(Accounts!$Q$2:$Q$11,$F276),_xlfn.MAXIFS($C$2:$C$1001,$A$2:$A$1001,$A276,$B$2:$B$1001,"&lt;"&amp;$B276)),MAX(INDEX(Accounts!$Q$2:$Q$11,$F276),_xlfn.MAXIFS($C$2:$C$1001,$A$2:$A$1001,$A276,$B$2:$B$1001,"&lt;"&amp;$B276),_xlfn.MAXIFS($D$2:$D$1001,$A$2:$A$1001,$A276,$B$2:$B$1001,"&lt;="&amp;$B276),$C276)))),"")</f>
        <v/>
      </c>
      <c r="H276" s="15">
        <f>IFERROR(IF(G276="","",IF(INDEX(Accounts!$P$2:$P$11,$F276)="static",INDEX(Accounts!$Q$2:$Q$11,$F276)-INDEX(Accounts!$R$2:$R$11,$F276),IF(INDEX(Accounts!$S$2:$S$11,$F276)="NONE",G276-INDEX(Accounts!$R$2:$R$11,$F276),MIN(G276-INDEX(Accounts!$R$2:$R$11,$F276),INDEX(Accounts!$Q$2:$Q$11,$F276)+INDEX(Accounts!$S$2:$S$11,$F276))))),"")</f>
        <v/>
      </c>
      <c r="I276" s="16">
        <f>IF(AND($A276="",$B276="",$C276="",$D276="",$E276=""),"",IF(OR($A276="",$F276=""),"UNKNOWN_ACCOUNT",IF(OR($B276="",$C276=""),"INCOMPLETE",IFERROR(IF(OR(NOT(ISNUMBER($B276)),NOT(ISNUMBER($C276)),IF(C276="",FALSE,IF(ISNUMBER(C276),OR(C276&lt;=0,C276&gt;100000000,ROUND(C276*100,6)&lt;&gt;INT(ROUND(C276*100,6))),TRUE)),IF(D276="",FALSE,IF(ISNUMBER(D276),OR(D276&lt;=0,D276&gt;100000000,ROUND(D276*100,6)&lt;&gt;INT(ROUND(D276*100,6))),TRUE)),IF(E276="",FALSE,IF(ISNUMBER(E276),OR(E276&lt;=0,E276&gt;100000000,ROUND(E276*100,6)&lt;&gt;INT(ROUND(E276*100,6))),TRUE)),AND($D276&lt;&gt;"",$D276&lt;MAX($C276,$E276)),AND($E276&lt;&gt;"",$E276&gt;MIN($C276,IF($D276="",$C276,$D276))),COUNTIFS($A$2:$A$1001,$A276,$B$2:$B$1001,$B276)&gt;1),"INVALID",IFERROR(IF(IF(INDEX(Accounts!$T$2:$T$11,$F276),ROUND(IF($E276="",$C276,MIN($C276,$E276))-(H276),6)&lt;=0,ROUND(IF($E276="",$C276,MIN($C276,$E276))-(H276),6)&lt;0),"BREACHED","OK"),"INCOMPLETE")),"INVALID"))))</f>
        <v/>
      </c>
      <c r="J276" s="33">
        <f>IF(OR(I276="OK",I276="BREACHED"),-INT(ROUND(-(H276)*100,6))/100,I276)</f>
        <v/>
      </c>
    </row>
    <row r="277" ht="18" customHeight="1">
      <c r="A277" s="9" t="n"/>
      <c r="B277" s="32" t="n"/>
      <c r="C277" s="12" t="n"/>
      <c r="D277" s="12" t="n"/>
      <c r="E277" s="12" t="n"/>
      <c r="F277" s="15">
        <f>IFERROR(MATCH($A277,Accounts!$A$2:$A$11,0),"")</f>
        <v/>
      </c>
      <c r="G277" s="14">
        <f>IFERROR(IF(OR($A277="",$F277=""),"",IF(INDEX(Accounts!$P$2:$P$11,$F277)="static",INDEX(Accounts!$Q$2:$Q$11,$F277),IF(INDEX(Accounts!$P$2:$P$11,$F277)="eod_trailing",MAX(INDEX(Accounts!$Q$2:$Q$11,$F277),_xlfn.MAXIFS($C$2:$C$1001,$A$2:$A$1001,$A277,$B$2:$B$1001,"&lt;"&amp;$B277)),MAX(INDEX(Accounts!$Q$2:$Q$11,$F277),_xlfn.MAXIFS($C$2:$C$1001,$A$2:$A$1001,$A277,$B$2:$B$1001,"&lt;"&amp;$B277),_xlfn.MAXIFS($D$2:$D$1001,$A$2:$A$1001,$A277,$B$2:$B$1001,"&lt;="&amp;$B277),$C277)))),"")</f>
        <v/>
      </c>
      <c r="H277" s="15">
        <f>IFERROR(IF(G277="","",IF(INDEX(Accounts!$P$2:$P$11,$F277)="static",INDEX(Accounts!$Q$2:$Q$11,$F277)-INDEX(Accounts!$R$2:$R$11,$F277),IF(INDEX(Accounts!$S$2:$S$11,$F277)="NONE",G277-INDEX(Accounts!$R$2:$R$11,$F277),MIN(G277-INDEX(Accounts!$R$2:$R$11,$F277),INDEX(Accounts!$Q$2:$Q$11,$F277)+INDEX(Accounts!$S$2:$S$11,$F277))))),"")</f>
        <v/>
      </c>
      <c r="I277" s="16">
        <f>IF(AND($A277="",$B277="",$C277="",$D277="",$E277=""),"",IF(OR($A277="",$F277=""),"UNKNOWN_ACCOUNT",IF(OR($B277="",$C277=""),"INCOMPLETE",IFERROR(IF(OR(NOT(ISNUMBER($B277)),NOT(ISNUMBER($C277)),IF(C277="",FALSE,IF(ISNUMBER(C277),OR(C277&lt;=0,C277&gt;100000000,ROUND(C277*100,6)&lt;&gt;INT(ROUND(C277*100,6))),TRUE)),IF(D277="",FALSE,IF(ISNUMBER(D277),OR(D277&lt;=0,D277&gt;100000000,ROUND(D277*100,6)&lt;&gt;INT(ROUND(D277*100,6))),TRUE)),IF(E277="",FALSE,IF(ISNUMBER(E277),OR(E277&lt;=0,E277&gt;100000000,ROUND(E277*100,6)&lt;&gt;INT(ROUND(E277*100,6))),TRUE)),AND($D277&lt;&gt;"",$D277&lt;MAX($C277,$E277)),AND($E277&lt;&gt;"",$E277&gt;MIN($C277,IF($D277="",$C277,$D277))),COUNTIFS($A$2:$A$1001,$A277,$B$2:$B$1001,$B277)&gt;1),"INVALID",IFERROR(IF(IF(INDEX(Accounts!$T$2:$T$11,$F277),ROUND(IF($E277="",$C277,MIN($C277,$E277))-(H277),6)&lt;=0,ROUND(IF($E277="",$C277,MIN($C277,$E277))-(H277),6)&lt;0),"BREACHED","OK"),"INCOMPLETE")),"INVALID"))))</f>
        <v/>
      </c>
      <c r="J277" s="33">
        <f>IF(OR(I277="OK",I277="BREACHED"),-INT(ROUND(-(H277)*100,6))/100,I277)</f>
        <v/>
      </c>
    </row>
    <row r="278" ht="18" customHeight="1">
      <c r="A278" s="9" t="n"/>
      <c r="B278" s="32" t="n"/>
      <c r="C278" s="12" t="n"/>
      <c r="D278" s="12" t="n"/>
      <c r="E278" s="12" t="n"/>
      <c r="F278" s="15">
        <f>IFERROR(MATCH($A278,Accounts!$A$2:$A$11,0),"")</f>
        <v/>
      </c>
      <c r="G278" s="14">
        <f>IFERROR(IF(OR($A278="",$F278=""),"",IF(INDEX(Accounts!$P$2:$P$11,$F278)="static",INDEX(Accounts!$Q$2:$Q$11,$F278),IF(INDEX(Accounts!$P$2:$P$11,$F278)="eod_trailing",MAX(INDEX(Accounts!$Q$2:$Q$11,$F278),_xlfn.MAXIFS($C$2:$C$1001,$A$2:$A$1001,$A278,$B$2:$B$1001,"&lt;"&amp;$B278)),MAX(INDEX(Accounts!$Q$2:$Q$11,$F278),_xlfn.MAXIFS($C$2:$C$1001,$A$2:$A$1001,$A278,$B$2:$B$1001,"&lt;"&amp;$B278),_xlfn.MAXIFS($D$2:$D$1001,$A$2:$A$1001,$A278,$B$2:$B$1001,"&lt;="&amp;$B278),$C278)))),"")</f>
        <v/>
      </c>
      <c r="H278" s="15">
        <f>IFERROR(IF(G278="","",IF(INDEX(Accounts!$P$2:$P$11,$F278)="static",INDEX(Accounts!$Q$2:$Q$11,$F278)-INDEX(Accounts!$R$2:$R$11,$F278),IF(INDEX(Accounts!$S$2:$S$11,$F278)="NONE",G278-INDEX(Accounts!$R$2:$R$11,$F278),MIN(G278-INDEX(Accounts!$R$2:$R$11,$F278),INDEX(Accounts!$Q$2:$Q$11,$F278)+INDEX(Accounts!$S$2:$S$11,$F278))))),"")</f>
        <v/>
      </c>
      <c r="I278" s="16">
        <f>IF(AND($A278="",$B278="",$C278="",$D278="",$E278=""),"",IF(OR($A278="",$F278=""),"UNKNOWN_ACCOUNT",IF(OR($B278="",$C278=""),"INCOMPLETE",IFERROR(IF(OR(NOT(ISNUMBER($B278)),NOT(ISNUMBER($C278)),IF(C278="",FALSE,IF(ISNUMBER(C278),OR(C278&lt;=0,C278&gt;100000000,ROUND(C278*100,6)&lt;&gt;INT(ROUND(C278*100,6))),TRUE)),IF(D278="",FALSE,IF(ISNUMBER(D278),OR(D278&lt;=0,D278&gt;100000000,ROUND(D278*100,6)&lt;&gt;INT(ROUND(D278*100,6))),TRUE)),IF(E278="",FALSE,IF(ISNUMBER(E278),OR(E278&lt;=0,E278&gt;100000000,ROUND(E278*100,6)&lt;&gt;INT(ROUND(E278*100,6))),TRUE)),AND($D278&lt;&gt;"",$D278&lt;MAX($C278,$E278)),AND($E278&lt;&gt;"",$E278&gt;MIN($C278,IF($D278="",$C278,$D278))),COUNTIFS($A$2:$A$1001,$A278,$B$2:$B$1001,$B278)&gt;1),"INVALID",IFERROR(IF(IF(INDEX(Accounts!$T$2:$T$11,$F278),ROUND(IF($E278="",$C278,MIN($C278,$E278))-(H278),6)&lt;=0,ROUND(IF($E278="",$C278,MIN($C278,$E278))-(H278),6)&lt;0),"BREACHED","OK"),"INCOMPLETE")),"INVALID"))))</f>
        <v/>
      </c>
      <c r="J278" s="33">
        <f>IF(OR(I278="OK",I278="BREACHED"),-INT(ROUND(-(H278)*100,6))/100,I278)</f>
        <v/>
      </c>
    </row>
    <row r="279" ht="18" customHeight="1">
      <c r="A279" s="9" t="n"/>
      <c r="B279" s="32" t="n"/>
      <c r="C279" s="12" t="n"/>
      <c r="D279" s="12" t="n"/>
      <c r="E279" s="12" t="n"/>
      <c r="F279" s="15">
        <f>IFERROR(MATCH($A279,Accounts!$A$2:$A$11,0),"")</f>
        <v/>
      </c>
      <c r="G279" s="14">
        <f>IFERROR(IF(OR($A279="",$F279=""),"",IF(INDEX(Accounts!$P$2:$P$11,$F279)="static",INDEX(Accounts!$Q$2:$Q$11,$F279),IF(INDEX(Accounts!$P$2:$P$11,$F279)="eod_trailing",MAX(INDEX(Accounts!$Q$2:$Q$11,$F279),_xlfn.MAXIFS($C$2:$C$1001,$A$2:$A$1001,$A279,$B$2:$B$1001,"&lt;"&amp;$B279)),MAX(INDEX(Accounts!$Q$2:$Q$11,$F279),_xlfn.MAXIFS($C$2:$C$1001,$A$2:$A$1001,$A279,$B$2:$B$1001,"&lt;"&amp;$B279),_xlfn.MAXIFS($D$2:$D$1001,$A$2:$A$1001,$A279,$B$2:$B$1001,"&lt;="&amp;$B279),$C279)))),"")</f>
        <v/>
      </c>
      <c r="H279" s="15">
        <f>IFERROR(IF(G279="","",IF(INDEX(Accounts!$P$2:$P$11,$F279)="static",INDEX(Accounts!$Q$2:$Q$11,$F279)-INDEX(Accounts!$R$2:$R$11,$F279),IF(INDEX(Accounts!$S$2:$S$11,$F279)="NONE",G279-INDEX(Accounts!$R$2:$R$11,$F279),MIN(G279-INDEX(Accounts!$R$2:$R$11,$F279),INDEX(Accounts!$Q$2:$Q$11,$F279)+INDEX(Accounts!$S$2:$S$11,$F279))))),"")</f>
        <v/>
      </c>
      <c r="I279" s="16">
        <f>IF(AND($A279="",$B279="",$C279="",$D279="",$E279=""),"",IF(OR($A279="",$F279=""),"UNKNOWN_ACCOUNT",IF(OR($B279="",$C279=""),"INCOMPLETE",IFERROR(IF(OR(NOT(ISNUMBER($B279)),NOT(ISNUMBER($C279)),IF(C279="",FALSE,IF(ISNUMBER(C279),OR(C279&lt;=0,C279&gt;100000000,ROUND(C279*100,6)&lt;&gt;INT(ROUND(C279*100,6))),TRUE)),IF(D279="",FALSE,IF(ISNUMBER(D279),OR(D279&lt;=0,D279&gt;100000000,ROUND(D279*100,6)&lt;&gt;INT(ROUND(D279*100,6))),TRUE)),IF(E279="",FALSE,IF(ISNUMBER(E279),OR(E279&lt;=0,E279&gt;100000000,ROUND(E279*100,6)&lt;&gt;INT(ROUND(E279*100,6))),TRUE)),AND($D279&lt;&gt;"",$D279&lt;MAX($C279,$E279)),AND($E279&lt;&gt;"",$E279&gt;MIN($C279,IF($D279="",$C279,$D279))),COUNTIFS($A$2:$A$1001,$A279,$B$2:$B$1001,$B279)&gt;1),"INVALID",IFERROR(IF(IF(INDEX(Accounts!$T$2:$T$11,$F279),ROUND(IF($E279="",$C279,MIN($C279,$E279))-(H279),6)&lt;=0,ROUND(IF($E279="",$C279,MIN($C279,$E279))-(H279),6)&lt;0),"BREACHED","OK"),"INCOMPLETE")),"INVALID"))))</f>
        <v/>
      </c>
      <c r="J279" s="33">
        <f>IF(OR(I279="OK",I279="BREACHED"),-INT(ROUND(-(H279)*100,6))/100,I279)</f>
        <v/>
      </c>
    </row>
    <row r="280" ht="18" customHeight="1">
      <c r="A280" s="9" t="n"/>
      <c r="B280" s="32" t="n"/>
      <c r="C280" s="12" t="n"/>
      <c r="D280" s="12" t="n"/>
      <c r="E280" s="12" t="n"/>
      <c r="F280" s="15">
        <f>IFERROR(MATCH($A280,Accounts!$A$2:$A$11,0),"")</f>
        <v/>
      </c>
      <c r="G280" s="14">
        <f>IFERROR(IF(OR($A280="",$F280=""),"",IF(INDEX(Accounts!$P$2:$P$11,$F280)="static",INDEX(Accounts!$Q$2:$Q$11,$F280),IF(INDEX(Accounts!$P$2:$P$11,$F280)="eod_trailing",MAX(INDEX(Accounts!$Q$2:$Q$11,$F280),_xlfn.MAXIFS($C$2:$C$1001,$A$2:$A$1001,$A280,$B$2:$B$1001,"&lt;"&amp;$B280)),MAX(INDEX(Accounts!$Q$2:$Q$11,$F280),_xlfn.MAXIFS($C$2:$C$1001,$A$2:$A$1001,$A280,$B$2:$B$1001,"&lt;"&amp;$B280),_xlfn.MAXIFS($D$2:$D$1001,$A$2:$A$1001,$A280,$B$2:$B$1001,"&lt;="&amp;$B280),$C280)))),"")</f>
        <v/>
      </c>
      <c r="H280" s="15">
        <f>IFERROR(IF(G280="","",IF(INDEX(Accounts!$P$2:$P$11,$F280)="static",INDEX(Accounts!$Q$2:$Q$11,$F280)-INDEX(Accounts!$R$2:$R$11,$F280),IF(INDEX(Accounts!$S$2:$S$11,$F280)="NONE",G280-INDEX(Accounts!$R$2:$R$11,$F280),MIN(G280-INDEX(Accounts!$R$2:$R$11,$F280),INDEX(Accounts!$Q$2:$Q$11,$F280)+INDEX(Accounts!$S$2:$S$11,$F280))))),"")</f>
        <v/>
      </c>
      <c r="I280" s="16">
        <f>IF(AND($A280="",$B280="",$C280="",$D280="",$E280=""),"",IF(OR($A280="",$F280=""),"UNKNOWN_ACCOUNT",IF(OR($B280="",$C280=""),"INCOMPLETE",IFERROR(IF(OR(NOT(ISNUMBER($B280)),NOT(ISNUMBER($C280)),IF(C280="",FALSE,IF(ISNUMBER(C280),OR(C280&lt;=0,C280&gt;100000000,ROUND(C280*100,6)&lt;&gt;INT(ROUND(C280*100,6))),TRUE)),IF(D280="",FALSE,IF(ISNUMBER(D280),OR(D280&lt;=0,D280&gt;100000000,ROUND(D280*100,6)&lt;&gt;INT(ROUND(D280*100,6))),TRUE)),IF(E280="",FALSE,IF(ISNUMBER(E280),OR(E280&lt;=0,E280&gt;100000000,ROUND(E280*100,6)&lt;&gt;INT(ROUND(E280*100,6))),TRUE)),AND($D280&lt;&gt;"",$D280&lt;MAX($C280,$E280)),AND($E280&lt;&gt;"",$E280&gt;MIN($C280,IF($D280="",$C280,$D280))),COUNTIFS($A$2:$A$1001,$A280,$B$2:$B$1001,$B280)&gt;1),"INVALID",IFERROR(IF(IF(INDEX(Accounts!$T$2:$T$11,$F280),ROUND(IF($E280="",$C280,MIN($C280,$E280))-(H280),6)&lt;=0,ROUND(IF($E280="",$C280,MIN($C280,$E280))-(H280),6)&lt;0),"BREACHED","OK"),"INCOMPLETE")),"INVALID"))))</f>
        <v/>
      </c>
      <c r="J280" s="33">
        <f>IF(OR(I280="OK",I280="BREACHED"),-INT(ROUND(-(H280)*100,6))/100,I280)</f>
        <v/>
      </c>
    </row>
    <row r="281" ht="18" customHeight="1">
      <c r="A281" s="9" t="n"/>
      <c r="B281" s="32" t="n"/>
      <c r="C281" s="12" t="n"/>
      <c r="D281" s="12" t="n"/>
      <c r="E281" s="12" t="n"/>
      <c r="F281" s="15">
        <f>IFERROR(MATCH($A281,Accounts!$A$2:$A$11,0),"")</f>
        <v/>
      </c>
      <c r="G281" s="14">
        <f>IFERROR(IF(OR($A281="",$F281=""),"",IF(INDEX(Accounts!$P$2:$P$11,$F281)="static",INDEX(Accounts!$Q$2:$Q$11,$F281),IF(INDEX(Accounts!$P$2:$P$11,$F281)="eod_trailing",MAX(INDEX(Accounts!$Q$2:$Q$11,$F281),_xlfn.MAXIFS($C$2:$C$1001,$A$2:$A$1001,$A281,$B$2:$B$1001,"&lt;"&amp;$B281)),MAX(INDEX(Accounts!$Q$2:$Q$11,$F281),_xlfn.MAXIFS($C$2:$C$1001,$A$2:$A$1001,$A281,$B$2:$B$1001,"&lt;"&amp;$B281),_xlfn.MAXIFS($D$2:$D$1001,$A$2:$A$1001,$A281,$B$2:$B$1001,"&lt;="&amp;$B281),$C281)))),"")</f>
        <v/>
      </c>
      <c r="H281" s="15">
        <f>IFERROR(IF(G281="","",IF(INDEX(Accounts!$P$2:$P$11,$F281)="static",INDEX(Accounts!$Q$2:$Q$11,$F281)-INDEX(Accounts!$R$2:$R$11,$F281),IF(INDEX(Accounts!$S$2:$S$11,$F281)="NONE",G281-INDEX(Accounts!$R$2:$R$11,$F281),MIN(G281-INDEX(Accounts!$R$2:$R$11,$F281),INDEX(Accounts!$Q$2:$Q$11,$F281)+INDEX(Accounts!$S$2:$S$11,$F281))))),"")</f>
        <v/>
      </c>
      <c r="I281" s="16">
        <f>IF(AND($A281="",$B281="",$C281="",$D281="",$E281=""),"",IF(OR($A281="",$F281=""),"UNKNOWN_ACCOUNT",IF(OR($B281="",$C281=""),"INCOMPLETE",IFERROR(IF(OR(NOT(ISNUMBER($B281)),NOT(ISNUMBER($C281)),IF(C281="",FALSE,IF(ISNUMBER(C281),OR(C281&lt;=0,C281&gt;100000000,ROUND(C281*100,6)&lt;&gt;INT(ROUND(C281*100,6))),TRUE)),IF(D281="",FALSE,IF(ISNUMBER(D281),OR(D281&lt;=0,D281&gt;100000000,ROUND(D281*100,6)&lt;&gt;INT(ROUND(D281*100,6))),TRUE)),IF(E281="",FALSE,IF(ISNUMBER(E281),OR(E281&lt;=0,E281&gt;100000000,ROUND(E281*100,6)&lt;&gt;INT(ROUND(E281*100,6))),TRUE)),AND($D281&lt;&gt;"",$D281&lt;MAX($C281,$E281)),AND($E281&lt;&gt;"",$E281&gt;MIN($C281,IF($D281="",$C281,$D281))),COUNTIFS($A$2:$A$1001,$A281,$B$2:$B$1001,$B281)&gt;1),"INVALID",IFERROR(IF(IF(INDEX(Accounts!$T$2:$T$11,$F281),ROUND(IF($E281="",$C281,MIN($C281,$E281))-(H281),6)&lt;=0,ROUND(IF($E281="",$C281,MIN($C281,$E281))-(H281),6)&lt;0),"BREACHED","OK"),"INCOMPLETE")),"INVALID"))))</f>
        <v/>
      </c>
      <c r="J281" s="33">
        <f>IF(OR(I281="OK",I281="BREACHED"),-INT(ROUND(-(H281)*100,6))/100,I281)</f>
        <v/>
      </c>
    </row>
    <row r="282" ht="18" customHeight="1">
      <c r="A282" s="9" t="n"/>
      <c r="B282" s="32" t="n"/>
      <c r="C282" s="12" t="n"/>
      <c r="D282" s="12" t="n"/>
      <c r="E282" s="12" t="n"/>
      <c r="F282" s="15">
        <f>IFERROR(MATCH($A282,Accounts!$A$2:$A$11,0),"")</f>
        <v/>
      </c>
      <c r="G282" s="14">
        <f>IFERROR(IF(OR($A282="",$F282=""),"",IF(INDEX(Accounts!$P$2:$P$11,$F282)="static",INDEX(Accounts!$Q$2:$Q$11,$F282),IF(INDEX(Accounts!$P$2:$P$11,$F282)="eod_trailing",MAX(INDEX(Accounts!$Q$2:$Q$11,$F282),_xlfn.MAXIFS($C$2:$C$1001,$A$2:$A$1001,$A282,$B$2:$B$1001,"&lt;"&amp;$B282)),MAX(INDEX(Accounts!$Q$2:$Q$11,$F282),_xlfn.MAXIFS($C$2:$C$1001,$A$2:$A$1001,$A282,$B$2:$B$1001,"&lt;"&amp;$B282),_xlfn.MAXIFS($D$2:$D$1001,$A$2:$A$1001,$A282,$B$2:$B$1001,"&lt;="&amp;$B282),$C282)))),"")</f>
        <v/>
      </c>
      <c r="H282" s="15">
        <f>IFERROR(IF(G282="","",IF(INDEX(Accounts!$P$2:$P$11,$F282)="static",INDEX(Accounts!$Q$2:$Q$11,$F282)-INDEX(Accounts!$R$2:$R$11,$F282),IF(INDEX(Accounts!$S$2:$S$11,$F282)="NONE",G282-INDEX(Accounts!$R$2:$R$11,$F282),MIN(G282-INDEX(Accounts!$R$2:$R$11,$F282),INDEX(Accounts!$Q$2:$Q$11,$F282)+INDEX(Accounts!$S$2:$S$11,$F282))))),"")</f>
        <v/>
      </c>
      <c r="I282" s="16">
        <f>IF(AND($A282="",$B282="",$C282="",$D282="",$E282=""),"",IF(OR($A282="",$F282=""),"UNKNOWN_ACCOUNT",IF(OR($B282="",$C282=""),"INCOMPLETE",IFERROR(IF(OR(NOT(ISNUMBER($B282)),NOT(ISNUMBER($C282)),IF(C282="",FALSE,IF(ISNUMBER(C282),OR(C282&lt;=0,C282&gt;100000000,ROUND(C282*100,6)&lt;&gt;INT(ROUND(C282*100,6))),TRUE)),IF(D282="",FALSE,IF(ISNUMBER(D282),OR(D282&lt;=0,D282&gt;100000000,ROUND(D282*100,6)&lt;&gt;INT(ROUND(D282*100,6))),TRUE)),IF(E282="",FALSE,IF(ISNUMBER(E282),OR(E282&lt;=0,E282&gt;100000000,ROUND(E282*100,6)&lt;&gt;INT(ROUND(E282*100,6))),TRUE)),AND($D282&lt;&gt;"",$D282&lt;MAX($C282,$E282)),AND($E282&lt;&gt;"",$E282&gt;MIN($C282,IF($D282="",$C282,$D282))),COUNTIFS($A$2:$A$1001,$A282,$B$2:$B$1001,$B282)&gt;1),"INVALID",IFERROR(IF(IF(INDEX(Accounts!$T$2:$T$11,$F282),ROUND(IF($E282="",$C282,MIN($C282,$E282))-(H282),6)&lt;=0,ROUND(IF($E282="",$C282,MIN($C282,$E282))-(H282),6)&lt;0),"BREACHED","OK"),"INCOMPLETE")),"INVALID"))))</f>
        <v/>
      </c>
      <c r="J282" s="33">
        <f>IF(OR(I282="OK",I282="BREACHED"),-INT(ROUND(-(H282)*100,6))/100,I282)</f>
        <v/>
      </c>
    </row>
    <row r="283" ht="18" customHeight="1">
      <c r="A283" s="9" t="n"/>
      <c r="B283" s="32" t="n"/>
      <c r="C283" s="12" t="n"/>
      <c r="D283" s="12" t="n"/>
      <c r="E283" s="12" t="n"/>
      <c r="F283" s="15">
        <f>IFERROR(MATCH($A283,Accounts!$A$2:$A$11,0),"")</f>
        <v/>
      </c>
      <c r="G283" s="14">
        <f>IFERROR(IF(OR($A283="",$F283=""),"",IF(INDEX(Accounts!$P$2:$P$11,$F283)="static",INDEX(Accounts!$Q$2:$Q$11,$F283),IF(INDEX(Accounts!$P$2:$P$11,$F283)="eod_trailing",MAX(INDEX(Accounts!$Q$2:$Q$11,$F283),_xlfn.MAXIFS($C$2:$C$1001,$A$2:$A$1001,$A283,$B$2:$B$1001,"&lt;"&amp;$B283)),MAX(INDEX(Accounts!$Q$2:$Q$11,$F283),_xlfn.MAXIFS($C$2:$C$1001,$A$2:$A$1001,$A283,$B$2:$B$1001,"&lt;"&amp;$B283),_xlfn.MAXIFS($D$2:$D$1001,$A$2:$A$1001,$A283,$B$2:$B$1001,"&lt;="&amp;$B283),$C283)))),"")</f>
        <v/>
      </c>
      <c r="H283" s="15">
        <f>IFERROR(IF(G283="","",IF(INDEX(Accounts!$P$2:$P$11,$F283)="static",INDEX(Accounts!$Q$2:$Q$11,$F283)-INDEX(Accounts!$R$2:$R$11,$F283),IF(INDEX(Accounts!$S$2:$S$11,$F283)="NONE",G283-INDEX(Accounts!$R$2:$R$11,$F283),MIN(G283-INDEX(Accounts!$R$2:$R$11,$F283),INDEX(Accounts!$Q$2:$Q$11,$F283)+INDEX(Accounts!$S$2:$S$11,$F283))))),"")</f>
        <v/>
      </c>
      <c r="I283" s="16">
        <f>IF(AND($A283="",$B283="",$C283="",$D283="",$E283=""),"",IF(OR($A283="",$F283=""),"UNKNOWN_ACCOUNT",IF(OR($B283="",$C283=""),"INCOMPLETE",IFERROR(IF(OR(NOT(ISNUMBER($B283)),NOT(ISNUMBER($C283)),IF(C283="",FALSE,IF(ISNUMBER(C283),OR(C283&lt;=0,C283&gt;100000000,ROUND(C283*100,6)&lt;&gt;INT(ROUND(C283*100,6))),TRUE)),IF(D283="",FALSE,IF(ISNUMBER(D283),OR(D283&lt;=0,D283&gt;100000000,ROUND(D283*100,6)&lt;&gt;INT(ROUND(D283*100,6))),TRUE)),IF(E283="",FALSE,IF(ISNUMBER(E283),OR(E283&lt;=0,E283&gt;100000000,ROUND(E283*100,6)&lt;&gt;INT(ROUND(E283*100,6))),TRUE)),AND($D283&lt;&gt;"",$D283&lt;MAX($C283,$E283)),AND($E283&lt;&gt;"",$E283&gt;MIN($C283,IF($D283="",$C283,$D283))),COUNTIFS($A$2:$A$1001,$A283,$B$2:$B$1001,$B283)&gt;1),"INVALID",IFERROR(IF(IF(INDEX(Accounts!$T$2:$T$11,$F283),ROUND(IF($E283="",$C283,MIN($C283,$E283))-(H283),6)&lt;=0,ROUND(IF($E283="",$C283,MIN($C283,$E283))-(H283),6)&lt;0),"BREACHED","OK"),"INCOMPLETE")),"INVALID"))))</f>
        <v/>
      </c>
      <c r="J283" s="33">
        <f>IF(OR(I283="OK",I283="BREACHED"),-INT(ROUND(-(H283)*100,6))/100,I283)</f>
        <v/>
      </c>
    </row>
    <row r="284" ht="18" customHeight="1">
      <c r="A284" s="9" t="n"/>
      <c r="B284" s="32" t="n"/>
      <c r="C284" s="12" t="n"/>
      <c r="D284" s="12" t="n"/>
      <c r="E284" s="12" t="n"/>
      <c r="F284" s="15">
        <f>IFERROR(MATCH($A284,Accounts!$A$2:$A$11,0),"")</f>
        <v/>
      </c>
      <c r="G284" s="14">
        <f>IFERROR(IF(OR($A284="",$F284=""),"",IF(INDEX(Accounts!$P$2:$P$11,$F284)="static",INDEX(Accounts!$Q$2:$Q$11,$F284),IF(INDEX(Accounts!$P$2:$P$11,$F284)="eod_trailing",MAX(INDEX(Accounts!$Q$2:$Q$11,$F284),_xlfn.MAXIFS($C$2:$C$1001,$A$2:$A$1001,$A284,$B$2:$B$1001,"&lt;"&amp;$B284)),MAX(INDEX(Accounts!$Q$2:$Q$11,$F284),_xlfn.MAXIFS($C$2:$C$1001,$A$2:$A$1001,$A284,$B$2:$B$1001,"&lt;"&amp;$B284),_xlfn.MAXIFS($D$2:$D$1001,$A$2:$A$1001,$A284,$B$2:$B$1001,"&lt;="&amp;$B284),$C284)))),"")</f>
        <v/>
      </c>
      <c r="H284" s="15">
        <f>IFERROR(IF(G284="","",IF(INDEX(Accounts!$P$2:$P$11,$F284)="static",INDEX(Accounts!$Q$2:$Q$11,$F284)-INDEX(Accounts!$R$2:$R$11,$F284),IF(INDEX(Accounts!$S$2:$S$11,$F284)="NONE",G284-INDEX(Accounts!$R$2:$R$11,$F284),MIN(G284-INDEX(Accounts!$R$2:$R$11,$F284),INDEX(Accounts!$Q$2:$Q$11,$F284)+INDEX(Accounts!$S$2:$S$11,$F284))))),"")</f>
        <v/>
      </c>
      <c r="I284" s="16">
        <f>IF(AND($A284="",$B284="",$C284="",$D284="",$E284=""),"",IF(OR($A284="",$F284=""),"UNKNOWN_ACCOUNT",IF(OR($B284="",$C284=""),"INCOMPLETE",IFERROR(IF(OR(NOT(ISNUMBER($B284)),NOT(ISNUMBER($C284)),IF(C284="",FALSE,IF(ISNUMBER(C284),OR(C284&lt;=0,C284&gt;100000000,ROUND(C284*100,6)&lt;&gt;INT(ROUND(C284*100,6))),TRUE)),IF(D284="",FALSE,IF(ISNUMBER(D284),OR(D284&lt;=0,D284&gt;100000000,ROUND(D284*100,6)&lt;&gt;INT(ROUND(D284*100,6))),TRUE)),IF(E284="",FALSE,IF(ISNUMBER(E284),OR(E284&lt;=0,E284&gt;100000000,ROUND(E284*100,6)&lt;&gt;INT(ROUND(E284*100,6))),TRUE)),AND($D284&lt;&gt;"",$D284&lt;MAX($C284,$E284)),AND($E284&lt;&gt;"",$E284&gt;MIN($C284,IF($D284="",$C284,$D284))),COUNTIFS($A$2:$A$1001,$A284,$B$2:$B$1001,$B284)&gt;1),"INVALID",IFERROR(IF(IF(INDEX(Accounts!$T$2:$T$11,$F284),ROUND(IF($E284="",$C284,MIN($C284,$E284))-(H284),6)&lt;=0,ROUND(IF($E284="",$C284,MIN($C284,$E284))-(H284),6)&lt;0),"BREACHED","OK"),"INCOMPLETE")),"INVALID"))))</f>
        <v/>
      </c>
      <c r="J284" s="33">
        <f>IF(OR(I284="OK",I284="BREACHED"),-INT(ROUND(-(H284)*100,6))/100,I284)</f>
        <v/>
      </c>
    </row>
    <row r="285" ht="18" customHeight="1">
      <c r="A285" s="9" t="n"/>
      <c r="B285" s="32" t="n"/>
      <c r="C285" s="12" t="n"/>
      <c r="D285" s="12" t="n"/>
      <c r="E285" s="12" t="n"/>
      <c r="F285" s="15">
        <f>IFERROR(MATCH($A285,Accounts!$A$2:$A$11,0),"")</f>
        <v/>
      </c>
      <c r="G285" s="14">
        <f>IFERROR(IF(OR($A285="",$F285=""),"",IF(INDEX(Accounts!$P$2:$P$11,$F285)="static",INDEX(Accounts!$Q$2:$Q$11,$F285),IF(INDEX(Accounts!$P$2:$P$11,$F285)="eod_trailing",MAX(INDEX(Accounts!$Q$2:$Q$11,$F285),_xlfn.MAXIFS($C$2:$C$1001,$A$2:$A$1001,$A285,$B$2:$B$1001,"&lt;"&amp;$B285)),MAX(INDEX(Accounts!$Q$2:$Q$11,$F285),_xlfn.MAXIFS($C$2:$C$1001,$A$2:$A$1001,$A285,$B$2:$B$1001,"&lt;"&amp;$B285),_xlfn.MAXIFS($D$2:$D$1001,$A$2:$A$1001,$A285,$B$2:$B$1001,"&lt;="&amp;$B285),$C285)))),"")</f>
        <v/>
      </c>
      <c r="H285" s="15">
        <f>IFERROR(IF(G285="","",IF(INDEX(Accounts!$P$2:$P$11,$F285)="static",INDEX(Accounts!$Q$2:$Q$11,$F285)-INDEX(Accounts!$R$2:$R$11,$F285),IF(INDEX(Accounts!$S$2:$S$11,$F285)="NONE",G285-INDEX(Accounts!$R$2:$R$11,$F285),MIN(G285-INDEX(Accounts!$R$2:$R$11,$F285),INDEX(Accounts!$Q$2:$Q$11,$F285)+INDEX(Accounts!$S$2:$S$11,$F285))))),"")</f>
        <v/>
      </c>
      <c r="I285" s="16">
        <f>IF(AND($A285="",$B285="",$C285="",$D285="",$E285=""),"",IF(OR($A285="",$F285=""),"UNKNOWN_ACCOUNT",IF(OR($B285="",$C285=""),"INCOMPLETE",IFERROR(IF(OR(NOT(ISNUMBER($B285)),NOT(ISNUMBER($C285)),IF(C285="",FALSE,IF(ISNUMBER(C285),OR(C285&lt;=0,C285&gt;100000000,ROUND(C285*100,6)&lt;&gt;INT(ROUND(C285*100,6))),TRUE)),IF(D285="",FALSE,IF(ISNUMBER(D285),OR(D285&lt;=0,D285&gt;100000000,ROUND(D285*100,6)&lt;&gt;INT(ROUND(D285*100,6))),TRUE)),IF(E285="",FALSE,IF(ISNUMBER(E285),OR(E285&lt;=0,E285&gt;100000000,ROUND(E285*100,6)&lt;&gt;INT(ROUND(E285*100,6))),TRUE)),AND($D285&lt;&gt;"",$D285&lt;MAX($C285,$E285)),AND($E285&lt;&gt;"",$E285&gt;MIN($C285,IF($D285="",$C285,$D285))),COUNTIFS($A$2:$A$1001,$A285,$B$2:$B$1001,$B285)&gt;1),"INVALID",IFERROR(IF(IF(INDEX(Accounts!$T$2:$T$11,$F285),ROUND(IF($E285="",$C285,MIN($C285,$E285))-(H285),6)&lt;=0,ROUND(IF($E285="",$C285,MIN($C285,$E285))-(H285),6)&lt;0),"BREACHED","OK"),"INCOMPLETE")),"INVALID"))))</f>
        <v/>
      </c>
      <c r="J285" s="33">
        <f>IF(OR(I285="OK",I285="BREACHED"),-INT(ROUND(-(H285)*100,6))/100,I285)</f>
        <v/>
      </c>
    </row>
    <row r="286" ht="18" customHeight="1">
      <c r="A286" s="9" t="n"/>
      <c r="B286" s="32" t="n"/>
      <c r="C286" s="12" t="n"/>
      <c r="D286" s="12" t="n"/>
      <c r="E286" s="12" t="n"/>
      <c r="F286" s="15">
        <f>IFERROR(MATCH($A286,Accounts!$A$2:$A$11,0),"")</f>
        <v/>
      </c>
      <c r="G286" s="14">
        <f>IFERROR(IF(OR($A286="",$F286=""),"",IF(INDEX(Accounts!$P$2:$P$11,$F286)="static",INDEX(Accounts!$Q$2:$Q$11,$F286),IF(INDEX(Accounts!$P$2:$P$11,$F286)="eod_trailing",MAX(INDEX(Accounts!$Q$2:$Q$11,$F286),_xlfn.MAXIFS($C$2:$C$1001,$A$2:$A$1001,$A286,$B$2:$B$1001,"&lt;"&amp;$B286)),MAX(INDEX(Accounts!$Q$2:$Q$11,$F286),_xlfn.MAXIFS($C$2:$C$1001,$A$2:$A$1001,$A286,$B$2:$B$1001,"&lt;"&amp;$B286),_xlfn.MAXIFS($D$2:$D$1001,$A$2:$A$1001,$A286,$B$2:$B$1001,"&lt;="&amp;$B286),$C286)))),"")</f>
        <v/>
      </c>
      <c r="H286" s="15">
        <f>IFERROR(IF(G286="","",IF(INDEX(Accounts!$P$2:$P$11,$F286)="static",INDEX(Accounts!$Q$2:$Q$11,$F286)-INDEX(Accounts!$R$2:$R$11,$F286),IF(INDEX(Accounts!$S$2:$S$11,$F286)="NONE",G286-INDEX(Accounts!$R$2:$R$11,$F286),MIN(G286-INDEX(Accounts!$R$2:$R$11,$F286),INDEX(Accounts!$Q$2:$Q$11,$F286)+INDEX(Accounts!$S$2:$S$11,$F286))))),"")</f>
        <v/>
      </c>
      <c r="I286" s="16">
        <f>IF(AND($A286="",$B286="",$C286="",$D286="",$E286=""),"",IF(OR($A286="",$F286=""),"UNKNOWN_ACCOUNT",IF(OR($B286="",$C286=""),"INCOMPLETE",IFERROR(IF(OR(NOT(ISNUMBER($B286)),NOT(ISNUMBER($C286)),IF(C286="",FALSE,IF(ISNUMBER(C286),OR(C286&lt;=0,C286&gt;100000000,ROUND(C286*100,6)&lt;&gt;INT(ROUND(C286*100,6))),TRUE)),IF(D286="",FALSE,IF(ISNUMBER(D286),OR(D286&lt;=0,D286&gt;100000000,ROUND(D286*100,6)&lt;&gt;INT(ROUND(D286*100,6))),TRUE)),IF(E286="",FALSE,IF(ISNUMBER(E286),OR(E286&lt;=0,E286&gt;100000000,ROUND(E286*100,6)&lt;&gt;INT(ROUND(E286*100,6))),TRUE)),AND($D286&lt;&gt;"",$D286&lt;MAX($C286,$E286)),AND($E286&lt;&gt;"",$E286&gt;MIN($C286,IF($D286="",$C286,$D286))),COUNTIFS($A$2:$A$1001,$A286,$B$2:$B$1001,$B286)&gt;1),"INVALID",IFERROR(IF(IF(INDEX(Accounts!$T$2:$T$11,$F286),ROUND(IF($E286="",$C286,MIN($C286,$E286))-(H286),6)&lt;=0,ROUND(IF($E286="",$C286,MIN($C286,$E286))-(H286),6)&lt;0),"BREACHED","OK"),"INCOMPLETE")),"INVALID"))))</f>
        <v/>
      </c>
      <c r="J286" s="33">
        <f>IF(OR(I286="OK",I286="BREACHED"),-INT(ROUND(-(H286)*100,6))/100,I286)</f>
        <v/>
      </c>
    </row>
    <row r="287" ht="18" customHeight="1">
      <c r="A287" s="9" t="n"/>
      <c r="B287" s="32" t="n"/>
      <c r="C287" s="12" t="n"/>
      <c r="D287" s="12" t="n"/>
      <c r="E287" s="12" t="n"/>
      <c r="F287" s="15">
        <f>IFERROR(MATCH($A287,Accounts!$A$2:$A$11,0),"")</f>
        <v/>
      </c>
      <c r="G287" s="14">
        <f>IFERROR(IF(OR($A287="",$F287=""),"",IF(INDEX(Accounts!$P$2:$P$11,$F287)="static",INDEX(Accounts!$Q$2:$Q$11,$F287),IF(INDEX(Accounts!$P$2:$P$11,$F287)="eod_trailing",MAX(INDEX(Accounts!$Q$2:$Q$11,$F287),_xlfn.MAXIFS($C$2:$C$1001,$A$2:$A$1001,$A287,$B$2:$B$1001,"&lt;"&amp;$B287)),MAX(INDEX(Accounts!$Q$2:$Q$11,$F287),_xlfn.MAXIFS($C$2:$C$1001,$A$2:$A$1001,$A287,$B$2:$B$1001,"&lt;"&amp;$B287),_xlfn.MAXIFS($D$2:$D$1001,$A$2:$A$1001,$A287,$B$2:$B$1001,"&lt;="&amp;$B287),$C287)))),"")</f>
        <v/>
      </c>
      <c r="H287" s="15">
        <f>IFERROR(IF(G287="","",IF(INDEX(Accounts!$P$2:$P$11,$F287)="static",INDEX(Accounts!$Q$2:$Q$11,$F287)-INDEX(Accounts!$R$2:$R$11,$F287),IF(INDEX(Accounts!$S$2:$S$11,$F287)="NONE",G287-INDEX(Accounts!$R$2:$R$11,$F287),MIN(G287-INDEX(Accounts!$R$2:$R$11,$F287),INDEX(Accounts!$Q$2:$Q$11,$F287)+INDEX(Accounts!$S$2:$S$11,$F287))))),"")</f>
        <v/>
      </c>
      <c r="I287" s="16">
        <f>IF(AND($A287="",$B287="",$C287="",$D287="",$E287=""),"",IF(OR($A287="",$F287=""),"UNKNOWN_ACCOUNT",IF(OR($B287="",$C287=""),"INCOMPLETE",IFERROR(IF(OR(NOT(ISNUMBER($B287)),NOT(ISNUMBER($C287)),IF(C287="",FALSE,IF(ISNUMBER(C287),OR(C287&lt;=0,C287&gt;100000000,ROUND(C287*100,6)&lt;&gt;INT(ROUND(C287*100,6))),TRUE)),IF(D287="",FALSE,IF(ISNUMBER(D287),OR(D287&lt;=0,D287&gt;100000000,ROUND(D287*100,6)&lt;&gt;INT(ROUND(D287*100,6))),TRUE)),IF(E287="",FALSE,IF(ISNUMBER(E287),OR(E287&lt;=0,E287&gt;100000000,ROUND(E287*100,6)&lt;&gt;INT(ROUND(E287*100,6))),TRUE)),AND($D287&lt;&gt;"",$D287&lt;MAX($C287,$E287)),AND($E287&lt;&gt;"",$E287&gt;MIN($C287,IF($D287="",$C287,$D287))),COUNTIFS($A$2:$A$1001,$A287,$B$2:$B$1001,$B287)&gt;1),"INVALID",IFERROR(IF(IF(INDEX(Accounts!$T$2:$T$11,$F287),ROUND(IF($E287="",$C287,MIN($C287,$E287))-(H287),6)&lt;=0,ROUND(IF($E287="",$C287,MIN($C287,$E287))-(H287),6)&lt;0),"BREACHED","OK"),"INCOMPLETE")),"INVALID"))))</f>
        <v/>
      </c>
      <c r="J287" s="33">
        <f>IF(OR(I287="OK",I287="BREACHED"),-INT(ROUND(-(H287)*100,6))/100,I287)</f>
        <v/>
      </c>
    </row>
    <row r="288" ht="18" customHeight="1">
      <c r="A288" s="9" t="n"/>
      <c r="B288" s="32" t="n"/>
      <c r="C288" s="12" t="n"/>
      <c r="D288" s="12" t="n"/>
      <c r="E288" s="12" t="n"/>
      <c r="F288" s="15">
        <f>IFERROR(MATCH($A288,Accounts!$A$2:$A$11,0),"")</f>
        <v/>
      </c>
      <c r="G288" s="14">
        <f>IFERROR(IF(OR($A288="",$F288=""),"",IF(INDEX(Accounts!$P$2:$P$11,$F288)="static",INDEX(Accounts!$Q$2:$Q$11,$F288),IF(INDEX(Accounts!$P$2:$P$11,$F288)="eod_trailing",MAX(INDEX(Accounts!$Q$2:$Q$11,$F288),_xlfn.MAXIFS($C$2:$C$1001,$A$2:$A$1001,$A288,$B$2:$B$1001,"&lt;"&amp;$B288)),MAX(INDEX(Accounts!$Q$2:$Q$11,$F288),_xlfn.MAXIFS($C$2:$C$1001,$A$2:$A$1001,$A288,$B$2:$B$1001,"&lt;"&amp;$B288),_xlfn.MAXIFS($D$2:$D$1001,$A$2:$A$1001,$A288,$B$2:$B$1001,"&lt;="&amp;$B288),$C288)))),"")</f>
        <v/>
      </c>
      <c r="H288" s="15">
        <f>IFERROR(IF(G288="","",IF(INDEX(Accounts!$P$2:$P$11,$F288)="static",INDEX(Accounts!$Q$2:$Q$11,$F288)-INDEX(Accounts!$R$2:$R$11,$F288),IF(INDEX(Accounts!$S$2:$S$11,$F288)="NONE",G288-INDEX(Accounts!$R$2:$R$11,$F288),MIN(G288-INDEX(Accounts!$R$2:$R$11,$F288),INDEX(Accounts!$Q$2:$Q$11,$F288)+INDEX(Accounts!$S$2:$S$11,$F288))))),"")</f>
        <v/>
      </c>
      <c r="I288" s="16">
        <f>IF(AND($A288="",$B288="",$C288="",$D288="",$E288=""),"",IF(OR($A288="",$F288=""),"UNKNOWN_ACCOUNT",IF(OR($B288="",$C288=""),"INCOMPLETE",IFERROR(IF(OR(NOT(ISNUMBER($B288)),NOT(ISNUMBER($C288)),IF(C288="",FALSE,IF(ISNUMBER(C288),OR(C288&lt;=0,C288&gt;100000000,ROUND(C288*100,6)&lt;&gt;INT(ROUND(C288*100,6))),TRUE)),IF(D288="",FALSE,IF(ISNUMBER(D288),OR(D288&lt;=0,D288&gt;100000000,ROUND(D288*100,6)&lt;&gt;INT(ROUND(D288*100,6))),TRUE)),IF(E288="",FALSE,IF(ISNUMBER(E288),OR(E288&lt;=0,E288&gt;100000000,ROUND(E288*100,6)&lt;&gt;INT(ROUND(E288*100,6))),TRUE)),AND($D288&lt;&gt;"",$D288&lt;MAX($C288,$E288)),AND($E288&lt;&gt;"",$E288&gt;MIN($C288,IF($D288="",$C288,$D288))),COUNTIFS($A$2:$A$1001,$A288,$B$2:$B$1001,$B288)&gt;1),"INVALID",IFERROR(IF(IF(INDEX(Accounts!$T$2:$T$11,$F288),ROUND(IF($E288="",$C288,MIN($C288,$E288))-(H288),6)&lt;=0,ROUND(IF($E288="",$C288,MIN($C288,$E288))-(H288),6)&lt;0),"BREACHED","OK"),"INCOMPLETE")),"INVALID"))))</f>
        <v/>
      </c>
      <c r="J288" s="33">
        <f>IF(OR(I288="OK",I288="BREACHED"),-INT(ROUND(-(H288)*100,6))/100,I288)</f>
        <v/>
      </c>
    </row>
    <row r="289" ht="18" customHeight="1">
      <c r="A289" s="9" t="n"/>
      <c r="B289" s="32" t="n"/>
      <c r="C289" s="12" t="n"/>
      <c r="D289" s="12" t="n"/>
      <c r="E289" s="12" t="n"/>
      <c r="F289" s="15">
        <f>IFERROR(MATCH($A289,Accounts!$A$2:$A$11,0),"")</f>
        <v/>
      </c>
      <c r="G289" s="14">
        <f>IFERROR(IF(OR($A289="",$F289=""),"",IF(INDEX(Accounts!$P$2:$P$11,$F289)="static",INDEX(Accounts!$Q$2:$Q$11,$F289),IF(INDEX(Accounts!$P$2:$P$11,$F289)="eod_trailing",MAX(INDEX(Accounts!$Q$2:$Q$11,$F289),_xlfn.MAXIFS($C$2:$C$1001,$A$2:$A$1001,$A289,$B$2:$B$1001,"&lt;"&amp;$B289)),MAX(INDEX(Accounts!$Q$2:$Q$11,$F289),_xlfn.MAXIFS($C$2:$C$1001,$A$2:$A$1001,$A289,$B$2:$B$1001,"&lt;"&amp;$B289),_xlfn.MAXIFS($D$2:$D$1001,$A$2:$A$1001,$A289,$B$2:$B$1001,"&lt;="&amp;$B289),$C289)))),"")</f>
        <v/>
      </c>
      <c r="H289" s="15">
        <f>IFERROR(IF(G289="","",IF(INDEX(Accounts!$P$2:$P$11,$F289)="static",INDEX(Accounts!$Q$2:$Q$11,$F289)-INDEX(Accounts!$R$2:$R$11,$F289),IF(INDEX(Accounts!$S$2:$S$11,$F289)="NONE",G289-INDEX(Accounts!$R$2:$R$11,$F289),MIN(G289-INDEX(Accounts!$R$2:$R$11,$F289),INDEX(Accounts!$Q$2:$Q$11,$F289)+INDEX(Accounts!$S$2:$S$11,$F289))))),"")</f>
        <v/>
      </c>
      <c r="I289" s="16">
        <f>IF(AND($A289="",$B289="",$C289="",$D289="",$E289=""),"",IF(OR($A289="",$F289=""),"UNKNOWN_ACCOUNT",IF(OR($B289="",$C289=""),"INCOMPLETE",IFERROR(IF(OR(NOT(ISNUMBER($B289)),NOT(ISNUMBER($C289)),IF(C289="",FALSE,IF(ISNUMBER(C289),OR(C289&lt;=0,C289&gt;100000000,ROUND(C289*100,6)&lt;&gt;INT(ROUND(C289*100,6))),TRUE)),IF(D289="",FALSE,IF(ISNUMBER(D289),OR(D289&lt;=0,D289&gt;100000000,ROUND(D289*100,6)&lt;&gt;INT(ROUND(D289*100,6))),TRUE)),IF(E289="",FALSE,IF(ISNUMBER(E289),OR(E289&lt;=0,E289&gt;100000000,ROUND(E289*100,6)&lt;&gt;INT(ROUND(E289*100,6))),TRUE)),AND($D289&lt;&gt;"",$D289&lt;MAX($C289,$E289)),AND($E289&lt;&gt;"",$E289&gt;MIN($C289,IF($D289="",$C289,$D289))),COUNTIFS($A$2:$A$1001,$A289,$B$2:$B$1001,$B289)&gt;1),"INVALID",IFERROR(IF(IF(INDEX(Accounts!$T$2:$T$11,$F289),ROUND(IF($E289="",$C289,MIN($C289,$E289))-(H289),6)&lt;=0,ROUND(IF($E289="",$C289,MIN($C289,$E289))-(H289),6)&lt;0),"BREACHED","OK"),"INCOMPLETE")),"INVALID"))))</f>
        <v/>
      </c>
      <c r="J289" s="33">
        <f>IF(OR(I289="OK",I289="BREACHED"),-INT(ROUND(-(H289)*100,6))/100,I289)</f>
        <v/>
      </c>
    </row>
    <row r="290" ht="18" customHeight="1">
      <c r="A290" s="9" t="n"/>
      <c r="B290" s="32" t="n"/>
      <c r="C290" s="12" t="n"/>
      <c r="D290" s="12" t="n"/>
      <c r="E290" s="12" t="n"/>
      <c r="F290" s="15">
        <f>IFERROR(MATCH($A290,Accounts!$A$2:$A$11,0),"")</f>
        <v/>
      </c>
      <c r="G290" s="14">
        <f>IFERROR(IF(OR($A290="",$F290=""),"",IF(INDEX(Accounts!$P$2:$P$11,$F290)="static",INDEX(Accounts!$Q$2:$Q$11,$F290),IF(INDEX(Accounts!$P$2:$P$11,$F290)="eod_trailing",MAX(INDEX(Accounts!$Q$2:$Q$11,$F290),_xlfn.MAXIFS($C$2:$C$1001,$A$2:$A$1001,$A290,$B$2:$B$1001,"&lt;"&amp;$B290)),MAX(INDEX(Accounts!$Q$2:$Q$11,$F290),_xlfn.MAXIFS($C$2:$C$1001,$A$2:$A$1001,$A290,$B$2:$B$1001,"&lt;"&amp;$B290),_xlfn.MAXIFS($D$2:$D$1001,$A$2:$A$1001,$A290,$B$2:$B$1001,"&lt;="&amp;$B290),$C290)))),"")</f>
        <v/>
      </c>
      <c r="H290" s="15">
        <f>IFERROR(IF(G290="","",IF(INDEX(Accounts!$P$2:$P$11,$F290)="static",INDEX(Accounts!$Q$2:$Q$11,$F290)-INDEX(Accounts!$R$2:$R$11,$F290),IF(INDEX(Accounts!$S$2:$S$11,$F290)="NONE",G290-INDEX(Accounts!$R$2:$R$11,$F290),MIN(G290-INDEX(Accounts!$R$2:$R$11,$F290),INDEX(Accounts!$Q$2:$Q$11,$F290)+INDEX(Accounts!$S$2:$S$11,$F290))))),"")</f>
        <v/>
      </c>
      <c r="I290" s="16">
        <f>IF(AND($A290="",$B290="",$C290="",$D290="",$E290=""),"",IF(OR($A290="",$F290=""),"UNKNOWN_ACCOUNT",IF(OR($B290="",$C290=""),"INCOMPLETE",IFERROR(IF(OR(NOT(ISNUMBER($B290)),NOT(ISNUMBER($C290)),IF(C290="",FALSE,IF(ISNUMBER(C290),OR(C290&lt;=0,C290&gt;100000000,ROUND(C290*100,6)&lt;&gt;INT(ROUND(C290*100,6))),TRUE)),IF(D290="",FALSE,IF(ISNUMBER(D290),OR(D290&lt;=0,D290&gt;100000000,ROUND(D290*100,6)&lt;&gt;INT(ROUND(D290*100,6))),TRUE)),IF(E290="",FALSE,IF(ISNUMBER(E290),OR(E290&lt;=0,E290&gt;100000000,ROUND(E290*100,6)&lt;&gt;INT(ROUND(E290*100,6))),TRUE)),AND($D290&lt;&gt;"",$D290&lt;MAX($C290,$E290)),AND($E290&lt;&gt;"",$E290&gt;MIN($C290,IF($D290="",$C290,$D290))),COUNTIFS($A$2:$A$1001,$A290,$B$2:$B$1001,$B290)&gt;1),"INVALID",IFERROR(IF(IF(INDEX(Accounts!$T$2:$T$11,$F290),ROUND(IF($E290="",$C290,MIN($C290,$E290))-(H290),6)&lt;=0,ROUND(IF($E290="",$C290,MIN($C290,$E290))-(H290),6)&lt;0),"BREACHED","OK"),"INCOMPLETE")),"INVALID"))))</f>
        <v/>
      </c>
      <c r="J290" s="33">
        <f>IF(OR(I290="OK",I290="BREACHED"),-INT(ROUND(-(H290)*100,6))/100,I290)</f>
        <v/>
      </c>
    </row>
    <row r="291" ht="18" customHeight="1">
      <c r="A291" s="9" t="n"/>
      <c r="B291" s="32" t="n"/>
      <c r="C291" s="12" t="n"/>
      <c r="D291" s="12" t="n"/>
      <c r="E291" s="12" t="n"/>
      <c r="F291" s="15">
        <f>IFERROR(MATCH($A291,Accounts!$A$2:$A$11,0),"")</f>
        <v/>
      </c>
      <c r="G291" s="14">
        <f>IFERROR(IF(OR($A291="",$F291=""),"",IF(INDEX(Accounts!$P$2:$P$11,$F291)="static",INDEX(Accounts!$Q$2:$Q$11,$F291),IF(INDEX(Accounts!$P$2:$P$11,$F291)="eod_trailing",MAX(INDEX(Accounts!$Q$2:$Q$11,$F291),_xlfn.MAXIFS($C$2:$C$1001,$A$2:$A$1001,$A291,$B$2:$B$1001,"&lt;"&amp;$B291)),MAX(INDEX(Accounts!$Q$2:$Q$11,$F291),_xlfn.MAXIFS($C$2:$C$1001,$A$2:$A$1001,$A291,$B$2:$B$1001,"&lt;"&amp;$B291),_xlfn.MAXIFS($D$2:$D$1001,$A$2:$A$1001,$A291,$B$2:$B$1001,"&lt;="&amp;$B291),$C291)))),"")</f>
        <v/>
      </c>
      <c r="H291" s="15">
        <f>IFERROR(IF(G291="","",IF(INDEX(Accounts!$P$2:$P$11,$F291)="static",INDEX(Accounts!$Q$2:$Q$11,$F291)-INDEX(Accounts!$R$2:$R$11,$F291),IF(INDEX(Accounts!$S$2:$S$11,$F291)="NONE",G291-INDEX(Accounts!$R$2:$R$11,$F291),MIN(G291-INDEX(Accounts!$R$2:$R$11,$F291),INDEX(Accounts!$Q$2:$Q$11,$F291)+INDEX(Accounts!$S$2:$S$11,$F291))))),"")</f>
        <v/>
      </c>
      <c r="I291" s="16">
        <f>IF(AND($A291="",$B291="",$C291="",$D291="",$E291=""),"",IF(OR($A291="",$F291=""),"UNKNOWN_ACCOUNT",IF(OR($B291="",$C291=""),"INCOMPLETE",IFERROR(IF(OR(NOT(ISNUMBER($B291)),NOT(ISNUMBER($C291)),IF(C291="",FALSE,IF(ISNUMBER(C291),OR(C291&lt;=0,C291&gt;100000000,ROUND(C291*100,6)&lt;&gt;INT(ROUND(C291*100,6))),TRUE)),IF(D291="",FALSE,IF(ISNUMBER(D291),OR(D291&lt;=0,D291&gt;100000000,ROUND(D291*100,6)&lt;&gt;INT(ROUND(D291*100,6))),TRUE)),IF(E291="",FALSE,IF(ISNUMBER(E291),OR(E291&lt;=0,E291&gt;100000000,ROUND(E291*100,6)&lt;&gt;INT(ROUND(E291*100,6))),TRUE)),AND($D291&lt;&gt;"",$D291&lt;MAX($C291,$E291)),AND($E291&lt;&gt;"",$E291&gt;MIN($C291,IF($D291="",$C291,$D291))),COUNTIFS($A$2:$A$1001,$A291,$B$2:$B$1001,$B291)&gt;1),"INVALID",IFERROR(IF(IF(INDEX(Accounts!$T$2:$T$11,$F291),ROUND(IF($E291="",$C291,MIN($C291,$E291))-(H291),6)&lt;=0,ROUND(IF($E291="",$C291,MIN($C291,$E291))-(H291),6)&lt;0),"BREACHED","OK"),"INCOMPLETE")),"INVALID"))))</f>
        <v/>
      </c>
      <c r="J291" s="33">
        <f>IF(OR(I291="OK",I291="BREACHED"),-INT(ROUND(-(H291)*100,6))/100,I291)</f>
        <v/>
      </c>
    </row>
    <row r="292" ht="18" customHeight="1">
      <c r="A292" s="9" t="n"/>
      <c r="B292" s="32" t="n"/>
      <c r="C292" s="12" t="n"/>
      <c r="D292" s="12" t="n"/>
      <c r="E292" s="12" t="n"/>
      <c r="F292" s="15">
        <f>IFERROR(MATCH($A292,Accounts!$A$2:$A$11,0),"")</f>
        <v/>
      </c>
      <c r="G292" s="14">
        <f>IFERROR(IF(OR($A292="",$F292=""),"",IF(INDEX(Accounts!$P$2:$P$11,$F292)="static",INDEX(Accounts!$Q$2:$Q$11,$F292),IF(INDEX(Accounts!$P$2:$P$11,$F292)="eod_trailing",MAX(INDEX(Accounts!$Q$2:$Q$11,$F292),_xlfn.MAXIFS($C$2:$C$1001,$A$2:$A$1001,$A292,$B$2:$B$1001,"&lt;"&amp;$B292)),MAX(INDEX(Accounts!$Q$2:$Q$11,$F292),_xlfn.MAXIFS($C$2:$C$1001,$A$2:$A$1001,$A292,$B$2:$B$1001,"&lt;"&amp;$B292),_xlfn.MAXIFS($D$2:$D$1001,$A$2:$A$1001,$A292,$B$2:$B$1001,"&lt;="&amp;$B292),$C292)))),"")</f>
        <v/>
      </c>
      <c r="H292" s="15">
        <f>IFERROR(IF(G292="","",IF(INDEX(Accounts!$P$2:$P$11,$F292)="static",INDEX(Accounts!$Q$2:$Q$11,$F292)-INDEX(Accounts!$R$2:$R$11,$F292),IF(INDEX(Accounts!$S$2:$S$11,$F292)="NONE",G292-INDEX(Accounts!$R$2:$R$11,$F292),MIN(G292-INDEX(Accounts!$R$2:$R$11,$F292),INDEX(Accounts!$Q$2:$Q$11,$F292)+INDEX(Accounts!$S$2:$S$11,$F292))))),"")</f>
        <v/>
      </c>
      <c r="I292" s="16">
        <f>IF(AND($A292="",$B292="",$C292="",$D292="",$E292=""),"",IF(OR($A292="",$F292=""),"UNKNOWN_ACCOUNT",IF(OR($B292="",$C292=""),"INCOMPLETE",IFERROR(IF(OR(NOT(ISNUMBER($B292)),NOT(ISNUMBER($C292)),IF(C292="",FALSE,IF(ISNUMBER(C292),OR(C292&lt;=0,C292&gt;100000000,ROUND(C292*100,6)&lt;&gt;INT(ROUND(C292*100,6))),TRUE)),IF(D292="",FALSE,IF(ISNUMBER(D292),OR(D292&lt;=0,D292&gt;100000000,ROUND(D292*100,6)&lt;&gt;INT(ROUND(D292*100,6))),TRUE)),IF(E292="",FALSE,IF(ISNUMBER(E292),OR(E292&lt;=0,E292&gt;100000000,ROUND(E292*100,6)&lt;&gt;INT(ROUND(E292*100,6))),TRUE)),AND($D292&lt;&gt;"",$D292&lt;MAX($C292,$E292)),AND($E292&lt;&gt;"",$E292&gt;MIN($C292,IF($D292="",$C292,$D292))),COUNTIFS($A$2:$A$1001,$A292,$B$2:$B$1001,$B292)&gt;1),"INVALID",IFERROR(IF(IF(INDEX(Accounts!$T$2:$T$11,$F292),ROUND(IF($E292="",$C292,MIN($C292,$E292))-(H292),6)&lt;=0,ROUND(IF($E292="",$C292,MIN($C292,$E292))-(H292),6)&lt;0),"BREACHED","OK"),"INCOMPLETE")),"INVALID"))))</f>
        <v/>
      </c>
      <c r="J292" s="33">
        <f>IF(OR(I292="OK",I292="BREACHED"),-INT(ROUND(-(H292)*100,6))/100,I292)</f>
        <v/>
      </c>
    </row>
    <row r="293" ht="18" customHeight="1">
      <c r="A293" s="9" t="n"/>
      <c r="B293" s="32" t="n"/>
      <c r="C293" s="12" t="n"/>
      <c r="D293" s="12" t="n"/>
      <c r="E293" s="12" t="n"/>
      <c r="F293" s="15">
        <f>IFERROR(MATCH($A293,Accounts!$A$2:$A$11,0),"")</f>
        <v/>
      </c>
      <c r="G293" s="14">
        <f>IFERROR(IF(OR($A293="",$F293=""),"",IF(INDEX(Accounts!$P$2:$P$11,$F293)="static",INDEX(Accounts!$Q$2:$Q$11,$F293),IF(INDEX(Accounts!$P$2:$P$11,$F293)="eod_trailing",MAX(INDEX(Accounts!$Q$2:$Q$11,$F293),_xlfn.MAXIFS($C$2:$C$1001,$A$2:$A$1001,$A293,$B$2:$B$1001,"&lt;"&amp;$B293)),MAX(INDEX(Accounts!$Q$2:$Q$11,$F293),_xlfn.MAXIFS($C$2:$C$1001,$A$2:$A$1001,$A293,$B$2:$B$1001,"&lt;"&amp;$B293),_xlfn.MAXIFS($D$2:$D$1001,$A$2:$A$1001,$A293,$B$2:$B$1001,"&lt;="&amp;$B293),$C293)))),"")</f>
        <v/>
      </c>
      <c r="H293" s="15">
        <f>IFERROR(IF(G293="","",IF(INDEX(Accounts!$P$2:$P$11,$F293)="static",INDEX(Accounts!$Q$2:$Q$11,$F293)-INDEX(Accounts!$R$2:$R$11,$F293),IF(INDEX(Accounts!$S$2:$S$11,$F293)="NONE",G293-INDEX(Accounts!$R$2:$R$11,$F293),MIN(G293-INDEX(Accounts!$R$2:$R$11,$F293),INDEX(Accounts!$Q$2:$Q$11,$F293)+INDEX(Accounts!$S$2:$S$11,$F293))))),"")</f>
        <v/>
      </c>
      <c r="I293" s="16">
        <f>IF(AND($A293="",$B293="",$C293="",$D293="",$E293=""),"",IF(OR($A293="",$F293=""),"UNKNOWN_ACCOUNT",IF(OR($B293="",$C293=""),"INCOMPLETE",IFERROR(IF(OR(NOT(ISNUMBER($B293)),NOT(ISNUMBER($C293)),IF(C293="",FALSE,IF(ISNUMBER(C293),OR(C293&lt;=0,C293&gt;100000000,ROUND(C293*100,6)&lt;&gt;INT(ROUND(C293*100,6))),TRUE)),IF(D293="",FALSE,IF(ISNUMBER(D293),OR(D293&lt;=0,D293&gt;100000000,ROUND(D293*100,6)&lt;&gt;INT(ROUND(D293*100,6))),TRUE)),IF(E293="",FALSE,IF(ISNUMBER(E293),OR(E293&lt;=0,E293&gt;100000000,ROUND(E293*100,6)&lt;&gt;INT(ROUND(E293*100,6))),TRUE)),AND($D293&lt;&gt;"",$D293&lt;MAX($C293,$E293)),AND($E293&lt;&gt;"",$E293&gt;MIN($C293,IF($D293="",$C293,$D293))),COUNTIFS($A$2:$A$1001,$A293,$B$2:$B$1001,$B293)&gt;1),"INVALID",IFERROR(IF(IF(INDEX(Accounts!$T$2:$T$11,$F293),ROUND(IF($E293="",$C293,MIN($C293,$E293))-(H293),6)&lt;=0,ROUND(IF($E293="",$C293,MIN($C293,$E293))-(H293),6)&lt;0),"BREACHED","OK"),"INCOMPLETE")),"INVALID"))))</f>
        <v/>
      </c>
      <c r="J293" s="33">
        <f>IF(OR(I293="OK",I293="BREACHED"),-INT(ROUND(-(H293)*100,6))/100,I293)</f>
        <v/>
      </c>
    </row>
    <row r="294" ht="18" customHeight="1">
      <c r="A294" s="9" t="n"/>
      <c r="B294" s="32" t="n"/>
      <c r="C294" s="12" t="n"/>
      <c r="D294" s="12" t="n"/>
      <c r="E294" s="12" t="n"/>
      <c r="F294" s="15">
        <f>IFERROR(MATCH($A294,Accounts!$A$2:$A$11,0),"")</f>
        <v/>
      </c>
      <c r="G294" s="14">
        <f>IFERROR(IF(OR($A294="",$F294=""),"",IF(INDEX(Accounts!$P$2:$P$11,$F294)="static",INDEX(Accounts!$Q$2:$Q$11,$F294),IF(INDEX(Accounts!$P$2:$P$11,$F294)="eod_trailing",MAX(INDEX(Accounts!$Q$2:$Q$11,$F294),_xlfn.MAXIFS($C$2:$C$1001,$A$2:$A$1001,$A294,$B$2:$B$1001,"&lt;"&amp;$B294)),MAX(INDEX(Accounts!$Q$2:$Q$11,$F294),_xlfn.MAXIFS($C$2:$C$1001,$A$2:$A$1001,$A294,$B$2:$B$1001,"&lt;"&amp;$B294),_xlfn.MAXIFS($D$2:$D$1001,$A$2:$A$1001,$A294,$B$2:$B$1001,"&lt;="&amp;$B294),$C294)))),"")</f>
        <v/>
      </c>
      <c r="H294" s="15">
        <f>IFERROR(IF(G294="","",IF(INDEX(Accounts!$P$2:$P$11,$F294)="static",INDEX(Accounts!$Q$2:$Q$11,$F294)-INDEX(Accounts!$R$2:$R$11,$F294),IF(INDEX(Accounts!$S$2:$S$11,$F294)="NONE",G294-INDEX(Accounts!$R$2:$R$11,$F294),MIN(G294-INDEX(Accounts!$R$2:$R$11,$F294),INDEX(Accounts!$Q$2:$Q$11,$F294)+INDEX(Accounts!$S$2:$S$11,$F294))))),"")</f>
        <v/>
      </c>
      <c r="I294" s="16">
        <f>IF(AND($A294="",$B294="",$C294="",$D294="",$E294=""),"",IF(OR($A294="",$F294=""),"UNKNOWN_ACCOUNT",IF(OR($B294="",$C294=""),"INCOMPLETE",IFERROR(IF(OR(NOT(ISNUMBER($B294)),NOT(ISNUMBER($C294)),IF(C294="",FALSE,IF(ISNUMBER(C294),OR(C294&lt;=0,C294&gt;100000000,ROUND(C294*100,6)&lt;&gt;INT(ROUND(C294*100,6))),TRUE)),IF(D294="",FALSE,IF(ISNUMBER(D294),OR(D294&lt;=0,D294&gt;100000000,ROUND(D294*100,6)&lt;&gt;INT(ROUND(D294*100,6))),TRUE)),IF(E294="",FALSE,IF(ISNUMBER(E294),OR(E294&lt;=0,E294&gt;100000000,ROUND(E294*100,6)&lt;&gt;INT(ROUND(E294*100,6))),TRUE)),AND($D294&lt;&gt;"",$D294&lt;MAX($C294,$E294)),AND($E294&lt;&gt;"",$E294&gt;MIN($C294,IF($D294="",$C294,$D294))),COUNTIFS($A$2:$A$1001,$A294,$B$2:$B$1001,$B294)&gt;1),"INVALID",IFERROR(IF(IF(INDEX(Accounts!$T$2:$T$11,$F294),ROUND(IF($E294="",$C294,MIN($C294,$E294))-(H294),6)&lt;=0,ROUND(IF($E294="",$C294,MIN($C294,$E294))-(H294),6)&lt;0),"BREACHED","OK"),"INCOMPLETE")),"INVALID"))))</f>
        <v/>
      </c>
      <c r="J294" s="33">
        <f>IF(OR(I294="OK",I294="BREACHED"),-INT(ROUND(-(H294)*100,6))/100,I294)</f>
        <v/>
      </c>
    </row>
    <row r="295" ht="18" customHeight="1">
      <c r="A295" s="9" t="n"/>
      <c r="B295" s="32" t="n"/>
      <c r="C295" s="12" t="n"/>
      <c r="D295" s="12" t="n"/>
      <c r="E295" s="12" t="n"/>
      <c r="F295" s="15">
        <f>IFERROR(MATCH($A295,Accounts!$A$2:$A$11,0),"")</f>
        <v/>
      </c>
      <c r="G295" s="14">
        <f>IFERROR(IF(OR($A295="",$F295=""),"",IF(INDEX(Accounts!$P$2:$P$11,$F295)="static",INDEX(Accounts!$Q$2:$Q$11,$F295),IF(INDEX(Accounts!$P$2:$P$11,$F295)="eod_trailing",MAX(INDEX(Accounts!$Q$2:$Q$11,$F295),_xlfn.MAXIFS($C$2:$C$1001,$A$2:$A$1001,$A295,$B$2:$B$1001,"&lt;"&amp;$B295)),MAX(INDEX(Accounts!$Q$2:$Q$11,$F295),_xlfn.MAXIFS($C$2:$C$1001,$A$2:$A$1001,$A295,$B$2:$B$1001,"&lt;"&amp;$B295),_xlfn.MAXIFS($D$2:$D$1001,$A$2:$A$1001,$A295,$B$2:$B$1001,"&lt;="&amp;$B295),$C295)))),"")</f>
        <v/>
      </c>
      <c r="H295" s="15">
        <f>IFERROR(IF(G295="","",IF(INDEX(Accounts!$P$2:$P$11,$F295)="static",INDEX(Accounts!$Q$2:$Q$11,$F295)-INDEX(Accounts!$R$2:$R$11,$F295),IF(INDEX(Accounts!$S$2:$S$11,$F295)="NONE",G295-INDEX(Accounts!$R$2:$R$11,$F295),MIN(G295-INDEX(Accounts!$R$2:$R$11,$F295),INDEX(Accounts!$Q$2:$Q$11,$F295)+INDEX(Accounts!$S$2:$S$11,$F295))))),"")</f>
        <v/>
      </c>
      <c r="I295" s="16">
        <f>IF(AND($A295="",$B295="",$C295="",$D295="",$E295=""),"",IF(OR($A295="",$F295=""),"UNKNOWN_ACCOUNT",IF(OR($B295="",$C295=""),"INCOMPLETE",IFERROR(IF(OR(NOT(ISNUMBER($B295)),NOT(ISNUMBER($C295)),IF(C295="",FALSE,IF(ISNUMBER(C295),OR(C295&lt;=0,C295&gt;100000000,ROUND(C295*100,6)&lt;&gt;INT(ROUND(C295*100,6))),TRUE)),IF(D295="",FALSE,IF(ISNUMBER(D295),OR(D295&lt;=0,D295&gt;100000000,ROUND(D295*100,6)&lt;&gt;INT(ROUND(D295*100,6))),TRUE)),IF(E295="",FALSE,IF(ISNUMBER(E295),OR(E295&lt;=0,E295&gt;100000000,ROUND(E295*100,6)&lt;&gt;INT(ROUND(E295*100,6))),TRUE)),AND($D295&lt;&gt;"",$D295&lt;MAX($C295,$E295)),AND($E295&lt;&gt;"",$E295&gt;MIN($C295,IF($D295="",$C295,$D295))),COUNTIFS($A$2:$A$1001,$A295,$B$2:$B$1001,$B295)&gt;1),"INVALID",IFERROR(IF(IF(INDEX(Accounts!$T$2:$T$11,$F295),ROUND(IF($E295="",$C295,MIN($C295,$E295))-(H295),6)&lt;=0,ROUND(IF($E295="",$C295,MIN($C295,$E295))-(H295),6)&lt;0),"BREACHED","OK"),"INCOMPLETE")),"INVALID"))))</f>
        <v/>
      </c>
      <c r="J295" s="33">
        <f>IF(OR(I295="OK",I295="BREACHED"),-INT(ROUND(-(H295)*100,6))/100,I295)</f>
        <v/>
      </c>
    </row>
    <row r="296" ht="18" customHeight="1">
      <c r="A296" s="9" t="n"/>
      <c r="B296" s="32" t="n"/>
      <c r="C296" s="12" t="n"/>
      <c r="D296" s="12" t="n"/>
      <c r="E296" s="12" t="n"/>
      <c r="F296" s="15">
        <f>IFERROR(MATCH($A296,Accounts!$A$2:$A$11,0),"")</f>
        <v/>
      </c>
      <c r="G296" s="14">
        <f>IFERROR(IF(OR($A296="",$F296=""),"",IF(INDEX(Accounts!$P$2:$P$11,$F296)="static",INDEX(Accounts!$Q$2:$Q$11,$F296),IF(INDEX(Accounts!$P$2:$P$11,$F296)="eod_trailing",MAX(INDEX(Accounts!$Q$2:$Q$11,$F296),_xlfn.MAXIFS($C$2:$C$1001,$A$2:$A$1001,$A296,$B$2:$B$1001,"&lt;"&amp;$B296)),MAX(INDEX(Accounts!$Q$2:$Q$11,$F296),_xlfn.MAXIFS($C$2:$C$1001,$A$2:$A$1001,$A296,$B$2:$B$1001,"&lt;"&amp;$B296),_xlfn.MAXIFS($D$2:$D$1001,$A$2:$A$1001,$A296,$B$2:$B$1001,"&lt;="&amp;$B296),$C296)))),"")</f>
        <v/>
      </c>
      <c r="H296" s="15">
        <f>IFERROR(IF(G296="","",IF(INDEX(Accounts!$P$2:$P$11,$F296)="static",INDEX(Accounts!$Q$2:$Q$11,$F296)-INDEX(Accounts!$R$2:$R$11,$F296),IF(INDEX(Accounts!$S$2:$S$11,$F296)="NONE",G296-INDEX(Accounts!$R$2:$R$11,$F296),MIN(G296-INDEX(Accounts!$R$2:$R$11,$F296),INDEX(Accounts!$Q$2:$Q$11,$F296)+INDEX(Accounts!$S$2:$S$11,$F296))))),"")</f>
        <v/>
      </c>
      <c r="I296" s="16">
        <f>IF(AND($A296="",$B296="",$C296="",$D296="",$E296=""),"",IF(OR($A296="",$F296=""),"UNKNOWN_ACCOUNT",IF(OR($B296="",$C296=""),"INCOMPLETE",IFERROR(IF(OR(NOT(ISNUMBER($B296)),NOT(ISNUMBER($C296)),IF(C296="",FALSE,IF(ISNUMBER(C296),OR(C296&lt;=0,C296&gt;100000000,ROUND(C296*100,6)&lt;&gt;INT(ROUND(C296*100,6))),TRUE)),IF(D296="",FALSE,IF(ISNUMBER(D296),OR(D296&lt;=0,D296&gt;100000000,ROUND(D296*100,6)&lt;&gt;INT(ROUND(D296*100,6))),TRUE)),IF(E296="",FALSE,IF(ISNUMBER(E296),OR(E296&lt;=0,E296&gt;100000000,ROUND(E296*100,6)&lt;&gt;INT(ROUND(E296*100,6))),TRUE)),AND($D296&lt;&gt;"",$D296&lt;MAX($C296,$E296)),AND($E296&lt;&gt;"",$E296&gt;MIN($C296,IF($D296="",$C296,$D296))),COUNTIFS($A$2:$A$1001,$A296,$B$2:$B$1001,$B296)&gt;1),"INVALID",IFERROR(IF(IF(INDEX(Accounts!$T$2:$T$11,$F296),ROUND(IF($E296="",$C296,MIN($C296,$E296))-(H296),6)&lt;=0,ROUND(IF($E296="",$C296,MIN($C296,$E296))-(H296),6)&lt;0),"BREACHED","OK"),"INCOMPLETE")),"INVALID"))))</f>
        <v/>
      </c>
      <c r="J296" s="33">
        <f>IF(OR(I296="OK",I296="BREACHED"),-INT(ROUND(-(H296)*100,6))/100,I296)</f>
        <v/>
      </c>
    </row>
    <row r="297" ht="18" customHeight="1">
      <c r="A297" s="9" t="n"/>
      <c r="B297" s="32" t="n"/>
      <c r="C297" s="12" t="n"/>
      <c r="D297" s="12" t="n"/>
      <c r="E297" s="12" t="n"/>
      <c r="F297" s="15">
        <f>IFERROR(MATCH($A297,Accounts!$A$2:$A$11,0),"")</f>
        <v/>
      </c>
      <c r="G297" s="14">
        <f>IFERROR(IF(OR($A297="",$F297=""),"",IF(INDEX(Accounts!$P$2:$P$11,$F297)="static",INDEX(Accounts!$Q$2:$Q$11,$F297),IF(INDEX(Accounts!$P$2:$P$11,$F297)="eod_trailing",MAX(INDEX(Accounts!$Q$2:$Q$11,$F297),_xlfn.MAXIFS($C$2:$C$1001,$A$2:$A$1001,$A297,$B$2:$B$1001,"&lt;"&amp;$B297)),MAX(INDEX(Accounts!$Q$2:$Q$11,$F297),_xlfn.MAXIFS($C$2:$C$1001,$A$2:$A$1001,$A297,$B$2:$B$1001,"&lt;"&amp;$B297),_xlfn.MAXIFS($D$2:$D$1001,$A$2:$A$1001,$A297,$B$2:$B$1001,"&lt;="&amp;$B297),$C297)))),"")</f>
        <v/>
      </c>
      <c r="H297" s="15">
        <f>IFERROR(IF(G297="","",IF(INDEX(Accounts!$P$2:$P$11,$F297)="static",INDEX(Accounts!$Q$2:$Q$11,$F297)-INDEX(Accounts!$R$2:$R$11,$F297),IF(INDEX(Accounts!$S$2:$S$11,$F297)="NONE",G297-INDEX(Accounts!$R$2:$R$11,$F297),MIN(G297-INDEX(Accounts!$R$2:$R$11,$F297),INDEX(Accounts!$Q$2:$Q$11,$F297)+INDEX(Accounts!$S$2:$S$11,$F297))))),"")</f>
        <v/>
      </c>
      <c r="I297" s="16">
        <f>IF(AND($A297="",$B297="",$C297="",$D297="",$E297=""),"",IF(OR($A297="",$F297=""),"UNKNOWN_ACCOUNT",IF(OR($B297="",$C297=""),"INCOMPLETE",IFERROR(IF(OR(NOT(ISNUMBER($B297)),NOT(ISNUMBER($C297)),IF(C297="",FALSE,IF(ISNUMBER(C297),OR(C297&lt;=0,C297&gt;100000000,ROUND(C297*100,6)&lt;&gt;INT(ROUND(C297*100,6))),TRUE)),IF(D297="",FALSE,IF(ISNUMBER(D297),OR(D297&lt;=0,D297&gt;100000000,ROUND(D297*100,6)&lt;&gt;INT(ROUND(D297*100,6))),TRUE)),IF(E297="",FALSE,IF(ISNUMBER(E297),OR(E297&lt;=0,E297&gt;100000000,ROUND(E297*100,6)&lt;&gt;INT(ROUND(E297*100,6))),TRUE)),AND($D297&lt;&gt;"",$D297&lt;MAX($C297,$E297)),AND($E297&lt;&gt;"",$E297&gt;MIN($C297,IF($D297="",$C297,$D297))),COUNTIFS($A$2:$A$1001,$A297,$B$2:$B$1001,$B297)&gt;1),"INVALID",IFERROR(IF(IF(INDEX(Accounts!$T$2:$T$11,$F297),ROUND(IF($E297="",$C297,MIN($C297,$E297))-(H297),6)&lt;=0,ROUND(IF($E297="",$C297,MIN($C297,$E297))-(H297),6)&lt;0),"BREACHED","OK"),"INCOMPLETE")),"INVALID"))))</f>
        <v/>
      </c>
      <c r="J297" s="33">
        <f>IF(OR(I297="OK",I297="BREACHED"),-INT(ROUND(-(H297)*100,6))/100,I297)</f>
        <v/>
      </c>
    </row>
    <row r="298" ht="18" customHeight="1">
      <c r="A298" s="9" t="n"/>
      <c r="B298" s="32" t="n"/>
      <c r="C298" s="12" t="n"/>
      <c r="D298" s="12" t="n"/>
      <c r="E298" s="12" t="n"/>
      <c r="F298" s="15">
        <f>IFERROR(MATCH($A298,Accounts!$A$2:$A$11,0),"")</f>
        <v/>
      </c>
      <c r="G298" s="14">
        <f>IFERROR(IF(OR($A298="",$F298=""),"",IF(INDEX(Accounts!$P$2:$P$11,$F298)="static",INDEX(Accounts!$Q$2:$Q$11,$F298),IF(INDEX(Accounts!$P$2:$P$11,$F298)="eod_trailing",MAX(INDEX(Accounts!$Q$2:$Q$11,$F298),_xlfn.MAXIFS($C$2:$C$1001,$A$2:$A$1001,$A298,$B$2:$B$1001,"&lt;"&amp;$B298)),MAX(INDEX(Accounts!$Q$2:$Q$11,$F298),_xlfn.MAXIFS($C$2:$C$1001,$A$2:$A$1001,$A298,$B$2:$B$1001,"&lt;"&amp;$B298),_xlfn.MAXIFS($D$2:$D$1001,$A$2:$A$1001,$A298,$B$2:$B$1001,"&lt;="&amp;$B298),$C298)))),"")</f>
        <v/>
      </c>
      <c r="H298" s="15">
        <f>IFERROR(IF(G298="","",IF(INDEX(Accounts!$P$2:$P$11,$F298)="static",INDEX(Accounts!$Q$2:$Q$11,$F298)-INDEX(Accounts!$R$2:$R$11,$F298),IF(INDEX(Accounts!$S$2:$S$11,$F298)="NONE",G298-INDEX(Accounts!$R$2:$R$11,$F298),MIN(G298-INDEX(Accounts!$R$2:$R$11,$F298),INDEX(Accounts!$Q$2:$Q$11,$F298)+INDEX(Accounts!$S$2:$S$11,$F298))))),"")</f>
        <v/>
      </c>
      <c r="I298" s="16">
        <f>IF(AND($A298="",$B298="",$C298="",$D298="",$E298=""),"",IF(OR($A298="",$F298=""),"UNKNOWN_ACCOUNT",IF(OR($B298="",$C298=""),"INCOMPLETE",IFERROR(IF(OR(NOT(ISNUMBER($B298)),NOT(ISNUMBER($C298)),IF(C298="",FALSE,IF(ISNUMBER(C298),OR(C298&lt;=0,C298&gt;100000000,ROUND(C298*100,6)&lt;&gt;INT(ROUND(C298*100,6))),TRUE)),IF(D298="",FALSE,IF(ISNUMBER(D298),OR(D298&lt;=0,D298&gt;100000000,ROUND(D298*100,6)&lt;&gt;INT(ROUND(D298*100,6))),TRUE)),IF(E298="",FALSE,IF(ISNUMBER(E298),OR(E298&lt;=0,E298&gt;100000000,ROUND(E298*100,6)&lt;&gt;INT(ROUND(E298*100,6))),TRUE)),AND($D298&lt;&gt;"",$D298&lt;MAX($C298,$E298)),AND($E298&lt;&gt;"",$E298&gt;MIN($C298,IF($D298="",$C298,$D298))),COUNTIFS($A$2:$A$1001,$A298,$B$2:$B$1001,$B298)&gt;1),"INVALID",IFERROR(IF(IF(INDEX(Accounts!$T$2:$T$11,$F298),ROUND(IF($E298="",$C298,MIN($C298,$E298))-(H298),6)&lt;=0,ROUND(IF($E298="",$C298,MIN($C298,$E298))-(H298),6)&lt;0),"BREACHED","OK"),"INCOMPLETE")),"INVALID"))))</f>
        <v/>
      </c>
      <c r="J298" s="33">
        <f>IF(OR(I298="OK",I298="BREACHED"),-INT(ROUND(-(H298)*100,6))/100,I298)</f>
        <v/>
      </c>
    </row>
    <row r="299" ht="18" customHeight="1">
      <c r="A299" s="9" t="n"/>
      <c r="B299" s="32" t="n"/>
      <c r="C299" s="12" t="n"/>
      <c r="D299" s="12" t="n"/>
      <c r="E299" s="12" t="n"/>
      <c r="F299" s="15">
        <f>IFERROR(MATCH($A299,Accounts!$A$2:$A$11,0),"")</f>
        <v/>
      </c>
      <c r="G299" s="14">
        <f>IFERROR(IF(OR($A299="",$F299=""),"",IF(INDEX(Accounts!$P$2:$P$11,$F299)="static",INDEX(Accounts!$Q$2:$Q$11,$F299),IF(INDEX(Accounts!$P$2:$P$11,$F299)="eod_trailing",MAX(INDEX(Accounts!$Q$2:$Q$11,$F299),_xlfn.MAXIFS($C$2:$C$1001,$A$2:$A$1001,$A299,$B$2:$B$1001,"&lt;"&amp;$B299)),MAX(INDEX(Accounts!$Q$2:$Q$11,$F299),_xlfn.MAXIFS($C$2:$C$1001,$A$2:$A$1001,$A299,$B$2:$B$1001,"&lt;"&amp;$B299),_xlfn.MAXIFS($D$2:$D$1001,$A$2:$A$1001,$A299,$B$2:$B$1001,"&lt;="&amp;$B299),$C299)))),"")</f>
        <v/>
      </c>
      <c r="H299" s="15">
        <f>IFERROR(IF(G299="","",IF(INDEX(Accounts!$P$2:$P$11,$F299)="static",INDEX(Accounts!$Q$2:$Q$11,$F299)-INDEX(Accounts!$R$2:$R$11,$F299),IF(INDEX(Accounts!$S$2:$S$11,$F299)="NONE",G299-INDEX(Accounts!$R$2:$R$11,$F299),MIN(G299-INDEX(Accounts!$R$2:$R$11,$F299),INDEX(Accounts!$Q$2:$Q$11,$F299)+INDEX(Accounts!$S$2:$S$11,$F299))))),"")</f>
        <v/>
      </c>
      <c r="I299" s="16">
        <f>IF(AND($A299="",$B299="",$C299="",$D299="",$E299=""),"",IF(OR($A299="",$F299=""),"UNKNOWN_ACCOUNT",IF(OR($B299="",$C299=""),"INCOMPLETE",IFERROR(IF(OR(NOT(ISNUMBER($B299)),NOT(ISNUMBER($C299)),IF(C299="",FALSE,IF(ISNUMBER(C299),OR(C299&lt;=0,C299&gt;100000000,ROUND(C299*100,6)&lt;&gt;INT(ROUND(C299*100,6))),TRUE)),IF(D299="",FALSE,IF(ISNUMBER(D299),OR(D299&lt;=0,D299&gt;100000000,ROUND(D299*100,6)&lt;&gt;INT(ROUND(D299*100,6))),TRUE)),IF(E299="",FALSE,IF(ISNUMBER(E299),OR(E299&lt;=0,E299&gt;100000000,ROUND(E299*100,6)&lt;&gt;INT(ROUND(E299*100,6))),TRUE)),AND($D299&lt;&gt;"",$D299&lt;MAX($C299,$E299)),AND($E299&lt;&gt;"",$E299&gt;MIN($C299,IF($D299="",$C299,$D299))),COUNTIFS($A$2:$A$1001,$A299,$B$2:$B$1001,$B299)&gt;1),"INVALID",IFERROR(IF(IF(INDEX(Accounts!$T$2:$T$11,$F299),ROUND(IF($E299="",$C299,MIN($C299,$E299))-(H299),6)&lt;=0,ROUND(IF($E299="",$C299,MIN($C299,$E299))-(H299),6)&lt;0),"BREACHED","OK"),"INCOMPLETE")),"INVALID"))))</f>
        <v/>
      </c>
      <c r="J299" s="33">
        <f>IF(OR(I299="OK",I299="BREACHED"),-INT(ROUND(-(H299)*100,6))/100,I299)</f>
        <v/>
      </c>
    </row>
    <row r="300" ht="18" customHeight="1">
      <c r="A300" s="9" t="n"/>
      <c r="B300" s="32" t="n"/>
      <c r="C300" s="12" t="n"/>
      <c r="D300" s="12" t="n"/>
      <c r="E300" s="12" t="n"/>
      <c r="F300" s="15">
        <f>IFERROR(MATCH($A300,Accounts!$A$2:$A$11,0),"")</f>
        <v/>
      </c>
      <c r="G300" s="14">
        <f>IFERROR(IF(OR($A300="",$F300=""),"",IF(INDEX(Accounts!$P$2:$P$11,$F300)="static",INDEX(Accounts!$Q$2:$Q$11,$F300),IF(INDEX(Accounts!$P$2:$P$11,$F300)="eod_trailing",MAX(INDEX(Accounts!$Q$2:$Q$11,$F300),_xlfn.MAXIFS($C$2:$C$1001,$A$2:$A$1001,$A300,$B$2:$B$1001,"&lt;"&amp;$B300)),MAX(INDEX(Accounts!$Q$2:$Q$11,$F300),_xlfn.MAXIFS($C$2:$C$1001,$A$2:$A$1001,$A300,$B$2:$B$1001,"&lt;"&amp;$B300),_xlfn.MAXIFS($D$2:$D$1001,$A$2:$A$1001,$A300,$B$2:$B$1001,"&lt;="&amp;$B300),$C300)))),"")</f>
        <v/>
      </c>
      <c r="H300" s="15">
        <f>IFERROR(IF(G300="","",IF(INDEX(Accounts!$P$2:$P$11,$F300)="static",INDEX(Accounts!$Q$2:$Q$11,$F300)-INDEX(Accounts!$R$2:$R$11,$F300),IF(INDEX(Accounts!$S$2:$S$11,$F300)="NONE",G300-INDEX(Accounts!$R$2:$R$11,$F300),MIN(G300-INDEX(Accounts!$R$2:$R$11,$F300),INDEX(Accounts!$Q$2:$Q$11,$F300)+INDEX(Accounts!$S$2:$S$11,$F300))))),"")</f>
        <v/>
      </c>
      <c r="I300" s="16">
        <f>IF(AND($A300="",$B300="",$C300="",$D300="",$E300=""),"",IF(OR($A300="",$F300=""),"UNKNOWN_ACCOUNT",IF(OR($B300="",$C300=""),"INCOMPLETE",IFERROR(IF(OR(NOT(ISNUMBER($B300)),NOT(ISNUMBER($C300)),IF(C300="",FALSE,IF(ISNUMBER(C300),OR(C300&lt;=0,C300&gt;100000000,ROUND(C300*100,6)&lt;&gt;INT(ROUND(C300*100,6))),TRUE)),IF(D300="",FALSE,IF(ISNUMBER(D300),OR(D300&lt;=0,D300&gt;100000000,ROUND(D300*100,6)&lt;&gt;INT(ROUND(D300*100,6))),TRUE)),IF(E300="",FALSE,IF(ISNUMBER(E300),OR(E300&lt;=0,E300&gt;100000000,ROUND(E300*100,6)&lt;&gt;INT(ROUND(E300*100,6))),TRUE)),AND($D300&lt;&gt;"",$D300&lt;MAX($C300,$E300)),AND($E300&lt;&gt;"",$E300&gt;MIN($C300,IF($D300="",$C300,$D300))),COUNTIFS($A$2:$A$1001,$A300,$B$2:$B$1001,$B300)&gt;1),"INVALID",IFERROR(IF(IF(INDEX(Accounts!$T$2:$T$11,$F300),ROUND(IF($E300="",$C300,MIN($C300,$E300))-(H300),6)&lt;=0,ROUND(IF($E300="",$C300,MIN($C300,$E300))-(H300),6)&lt;0),"BREACHED","OK"),"INCOMPLETE")),"INVALID"))))</f>
        <v/>
      </c>
      <c r="J300" s="33">
        <f>IF(OR(I300="OK",I300="BREACHED"),-INT(ROUND(-(H300)*100,6))/100,I300)</f>
        <v/>
      </c>
    </row>
    <row r="301" ht="18" customHeight="1">
      <c r="A301" s="9" t="n"/>
      <c r="B301" s="32" t="n"/>
      <c r="C301" s="12" t="n"/>
      <c r="D301" s="12" t="n"/>
      <c r="E301" s="12" t="n"/>
      <c r="F301" s="15">
        <f>IFERROR(MATCH($A301,Accounts!$A$2:$A$11,0),"")</f>
        <v/>
      </c>
      <c r="G301" s="14">
        <f>IFERROR(IF(OR($A301="",$F301=""),"",IF(INDEX(Accounts!$P$2:$P$11,$F301)="static",INDEX(Accounts!$Q$2:$Q$11,$F301),IF(INDEX(Accounts!$P$2:$P$11,$F301)="eod_trailing",MAX(INDEX(Accounts!$Q$2:$Q$11,$F301),_xlfn.MAXIFS($C$2:$C$1001,$A$2:$A$1001,$A301,$B$2:$B$1001,"&lt;"&amp;$B301)),MAX(INDEX(Accounts!$Q$2:$Q$11,$F301),_xlfn.MAXIFS($C$2:$C$1001,$A$2:$A$1001,$A301,$B$2:$B$1001,"&lt;"&amp;$B301),_xlfn.MAXIFS($D$2:$D$1001,$A$2:$A$1001,$A301,$B$2:$B$1001,"&lt;="&amp;$B301),$C301)))),"")</f>
        <v/>
      </c>
      <c r="H301" s="15">
        <f>IFERROR(IF(G301="","",IF(INDEX(Accounts!$P$2:$P$11,$F301)="static",INDEX(Accounts!$Q$2:$Q$11,$F301)-INDEX(Accounts!$R$2:$R$11,$F301),IF(INDEX(Accounts!$S$2:$S$11,$F301)="NONE",G301-INDEX(Accounts!$R$2:$R$11,$F301),MIN(G301-INDEX(Accounts!$R$2:$R$11,$F301),INDEX(Accounts!$Q$2:$Q$11,$F301)+INDEX(Accounts!$S$2:$S$11,$F301))))),"")</f>
        <v/>
      </c>
      <c r="I301" s="16">
        <f>IF(AND($A301="",$B301="",$C301="",$D301="",$E301=""),"",IF(OR($A301="",$F301=""),"UNKNOWN_ACCOUNT",IF(OR($B301="",$C301=""),"INCOMPLETE",IFERROR(IF(OR(NOT(ISNUMBER($B301)),NOT(ISNUMBER($C301)),IF(C301="",FALSE,IF(ISNUMBER(C301),OR(C301&lt;=0,C301&gt;100000000,ROUND(C301*100,6)&lt;&gt;INT(ROUND(C301*100,6))),TRUE)),IF(D301="",FALSE,IF(ISNUMBER(D301),OR(D301&lt;=0,D301&gt;100000000,ROUND(D301*100,6)&lt;&gt;INT(ROUND(D301*100,6))),TRUE)),IF(E301="",FALSE,IF(ISNUMBER(E301),OR(E301&lt;=0,E301&gt;100000000,ROUND(E301*100,6)&lt;&gt;INT(ROUND(E301*100,6))),TRUE)),AND($D301&lt;&gt;"",$D301&lt;MAX($C301,$E301)),AND($E301&lt;&gt;"",$E301&gt;MIN($C301,IF($D301="",$C301,$D301))),COUNTIFS($A$2:$A$1001,$A301,$B$2:$B$1001,$B301)&gt;1),"INVALID",IFERROR(IF(IF(INDEX(Accounts!$T$2:$T$11,$F301),ROUND(IF($E301="",$C301,MIN($C301,$E301))-(H301),6)&lt;=0,ROUND(IF($E301="",$C301,MIN($C301,$E301))-(H301),6)&lt;0),"BREACHED","OK"),"INCOMPLETE")),"INVALID"))))</f>
        <v/>
      </c>
      <c r="J301" s="33">
        <f>IF(OR(I301="OK",I301="BREACHED"),-INT(ROUND(-(H301)*100,6))/100,I301)</f>
        <v/>
      </c>
    </row>
    <row r="302" ht="18" customHeight="1">
      <c r="A302" s="9" t="n"/>
      <c r="B302" s="32" t="n"/>
      <c r="C302" s="12" t="n"/>
      <c r="D302" s="12" t="n"/>
      <c r="E302" s="12" t="n"/>
      <c r="F302" s="15">
        <f>IFERROR(MATCH($A302,Accounts!$A$2:$A$11,0),"")</f>
        <v/>
      </c>
      <c r="G302" s="14">
        <f>IFERROR(IF(OR($A302="",$F302=""),"",IF(INDEX(Accounts!$P$2:$P$11,$F302)="static",INDEX(Accounts!$Q$2:$Q$11,$F302),IF(INDEX(Accounts!$P$2:$P$11,$F302)="eod_trailing",MAX(INDEX(Accounts!$Q$2:$Q$11,$F302),_xlfn.MAXIFS($C$2:$C$1001,$A$2:$A$1001,$A302,$B$2:$B$1001,"&lt;"&amp;$B302)),MAX(INDEX(Accounts!$Q$2:$Q$11,$F302),_xlfn.MAXIFS($C$2:$C$1001,$A$2:$A$1001,$A302,$B$2:$B$1001,"&lt;"&amp;$B302),_xlfn.MAXIFS($D$2:$D$1001,$A$2:$A$1001,$A302,$B$2:$B$1001,"&lt;="&amp;$B302),$C302)))),"")</f>
        <v/>
      </c>
      <c r="H302" s="15">
        <f>IFERROR(IF(G302="","",IF(INDEX(Accounts!$P$2:$P$11,$F302)="static",INDEX(Accounts!$Q$2:$Q$11,$F302)-INDEX(Accounts!$R$2:$R$11,$F302),IF(INDEX(Accounts!$S$2:$S$11,$F302)="NONE",G302-INDEX(Accounts!$R$2:$R$11,$F302),MIN(G302-INDEX(Accounts!$R$2:$R$11,$F302),INDEX(Accounts!$Q$2:$Q$11,$F302)+INDEX(Accounts!$S$2:$S$11,$F302))))),"")</f>
        <v/>
      </c>
      <c r="I302" s="16">
        <f>IF(AND($A302="",$B302="",$C302="",$D302="",$E302=""),"",IF(OR($A302="",$F302=""),"UNKNOWN_ACCOUNT",IF(OR($B302="",$C302=""),"INCOMPLETE",IFERROR(IF(OR(NOT(ISNUMBER($B302)),NOT(ISNUMBER($C302)),IF(C302="",FALSE,IF(ISNUMBER(C302),OR(C302&lt;=0,C302&gt;100000000,ROUND(C302*100,6)&lt;&gt;INT(ROUND(C302*100,6))),TRUE)),IF(D302="",FALSE,IF(ISNUMBER(D302),OR(D302&lt;=0,D302&gt;100000000,ROUND(D302*100,6)&lt;&gt;INT(ROUND(D302*100,6))),TRUE)),IF(E302="",FALSE,IF(ISNUMBER(E302),OR(E302&lt;=0,E302&gt;100000000,ROUND(E302*100,6)&lt;&gt;INT(ROUND(E302*100,6))),TRUE)),AND($D302&lt;&gt;"",$D302&lt;MAX($C302,$E302)),AND($E302&lt;&gt;"",$E302&gt;MIN($C302,IF($D302="",$C302,$D302))),COUNTIFS($A$2:$A$1001,$A302,$B$2:$B$1001,$B302)&gt;1),"INVALID",IFERROR(IF(IF(INDEX(Accounts!$T$2:$T$11,$F302),ROUND(IF($E302="",$C302,MIN($C302,$E302))-(H302),6)&lt;=0,ROUND(IF($E302="",$C302,MIN($C302,$E302))-(H302),6)&lt;0),"BREACHED","OK"),"INCOMPLETE")),"INVALID"))))</f>
        <v/>
      </c>
      <c r="J302" s="33">
        <f>IF(OR(I302="OK",I302="BREACHED"),-INT(ROUND(-(H302)*100,6))/100,I302)</f>
        <v/>
      </c>
    </row>
    <row r="303" ht="18" customHeight="1">
      <c r="A303" s="9" t="n"/>
      <c r="B303" s="32" t="n"/>
      <c r="C303" s="12" t="n"/>
      <c r="D303" s="12" t="n"/>
      <c r="E303" s="12" t="n"/>
      <c r="F303" s="15">
        <f>IFERROR(MATCH($A303,Accounts!$A$2:$A$11,0),"")</f>
        <v/>
      </c>
      <c r="G303" s="14">
        <f>IFERROR(IF(OR($A303="",$F303=""),"",IF(INDEX(Accounts!$P$2:$P$11,$F303)="static",INDEX(Accounts!$Q$2:$Q$11,$F303),IF(INDEX(Accounts!$P$2:$P$11,$F303)="eod_trailing",MAX(INDEX(Accounts!$Q$2:$Q$11,$F303),_xlfn.MAXIFS($C$2:$C$1001,$A$2:$A$1001,$A303,$B$2:$B$1001,"&lt;"&amp;$B303)),MAX(INDEX(Accounts!$Q$2:$Q$11,$F303),_xlfn.MAXIFS($C$2:$C$1001,$A$2:$A$1001,$A303,$B$2:$B$1001,"&lt;"&amp;$B303),_xlfn.MAXIFS($D$2:$D$1001,$A$2:$A$1001,$A303,$B$2:$B$1001,"&lt;="&amp;$B303),$C303)))),"")</f>
        <v/>
      </c>
      <c r="H303" s="15">
        <f>IFERROR(IF(G303="","",IF(INDEX(Accounts!$P$2:$P$11,$F303)="static",INDEX(Accounts!$Q$2:$Q$11,$F303)-INDEX(Accounts!$R$2:$R$11,$F303),IF(INDEX(Accounts!$S$2:$S$11,$F303)="NONE",G303-INDEX(Accounts!$R$2:$R$11,$F303),MIN(G303-INDEX(Accounts!$R$2:$R$11,$F303),INDEX(Accounts!$Q$2:$Q$11,$F303)+INDEX(Accounts!$S$2:$S$11,$F303))))),"")</f>
        <v/>
      </c>
      <c r="I303" s="16">
        <f>IF(AND($A303="",$B303="",$C303="",$D303="",$E303=""),"",IF(OR($A303="",$F303=""),"UNKNOWN_ACCOUNT",IF(OR($B303="",$C303=""),"INCOMPLETE",IFERROR(IF(OR(NOT(ISNUMBER($B303)),NOT(ISNUMBER($C303)),IF(C303="",FALSE,IF(ISNUMBER(C303),OR(C303&lt;=0,C303&gt;100000000,ROUND(C303*100,6)&lt;&gt;INT(ROUND(C303*100,6))),TRUE)),IF(D303="",FALSE,IF(ISNUMBER(D303),OR(D303&lt;=0,D303&gt;100000000,ROUND(D303*100,6)&lt;&gt;INT(ROUND(D303*100,6))),TRUE)),IF(E303="",FALSE,IF(ISNUMBER(E303),OR(E303&lt;=0,E303&gt;100000000,ROUND(E303*100,6)&lt;&gt;INT(ROUND(E303*100,6))),TRUE)),AND($D303&lt;&gt;"",$D303&lt;MAX($C303,$E303)),AND($E303&lt;&gt;"",$E303&gt;MIN($C303,IF($D303="",$C303,$D303))),COUNTIFS($A$2:$A$1001,$A303,$B$2:$B$1001,$B303)&gt;1),"INVALID",IFERROR(IF(IF(INDEX(Accounts!$T$2:$T$11,$F303),ROUND(IF($E303="",$C303,MIN($C303,$E303))-(H303),6)&lt;=0,ROUND(IF($E303="",$C303,MIN($C303,$E303))-(H303),6)&lt;0),"BREACHED","OK"),"INCOMPLETE")),"INVALID"))))</f>
        <v/>
      </c>
      <c r="J303" s="33">
        <f>IF(OR(I303="OK",I303="BREACHED"),-INT(ROUND(-(H303)*100,6))/100,I303)</f>
        <v/>
      </c>
    </row>
    <row r="304" ht="18" customHeight="1">
      <c r="A304" s="9" t="n"/>
      <c r="B304" s="32" t="n"/>
      <c r="C304" s="12" t="n"/>
      <c r="D304" s="12" t="n"/>
      <c r="E304" s="12" t="n"/>
      <c r="F304" s="15">
        <f>IFERROR(MATCH($A304,Accounts!$A$2:$A$11,0),"")</f>
        <v/>
      </c>
      <c r="G304" s="14">
        <f>IFERROR(IF(OR($A304="",$F304=""),"",IF(INDEX(Accounts!$P$2:$P$11,$F304)="static",INDEX(Accounts!$Q$2:$Q$11,$F304),IF(INDEX(Accounts!$P$2:$P$11,$F304)="eod_trailing",MAX(INDEX(Accounts!$Q$2:$Q$11,$F304),_xlfn.MAXIFS($C$2:$C$1001,$A$2:$A$1001,$A304,$B$2:$B$1001,"&lt;"&amp;$B304)),MAX(INDEX(Accounts!$Q$2:$Q$11,$F304),_xlfn.MAXIFS($C$2:$C$1001,$A$2:$A$1001,$A304,$B$2:$B$1001,"&lt;"&amp;$B304),_xlfn.MAXIFS($D$2:$D$1001,$A$2:$A$1001,$A304,$B$2:$B$1001,"&lt;="&amp;$B304),$C304)))),"")</f>
        <v/>
      </c>
      <c r="H304" s="15">
        <f>IFERROR(IF(G304="","",IF(INDEX(Accounts!$P$2:$P$11,$F304)="static",INDEX(Accounts!$Q$2:$Q$11,$F304)-INDEX(Accounts!$R$2:$R$11,$F304),IF(INDEX(Accounts!$S$2:$S$11,$F304)="NONE",G304-INDEX(Accounts!$R$2:$R$11,$F304),MIN(G304-INDEX(Accounts!$R$2:$R$11,$F304),INDEX(Accounts!$Q$2:$Q$11,$F304)+INDEX(Accounts!$S$2:$S$11,$F304))))),"")</f>
        <v/>
      </c>
      <c r="I304" s="16">
        <f>IF(AND($A304="",$B304="",$C304="",$D304="",$E304=""),"",IF(OR($A304="",$F304=""),"UNKNOWN_ACCOUNT",IF(OR($B304="",$C304=""),"INCOMPLETE",IFERROR(IF(OR(NOT(ISNUMBER($B304)),NOT(ISNUMBER($C304)),IF(C304="",FALSE,IF(ISNUMBER(C304),OR(C304&lt;=0,C304&gt;100000000,ROUND(C304*100,6)&lt;&gt;INT(ROUND(C304*100,6))),TRUE)),IF(D304="",FALSE,IF(ISNUMBER(D304),OR(D304&lt;=0,D304&gt;100000000,ROUND(D304*100,6)&lt;&gt;INT(ROUND(D304*100,6))),TRUE)),IF(E304="",FALSE,IF(ISNUMBER(E304),OR(E304&lt;=0,E304&gt;100000000,ROUND(E304*100,6)&lt;&gt;INT(ROUND(E304*100,6))),TRUE)),AND($D304&lt;&gt;"",$D304&lt;MAX($C304,$E304)),AND($E304&lt;&gt;"",$E304&gt;MIN($C304,IF($D304="",$C304,$D304))),COUNTIFS($A$2:$A$1001,$A304,$B$2:$B$1001,$B304)&gt;1),"INVALID",IFERROR(IF(IF(INDEX(Accounts!$T$2:$T$11,$F304),ROUND(IF($E304="",$C304,MIN($C304,$E304))-(H304),6)&lt;=0,ROUND(IF($E304="",$C304,MIN($C304,$E304))-(H304),6)&lt;0),"BREACHED","OK"),"INCOMPLETE")),"INVALID"))))</f>
        <v/>
      </c>
      <c r="J304" s="33">
        <f>IF(OR(I304="OK",I304="BREACHED"),-INT(ROUND(-(H304)*100,6))/100,I304)</f>
        <v/>
      </c>
    </row>
    <row r="305" ht="18" customHeight="1">
      <c r="A305" s="9" t="n"/>
      <c r="B305" s="32" t="n"/>
      <c r="C305" s="12" t="n"/>
      <c r="D305" s="12" t="n"/>
      <c r="E305" s="12" t="n"/>
      <c r="F305" s="15">
        <f>IFERROR(MATCH($A305,Accounts!$A$2:$A$11,0),"")</f>
        <v/>
      </c>
      <c r="G305" s="14">
        <f>IFERROR(IF(OR($A305="",$F305=""),"",IF(INDEX(Accounts!$P$2:$P$11,$F305)="static",INDEX(Accounts!$Q$2:$Q$11,$F305),IF(INDEX(Accounts!$P$2:$P$11,$F305)="eod_trailing",MAX(INDEX(Accounts!$Q$2:$Q$11,$F305),_xlfn.MAXIFS($C$2:$C$1001,$A$2:$A$1001,$A305,$B$2:$B$1001,"&lt;"&amp;$B305)),MAX(INDEX(Accounts!$Q$2:$Q$11,$F305),_xlfn.MAXIFS($C$2:$C$1001,$A$2:$A$1001,$A305,$B$2:$B$1001,"&lt;"&amp;$B305),_xlfn.MAXIFS($D$2:$D$1001,$A$2:$A$1001,$A305,$B$2:$B$1001,"&lt;="&amp;$B305),$C305)))),"")</f>
        <v/>
      </c>
      <c r="H305" s="15">
        <f>IFERROR(IF(G305="","",IF(INDEX(Accounts!$P$2:$P$11,$F305)="static",INDEX(Accounts!$Q$2:$Q$11,$F305)-INDEX(Accounts!$R$2:$R$11,$F305),IF(INDEX(Accounts!$S$2:$S$11,$F305)="NONE",G305-INDEX(Accounts!$R$2:$R$11,$F305),MIN(G305-INDEX(Accounts!$R$2:$R$11,$F305),INDEX(Accounts!$Q$2:$Q$11,$F305)+INDEX(Accounts!$S$2:$S$11,$F305))))),"")</f>
        <v/>
      </c>
      <c r="I305" s="16">
        <f>IF(AND($A305="",$B305="",$C305="",$D305="",$E305=""),"",IF(OR($A305="",$F305=""),"UNKNOWN_ACCOUNT",IF(OR($B305="",$C305=""),"INCOMPLETE",IFERROR(IF(OR(NOT(ISNUMBER($B305)),NOT(ISNUMBER($C305)),IF(C305="",FALSE,IF(ISNUMBER(C305),OR(C305&lt;=0,C305&gt;100000000,ROUND(C305*100,6)&lt;&gt;INT(ROUND(C305*100,6))),TRUE)),IF(D305="",FALSE,IF(ISNUMBER(D305),OR(D305&lt;=0,D305&gt;100000000,ROUND(D305*100,6)&lt;&gt;INT(ROUND(D305*100,6))),TRUE)),IF(E305="",FALSE,IF(ISNUMBER(E305),OR(E305&lt;=0,E305&gt;100000000,ROUND(E305*100,6)&lt;&gt;INT(ROUND(E305*100,6))),TRUE)),AND($D305&lt;&gt;"",$D305&lt;MAX($C305,$E305)),AND($E305&lt;&gt;"",$E305&gt;MIN($C305,IF($D305="",$C305,$D305))),COUNTIFS($A$2:$A$1001,$A305,$B$2:$B$1001,$B305)&gt;1),"INVALID",IFERROR(IF(IF(INDEX(Accounts!$T$2:$T$11,$F305),ROUND(IF($E305="",$C305,MIN($C305,$E305))-(H305),6)&lt;=0,ROUND(IF($E305="",$C305,MIN($C305,$E305))-(H305),6)&lt;0),"BREACHED","OK"),"INCOMPLETE")),"INVALID"))))</f>
        <v/>
      </c>
      <c r="J305" s="33">
        <f>IF(OR(I305="OK",I305="BREACHED"),-INT(ROUND(-(H305)*100,6))/100,I305)</f>
        <v/>
      </c>
    </row>
    <row r="306" ht="18" customHeight="1">
      <c r="A306" s="9" t="n"/>
      <c r="B306" s="32" t="n"/>
      <c r="C306" s="12" t="n"/>
      <c r="D306" s="12" t="n"/>
      <c r="E306" s="12" t="n"/>
      <c r="F306" s="15">
        <f>IFERROR(MATCH($A306,Accounts!$A$2:$A$11,0),"")</f>
        <v/>
      </c>
      <c r="G306" s="14">
        <f>IFERROR(IF(OR($A306="",$F306=""),"",IF(INDEX(Accounts!$P$2:$P$11,$F306)="static",INDEX(Accounts!$Q$2:$Q$11,$F306),IF(INDEX(Accounts!$P$2:$P$11,$F306)="eod_trailing",MAX(INDEX(Accounts!$Q$2:$Q$11,$F306),_xlfn.MAXIFS($C$2:$C$1001,$A$2:$A$1001,$A306,$B$2:$B$1001,"&lt;"&amp;$B306)),MAX(INDEX(Accounts!$Q$2:$Q$11,$F306),_xlfn.MAXIFS($C$2:$C$1001,$A$2:$A$1001,$A306,$B$2:$B$1001,"&lt;"&amp;$B306),_xlfn.MAXIFS($D$2:$D$1001,$A$2:$A$1001,$A306,$B$2:$B$1001,"&lt;="&amp;$B306),$C306)))),"")</f>
        <v/>
      </c>
      <c r="H306" s="15">
        <f>IFERROR(IF(G306="","",IF(INDEX(Accounts!$P$2:$P$11,$F306)="static",INDEX(Accounts!$Q$2:$Q$11,$F306)-INDEX(Accounts!$R$2:$R$11,$F306),IF(INDEX(Accounts!$S$2:$S$11,$F306)="NONE",G306-INDEX(Accounts!$R$2:$R$11,$F306),MIN(G306-INDEX(Accounts!$R$2:$R$11,$F306),INDEX(Accounts!$Q$2:$Q$11,$F306)+INDEX(Accounts!$S$2:$S$11,$F306))))),"")</f>
        <v/>
      </c>
      <c r="I306" s="16">
        <f>IF(AND($A306="",$B306="",$C306="",$D306="",$E306=""),"",IF(OR($A306="",$F306=""),"UNKNOWN_ACCOUNT",IF(OR($B306="",$C306=""),"INCOMPLETE",IFERROR(IF(OR(NOT(ISNUMBER($B306)),NOT(ISNUMBER($C306)),IF(C306="",FALSE,IF(ISNUMBER(C306),OR(C306&lt;=0,C306&gt;100000000,ROUND(C306*100,6)&lt;&gt;INT(ROUND(C306*100,6))),TRUE)),IF(D306="",FALSE,IF(ISNUMBER(D306),OR(D306&lt;=0,D306&gt;100000000,ROUND(D306*100,6)&lt;&gt;INT(ROUND(D306*100,6))),TRUE)),IF(E306="",FALSE,IF(ISNUMBER(E306),OR(E306&lt;=0,E306&gt;100000000,ROUND(E306*100,6)&lt;&gt;INT(ROUND(E306*100,6))),TRUE)),AND($D306&lt;&gt;"",$D306&lt;MAX($C306,$E306)),AND($E306&lt;&gt;"",$E306&gt;MIN($C306,IF($D306="",$C306,$D306))),COUNTIFS($A$2:$A$1001,$A306,$B$2:$B$1001,$B306)&gt;1),"INVALID",IFERROR(IF(IF(INDEX(Accounts!$T$2:$T$11,$F306),ROUND(IF($E306="",$C306,MIN($C306,$E306))-(H306),6)&lt;=0,ROUND(IF($E306="",$C306,MIN($C306,$E306))-(H306),6)&lt;0),"BREACHED","OK"),"INCOMPLETE")),"INVALID"))))</f>
        <v/>
      </c>
      <c r="J306" s="33">
        <f>IF(OR(I306="OK",I306="BREACHED"),-INT(ROUND(-(H306)*100,6))/100,I306)</f>
        <v/>
      </c>
    </row>
    <row r="307" ht="18" customHeight="1">
      <c r="A307" s="9" t="n"/>
      <c r="B307" s="32" t="n"/>
      <c r="C307" s="12" t="n"/>
      <c r="D307" s="12" t="n"/>
      <c r="E307" s="12" t="n"/>
      <c r="F307" s="15">
        <f>IFERROR(MATCH($A307,Accounts!$A$2:$A$11,0),"")</f>
        <v/>
      </c>
      <c r="G307" s="14">
        <f>IFERROR(IF(OR($A307="",$F307=""),"",IF(INDEX(Accounts!$P$2:$P$11,$F307)="static",INDEX(Accounts!$Q$2:$Q$11,$F307),IF(INDEX(Accounts!$P$2:$P$11,$F307)="eod_trailing",MAX(INDEX(Accounts!$Q$2:$Q$11,$F307),_xlfn.MAXIFS($C$2:$C$1001,$A$2:$A$1001,$A307,$B$2:$B$1001,"&lt;"&amp;$B307)),MAX(INDEX(Accounts!$Q$2:$Q$11,$F307),_xlfn.MAXIFS($C$2:$C$1001,$A$2:$A$1001,$A307,$B$2:$B$1001,"&lt;"&amp;$B307),_xlfn.MAXIFS($D$2:$D$1001,$A$2:$A$1001,$A307,$B$2:$B$1001,"&lt;="&amp;$B307),$C307)))),"")</f>
        <v/>
      </c>
      <c r="H307" s="15">
        <f>IFERROR(IF(G307="","",IF(INDEX(Accounts!$P$2:$P$11,$F307)="static",INDEX(Accounts!$Q$2:$Q$11,$F307)-INDEX(Accounts!$R$2:$R$11,$F307),IF(INDEX(Accounts!$S$2:$S$11,$F307)="NONE",G307-INDEX(Accounts!$R$2:$R$11,$F307),MIN(G307-INDEX(Accounts!$R$2:$R$11,$F307),INDEX(Accounts!$Q$2:$Q$11,$F307)+INDEX(Accounts!$S$2:$S$11,$F307))))),"")</f>
        <v/>
      </c>
      <c r="I307" s="16">
        <f>IF(AND($A307="",$B307="",$C307="",$D307="",$E307=""),"",IF(OR($A307="",$F307=""),"UNKNOWN_ACCOUNT",IF(OR($B307="",$C307=""),"INCOMPLETE",IFERROR(IF(OR(NOT(ISNUMBER($B307)),NOT(ISNUMBER($C307)),IF(C307="",FALSE,IF(ISNUMBER(C307),OR(C307&lt;=0,C307&gt;100000000,ROUND(C307*100,6)&lt;&gt;INT(ROUND(C307*100,6))),TRUE)),IF(D307="",FALSE,IF(ISNUMBER(D307),OR(D307&lt;=0,D307&gt;100000000,ROUND(D307*100,6)&lt;&gt;INT(ROUND(D307*100,6))),TRUE)),IF(E307="",FALSE,IF(ISNUMBER(E307),OR(E307&lt;=0,E307&gt;100000000,ROUND(E307*100,6)&lt;&gt;INT(ROUND(E307*100,6))),TRUE)),AND($D307&lt;&gt;"",$D307&lt;MAX($C307,$E307)),AND($E307&lt;&gt;"",$E307&gt;MIN($C307,IF($D307="",$C307,$D307))),COUNTIFS($A$2:$A$1001,$A307,$B$2:$B$1001,$B307)&gt;1),"INVALID",IFERROR(IF(IF(INDEX(Accounts!$T$2:$T$11,$F307),ROUND(IF($E307="",$C307,MIN($C307,$E307))-(H307),6)&lt;=0,ROUND(IF($E307="",$C307,MIN($C307,$E307))-(H307),6)&lt;0),"BREACHED","OK"),"INCOMPLETE")),"INVALID"))))</f>
        <v/>
      </c>
      <c r="J307" s="33">
        <f>IF(OR(I307="OK",I307="BREACHED"),-INT(ROUND(-(H307)*100,6))/100,I307)</f>
        <v/>
      </c>
    </row>
    <row r="308" ht="18" customHeight="1">
      <c r="A308" s="9" t="n"/>
      <c r="B308" s="32" t="n"/>
      <c r="C308" s="12" t="n"/>
      <c r="D308" s="12" t="n"/>
      <c r="E308" s="12" t="n"/>
      <c r="F308" s="15">
        <f>IFERROR(MATCH($A308,Accounts!$A$2:$A$11,0),"")</f>
        <v/>
      </c>
      <c r="G308" s="14">
        <f>IFERROR(IF(OR($A308="",$F308=""),"",IF(INDEX(Accounts!$P$2:$P$11,$F308)="static",INDEX(Accounts!$Q$2:$Q$11,$F308),IF(INDEX(Accounts!$P$2:$P$11,$F308)="eod_trailing",MAX(INDEX(Accounts!$Q$2:$Q$11,$F308),_xlfn.MAXIFS($C$2:$C$1001,$A$2:$A$1001,$A308,$B$2:$B$1001,"&lt;"&amp;$B308)),MAX(INDEX(Accounts!$Q$2:$Q$11,$F308),_xlfn.MAXIFS($C$2:$C$1001,$A$2:$A$1001,$A308,$B$2:$B$1001,"&lt;"&amp;$B308),_xlfn.MAXIFS($D$2:$D$1001,$A$2:$A$1001,$A308,$B$2:$B$1001,"&lt;="&amp;$B308),$C308)))),"")</f>
        <v/>
      </c>
      <c r="H308" s="15">
        <f>IFERROR(IF(G308="","",IF(INDEX(Accounts!$P$2:$P$11,$F308)="static",INDEX(Accounts!$Q$2:$Q$11,$F308)-INDEX(Accounts!$R$2:$R$11,$F308),IF(INDEX(Accounts!$S$2:$S$11,$F308)="NONE",G308-INDEX(Accounts!$R$2:$R$11,$F308),MIN(G308-INDEX(Accounts!$R$2:$R$11,$F308),INDEX(Accounts!$Q$2:$Q$11,$F308)+INDEX(Accounts!$S$2:$S$11,$F308))))),"")</f>
        <v/>
      </c>
      <c r="I308" s="16">
        <f>IF(AND($A308="",$B308="",$C308="",$D308="",$E308=""),"",IF(OR($A308="",$F308=""),"UNKNOWN_ACCOUNT",IF(OR($B308="",$C308=""),"INCOMPLETE",IFERROR(IF(OR(NOT(ISNUMBER($B308)),NOT(ISNUMBER($C308)),IF(C308="",FALSE,IF(ISNUMBER(C308),OR(C308&lt;=0,C308&gt;100000000,ROUND(C308*100,6)&lt;&gt;INT(ROUND(C308*100,6))),TRUE)),IF(D308="",FALSE,IF(ISNUMBER(D308),OR(D308&lt;=0,D308&gt;100000000,ROUND(D308*100,6)&lt;&gt;INT(ROUND(D308*100,6))),TRUE)),IF(E308="",FALSE,IF(ISNUMBER(E308),OR(E308&lt;=0,E308&gt;100000000,ROUND(E308*100,6)&lt;&gt;INT(ROUND(E308*100,6))),TRUE)),AND($D308&lt;&gt;"",$D308&lt;MAX($C308,$E308)),AND($E308&lt;&gt;"",$E308&gt;MIN($C308,IF($D308="",$C308,$D308))),COUNTIFS($A$2:$A$1001,$A308,$B$2:$B$1001,$B308)&gt;1),"INVALID",IFERROR(IF(IF(INDEX(Accounts!$T$2:$T$11,$F308),ROUND(IF($E308="",$C308,MIN($C308,$E308))-(H308),6)&lt;=0,ROUND(IF($E308="",$C308,MIN($C308,$E308))-(H308),6)&lt;0),"BREACHED","OK"),"INCOMPLETE")),"INVALID"))))</f>
        <v/>
      </c>
      <c r="J308" s="33">
        <f>IF(OR(I308="OK",I308="BREACHED"),-INT(ROUND(-(H308)*100,6))/100,I308)</f>
        <v/>
      </c>
    </row>
    <row r="309" ht="18" customHeight="1">
      <c r="A309" s="9" t="n"/>
      <c r="B309" s="32" t="n"/>
      <c r="C309" s="12" t="n"/>
      <c r="D309" s="12" t="n"/>
      <c r="E309" s="12" t="n"/>
      <c r="F309" s="15">
        <f>IFERROR(MATCH($A309,Accounts!$A$2:$A$11,0),"")</f>
        <v/>
      </c>
      <c r="G309" s="14">
        <f>IFERROR(IF(OR($A309="",$F309=""),"",IF(INDEX(Accounts!$P$2:$P$11,$F309)="static",INDEX(Accounts!$Q$2:$Q$11,$F309),IF(INDEX(Accounts!$P$2:$P$11,$F309)="eod_trailing",MAX(INDEX(Accounts!$Q$2:$Q$11,$F309),_xlfn.MAXIFS($C$2:$C$1001,$A$2:$A$1001,$A309,$B$2:$B$1001,"&lt;"&amp;$B309)),MAX(INDEX(Accounts!$Q$2:$Q$11,$F309),_xlfn.MAXIFS($C$2:$C$1001,$A$2:$A$1001,$A309,$B$2:$B$1001,"&lt;"&amp;$B309),_xlfn.MAXIFS($D$2:$D$1001,$A$2:$A$1001,$A309,$B$2:$B$1001,"&lt;="&amp;$B309),$C309)))),"")</f>
        <v/>
      </c>
      <c r="H309" s="15">
        <f>IFERROR(IF(G309="","",IF(INDEX(Accounts!$P$2:$P$11,$F309)="static",INDEX(Accounts!$Q$2:$Q$11,$F309)-INDEX(Accounts!$R$2:$R$11,$F309),IF(INDEX(Accounts!$S$2:$S$11,$F309)="NONE",G309-INDEX(Accounts!$R$2:$R$11,$F309),MIN(G309-INDEX(Accounts!$R$2:$R$11,$F309),INDEX(Accounts!$Q$2:$Q$11,$F309)+INDEX(Accounts!$S$2:$S$11,$F309))))),"")</f>
        <v/>
      </c>
      <c r="I309" s="16">
        <f>IF(AND($A309="",$B309="",$C309="",$D309="",$E309=""),"",IF(OR($A309="",$F309=""),"UNKNOWN_ACCOUNT",IF(OR($B309="",$C309=""),"INCOMPLETE",IFERROR(IF(OR(NOT(ISNUMBER($B309)),NOT(ISNUMBER($C309)),IF(C309="",FALSE,IF(ISNUMBER(C309),OR(C309&lt;=0,C309&gt;100000000,ROUND(C309*100,6)&lt;&gt;INT(ROUND(C309*100,6))),TRUE)),IF(D309="",FALSE,IF(ISNUMBER(D309),OR(D309&lt;=0,D309&gt;100000000,ROUND(D309*100,6)&lt;&gt;INT(ROUND(D309*100,6))),TRUE)),IF(E309="",FALSE,IF(ISNUMBER(E309),OR(E309&lt;=0,E309&gt;100000000,ROUND(E309*100,6)&lt;&gt;INT(ROUND(E309*100,6))),TRUE)),AND($D309&lt;&gt;"",$D309&lt;MAX($C309,$E309)),AND($E309&lt;&gt;"",$E309&gt;MIN($C309,IF($D309="",$C309,$D309))),COUNTIFS($A$2:$A$1001,$A309,$B$2:$B$1001,$B309)&gt;1),"INVALID",IFERROR(IF(IF(INDEX(Accounts!$T$2:$T$11,$F309),ROUND(IF($E309="",$C309,MIN($C309,$E309))-(H309),6)&lt;=0,ROUND(IF($E309="",$C309,MIN($C309,$E309))-(H309),6)&lt;0),"BREACHED","OK"),"INCOMPLETE")),"INVALID"))))</f>
        <v/>
      </c>
      <c r="J309" s="33">
        <f>IF(OR(I309="OK",I309="BREACHED"),-INT(ROUND(-(H309)*100,6))/100,I309)</f>
        <v/>
      </c>
    </row>
    <row r="310" ht="18" customHeight="1">
      <c r="A310" s="9" t="n"/>
      <c r="B310" s="32" t="n"/>
      <c r="C310" s="12" t="n"/>
      <c r="D310" s="12" t="n"/>
      <c r="E310" s="12" t="n"/>
      <c r="F310" s="15">
        <f>IFERROR(MATCH($A310,Accounts!$A$2:$A$11,0),"")</f>
        <v/>
      </c>
      <c r="G310" s="14">
        <f>IFERROR(IF(OR($A310="",$F310=""),"",IF(INDEX(Accounts!$P$2:$P$11,$F310)="static",INDEX(Accounts!$Q$2:$Q$11,$F310),IF(INDEX(Accounts!$P$2:$P$11,$F310)="eod_trailing",MAX(INDEX(Accounts!$Q$2:$Q$11,$F310),_xlfn.MAXIFS($C$2:$C$1001,$A$2:$A$1001,$A310,$B$2:$B$1001,"&lt;"&amp;$B310)),MAX(INDEX(Accounts!$Q$2:$Q$11,$F310),_xlfn.MAXIFS($C$2:$C$1001,$A$2:$A$1001,$A310,$B$2:$B$1001,"&lt;"&amp;$B310),_xlfn.MAXIFS($D$2:$D$1001,$A$2:$A$1001,$A310,$B$2:$B$1001,"&lt;="&amp;$B310),$C310)))),"")</f>
        <v/>
      </c>
      <c r="H310" s="15">
        <f>IFERROR(IF(G310="","",IF(INDEX(Accounts!$P$2:$P$11,$F310)="static",INDEX(Accounts!$Q$2:$Q$11,$F310)-INDEX(Accounts!$R$2:$R$11,$F310),IF(INDEX(Accounts!$S$2:$S$11,$F310)="NONE",G310-INDEX(Accounts!$R$2:$R$11,$F310),MIN(G310-INDEX(Accounts!$R$2:$R$11,$F310),INDEX(Accounts!$Q$2:$Q$11,$F310)+INDEX(Accounts!$S$2:$S$11,$F310))))),"")</f>
        <v/>
      </c>
      <c r="I310" s="16">
        <f>IF(AND($A310="",$B310="",$C310="",$D310="",$E310=""),"",IF(OR($A310="",$F310=""),"UNKNOWN_ACCOUNT",IF(OR($B310="",$C310=""),"INCOMPLETE",IFERROR(IF(OR(NOT(ISNUMBER($B310)),NOT(ISNUMBER($C310)),IF(C310="",FALSE,IF(ISNUMBER(C310),OR(C310&lt;=0,C310&gt;100000000,ROUND(C310*100,6)&lt;&gt;INT(ROUND(C310*100,6))),TRUE)),IF(D310="",FALSE,IF(ISNUMBER(D310),OR(D310&lt;=0,D310&gt;100000000,ROUND(D310*100,6)&lt;&gt;INT(ROUND(D310*100,6))),TRUE)),IF(E310="",FALSE,IF(ISNUMBER(E310),OR(E310&lt;=0,E310&gt;100000000,ROUND(E310*100,6)&lt;&gt;INT(ROUND(E310*100,6))),TRUE)),AND($D310&lt;&gt;"",$D310&lt;MAX($C310,$E310)),AND($E310&lt;&gt;"",$E310&gt;MIN($C310,IF($D310="",$C310,$D310))),COUNTIFS($A$2:$A$1001,$A310,$B$2:$B$1001,$B310)&gt;1),"INVALID",IFERROR(IF(IF(INDEX(Accounts!$T$2:$T$11,$F310),ROUND(IF($E310="",$C310,MIN($C310,$E310))-(H310),6)&lt;=0,ROUND(IF($E310="",$C310,MIN($C310,$E310))-(H310),6)&lt;0),"BREACHED","OK"),"INCOMPLETE")),"INVALID"))))</f>
        <v/>
      </c>
      <c r="J310" s="33">
        <f>IF(OR(I310="OK",I310="BREACHED"),-INT(ROUND(-(H310)*100,6))/100,I310)</f>
        <v/>
      </c>
    </row>
    <row r="311" ht="18" customHeight="1">
      <c r="A311" s="9" t="n"/>
      <c r="B311" s="32" t="n"/>
      <c r="C311" s="12" t="n"/>
      <c r="D311" s="12" t="n"/>
      <c r="E311" s="12" t="n"/>
      <c r="F311" s="15">
        <f>IFERROR(MATCH($A311,Accounts!$A$2:$A$11,0),"")</f>
        <v/>
      </c>
      <c r="G311" s="14">
        <f>IFERROR(IF(OR($A311="",$F311=""),"",IF(INDEX(Accounts!$P$2:$P$11,$F311)="static",INDEX(Accounts!$Q$2:$Q$11,$F311),IF(INDEX(Accounts!$P$2:$P$11,$F311)="eod_trailing",MAX(INDEX(Accounts!$Q$2:$Q$11,$F311),_xlfn.MAXIFS($C$2:$C$1001,$A$2:$A$1001,$A311,$B$2:$B$1001,"&lt;"&amp;$B311)),MAX(INDEX(Accounts!$Q$2:$Q$11,$F311),_xlfn.MAXIFS($C$2:$C$1001,$A$2:$A$1001,$A311,$B$2:$B$1001,"&lt;"&amp;$B311),_xlfn.MAXIFS($D$2:$D$1001,$A$2:$A$1001,$A311,$B$2:$B$1001,"&lt;="&amp;$B311),$C311)))),"")</f>
        <v/>
      </c>
      <c r="H311" s="15">
        <f>IFERROR(IF(G311="","",IF(INDEX(Accounts!$P$2:$P$11,$F311)="static",INDEX(Accounts!$Q$2:$Q$11,$F311)-INDEX(Accounts!$R$2:$R$11,$F311),IF(INDEX(Accounts!$S$2:$S$11,$F311)="NONE",G311-INDEX(Accounts!$R$2:$R$11,$F311),MIN(G311-INDEX(Accounts!$R$2:$R$11,$F311),INDEX(Accounts!$Q$2:$Q$11,$F311)+INDEX(Accounts!$S$2:$S$11,$F311))))),"")</f>
        <v/>
      </c>
      <c r="I311" s="16">
        <f>IF(AND($A311="",$B311="",$C311="",$D311="",$E311=""),"",IF(OR($A311="",$F311=""),"UNKNOWN_ACCOUNT",IF(OR($B311="",$C311=""),"INCOMPLETE",IFERROR(IF(OR(NOT(ISNUMBER($B311)),NOT(ISNUMBER($C311)),IF(C311="",FALSE,IF(ISNUMBER(C311),OR(C311&lt;=0,C311&gt;100000000,ROUND(C311*100,6)&lt;&gt;INT(ROUND(C311*100,6))),TRUE)),IF(D311="",FALSE,IF(ISNUMBER(D311),OR(D311&lt;=0,D311&gt;100000000,ROUND(D311*100,6)&lt;&gt;INT(ROUND(D311*100,6))),TRUE)),IF(E311="",FALSE,IF(ISNUMBER(E311),OR(E311&lt;=0,E311&gt;100000000,ROUND(E311*100,6)&lt;&gt;INT(ROUND(E311*100,6))),TRUE)),AND($D311&lt;&gt;"",$D311&lt;MAX($C311,$E311)),AND($E311&lt;&gt;"",$E311&gt;MIN($C311,IF($D311="",$C311,$D311))),COUNTIFS($A$2:$A$1001,$A311,$B$2:$B$1001,$B311)&gt;1),"INVALID",IFERROR(IF(IF(INDEX(Accounts!$T$2:$T$11,$F311),ROUND(IF($E311="",$C311,MIN($C311,$E311))-(H311),6)&lt;=0,ROUND(IF($E311="",$C311,MIN($C311,$E311))-(H311),6)&lt;0),"BREACHED","OK"),"INCOMPLETE")),"INVALID"))))</f>
        <v/>
      </c>
      <c r="J311" s="33">
        <f>IF(OR(I311="OK",I311="BREACHED"),-INT(ROUND(-(H311)*100,6))/100,I311)</f>
        <v/>
      </c>
    </row>
    <row r="312" ht="18" customHeight="1">
      <c r="A312" s="9" t="n"/>
      <c r="B312" s="32" t="n"/>
      <c r="C312" s="12" t="n"/>
      <c r="D312" s="12" t="n"/>
      <c r="E312" s="12" t="n"/>
      <c r="F312" s="15">
        <f>IFERROR(MATCH($A312,Accounts!$A$2:$A$11,0),"")</f>
        <v/>
      </c>
      <c r="G312" s="14">
        <f>IFERROR(IF(OR($A312="",$F312=""),"",IF(INDEX(Accounts!$P$2:$P$11,$F312)="static",INDEX(Accounts!$Q$2:$Q$11,$F312),IF(INDEX(Accounts!$P$2:$P$11,$F312)="eod_trailing",MAX(INDEX(Accounts!$Q$2:$Q$11,$F312),_xlfn.MAXIFS($C$2:$C$1001,$A$2:$A$1001,$A312,$B$2:$B$1001,"&lt;"&amp;$B312)),MAX(INDEX(Accounts!$Q$2:$Q$11,$F312),_xlfn.MAXIFS($C$2:$C$1001,$A$2:$A$1001,$A312,$B$2:$B$1001,"&lt;"&amp;$B312),_xlfn.MAXIFS($D$2:$D$1001,$A$2:$A$1001,$A312,$B$2:$B$1001,"&lt;="&amp;$B312),$C312)))),"")</f>
        <v/>
      </c>
      <c r="H312" s="15">
        <f>IFERROR(IF(G312="","",IF(INDEX(Accounts!$P$2:$P$11,$F312)="static",INDEX(Accounts!$Q$2:$Q$11,$F312)-INDEX(Accounts!$R$2:$R$11,$F312),IF(INDEX(Accounts!$S$2:$S$11,$F312)="NONE",G312-INDEX(Accounts!$R$2:$R$11,$F312),MIN(G312-INDEX(Accounts!$R$2:$R$11,$F312),INDEX(Accounts!$Q$2:$Q$11,$F312)+INDEX(Accounts!$S$2:$S$11,$F312))))),"")</f>
        <v/>
      </c>
      <c r="I312" s="16">
        <f>IF(AND($A312="",$B312="",$C312="",$D312="",$E312=""),"",IF(OR($A312="",$F312=""),"UNKNOWN_ACCOUNT",IF(OR($B312="",$C312=""),"INCOMPLETE",IFERROR(IF(OR(NOT(ISNUMBER($B312)),NOT(ISNUMBER($C312)),IF(C312="",FALSE,IF(ISNUMBER(C312),OR(C312&lt;=0,C312&gt;100000000,ROUND(C312*100,6)&lt;&gt;INT(ROUND(C312*100,6))),TRUE)),IF(D312="",FALSE,IF(ISNUMBER(D312),OR(D312&lt;=0,D312&gt;100000000,ROUND(D312*100,6)&lt;&gt;INT(ROUND(D312*100,6))),TRUE)),IF(E312="",FALSE,IF(ISNUMBER(E312),OR(E312&lt;=0,E312&gt;100000000,ROUND(E312*100,6)&lt;&gt;INT(ROUND(E312*100,6))),TRUE)),AND($D312&lt;&gt;"",$D312&lt;MAX($C312,$E312)),AND($E312&lt;&gt;"",$E312&gt;MIN($C312,IF($D312="",$C312,$D312))),COUNTIFS($A$2:$A$1001,$A312,$B$2:$B$1001,$B312)&gt;1),"INVALID",IFERROR(IF(IF(INDEX(Accounts!$T$2:$T$11,$F312),ROUND(IF($E312="",$C312,MIN($C312,$E312))-(H312),6)&lt;=0,ROUND(IF($E312="",$C312,MIN($C312,$E312))-(H312),6)&lt;0),"BREACHED","OK"),"INCOMPLETE")),"INVALID"))))</f>
        <v/>
      </c>
      <c r="J312" s="33">
        <f>IF(OR(I312="OK",I312="BREACHED"),-INT(ROUND(-(H312)*100,6))/100,I312)</f>
        <v/>
      </c>
    </row>
    <row r="313" ht="18" customHeight="1">
      <c r="A313" s="9" t="n"/>
      <c r="B313" s="32" t="n"/>
      <c r="C313" s="12" t="n"/>
      <c r="D313" s="12" t="n"/>
      <c r="E313" s="12" t="n"/>
      <c r="F313" s="15">
        <f>IFERROR(MATCH($A313,Accounts!$A$2:$A$11,0),"")</f>
        <v/>
      </c>
      <c r="G313" s="14">
        <f>IFERROR(IF(OR($A313="",$F313=""),"",IF(INDEX(Accounts!$P$2:$P$11,$F313)="static",INDEX(Accounts!$Q$2:$Q$11,$F313),IF(INDEX(Accounts!$P$2:$P$11,$F313)="eod_trailing",MAX(INDEX(Accounts!$Q$2:$Q$11,$F313),_xlfn.MAXIFS($C$2:$C$1001,$A$2:$A$1001,$A313,$B$2:$B$1001,"&lt;"&amp;$B313)),MAX(INDEX(Accounts!$Q$2:$Q$11,$F313),_xlfn.MAXIFS($C$2:$C$1001,$A$2:$A$1001,$A313,$B$2:$B$1001,"&lt;"&amp;$B313),_xlfn.MAXIFS($D$2:$D$1001,$A$2:$A$1001,$A313,$B$2:$B$1001,"&lt;="&amp;$B313),$C313)))),"")</f>
        <v/>
      </c>
      <c r="H313" s="15">
        <f>IFERROR(IF(G313="","",IF(INDEX(Accounts!$P$2:$P$11,$F313)="static",INDEX(Accounts!$Q$2:$Q$11,$F313)-INDEX(Accounts!$R$2:$R$11,$F313),IF(INDEX(Accounts!$S$2:$S$11,$F313)="NONE",G313-INDEX(Accounts!$R$2:$R$11,$F313),MIN(G313-INDEX(Accounts!$R$2:$R$11,$F313),INDEX(Accounts!$Q$2:$Q$11,$F313)+INDEX(Accounts!$S$2:$S$11,$F313))))),"")</f>
        <v/>
      </c>
      <c r="I313" s="16">
        <f>IF(AND($A313="",$B313="",$C313="",$D313="",$E313=""),"",IF(OR($A313="",$F313=""),"UNKNOWN_ACCOUNT",IF(OR($B313="",$C313=""),"INCOMPLETE",IFERROR(IF(OR(NOT(ISNUMBER($B313)),NOT(ISNUMBER($C313)),IF(C313="",FALSE,IF(ISNUMBER(C313),OR(C313&lt;=0,C313&gt;100000000,ROUND(C313*100,6)&lt;&gt;INT(ROUND(C313*100,6))),TRUE)),IF(D313="",FALSE,IF(ISNUMBER(D313),OR(D313&lt;=0,D313&gt;100000000,ROUND(D313*100,6)&lt;&gt;INT(ROUND(D313*100,6))),TRUE)),IF(E313="",FALSE,IF(ISNUMBER(E313),OR(E313&lt;=0,E313&gt;100000000,ROUND(E313*100,6)&lt;&gt;INT(ROUND(E313*100,6))),TRUE)),AND($D313&lt;&gt;"",$D313&lt;MAX($C313,$E313)),AND($E313&lt;&gt;"",$E313&gt;MIN($C313,IF($D313="",$C313,$D313))),COUNTIFS($A$2:$A$1001,$A313,$B$2:$B$1001,$B313)&gt;1),"INVALID",IFERROR(IF(IF(INDEX(Accounts!$T$2:$T$11,$F313),ROUND(IF($E313="",$C313,MIN($C313,$E313))-(H313),6)&lt;=0,ROUND(IF($E313="",$C313,MIN($C313,$E313))-(H313),6)&lt;0),"BREACHED","OK"),"INCOMPLETE")),"INVALID"))))</f>
        <v/>
      </c>
      <c r="J313" s="33">
        <f>IF(OR(I313="OK",I313="BREACHED"),-INT(ROUND(-(H313)*100,6))/100,I313)</f>
        <v/>
      </c>
    </row>
    <row r="314" ht="18" customHeight="1">
      <c r="A314" s="9" t="n"/>
      <c r="B314" s="32" t="n"/>
      <c r="C314" s="12" t="n"/>
      <c r="D314" s="12" t="n"/>
      <c r="E314" s="12" t="n"/>
      <c r="F314" s="15">
        <f>IFERROR(MATCH($A314,Accounts!$A$2:$A$11,0),"")</f>
        <v/>
      </c>
      <c r="G314" s="14">
        <f>IFERROR(IF(OR($A314="",$F314=""),"",IF(INDEX(Accounts!$P$2:$P$11,$F314)="static",INDEX(Accounts!$Q$2:$Q$11,$F314),IF(INDEX(Accounts!$P$2:$P$11,$F314)="eod_trailing",MAX(INDEX(Accounts!$Q$2:$Q$11,$F314),_xlfn.MAXIFS($C$2:$C$1001,$A$2:$A$1001,$A314,$B$2:$B$1001,"&lt;"&amp;$B314)),MAX(INDEX(Accounts!$Q$2:$Q$11,$F314),_xlfn.MAXIFS($C$2:$C$1001,$A$2:$A$1001,$A314,$B$2:$B$1001,"&lt;"&amp;$B314),_xlfn.MAXIFS($D$2:$D$1001,$A$2:$A$1001,$A314,$B$2:$B$1001,"&lt;="&amp;$B314),$C314)))),"")</f>
        <v/>
      </c>
      <c r="H314" s="15">
        <f>IFERROR(IF(G314="","",IF(INDEX(Accounts!$P$2:$P$11,$F314)="static",INDEX(Accounts!$Q$2:$Q$11,$F314)-INDEX(Accounts!$R$2:$R$11,$F314),IF(INDEX(Accounts!$S$2:$S$11,$F314)="NONE",G314-INDEX(Accounts!$R$2:$R$11,$F314),MIN(G314-INDEX(Accounts!$R$2:$R$11,$F314),INDEX(Accounts!$Q$2:$Q$11,$F314)+INDEX(Accounts!$S$2:$S$11,$F314))))),"")</f>
        <v/>
      </c>
      <c r="I314" s="16">
        <f>IF(AND($A314="",$B314="",$C314="",$D314="",$E314=""),"",IF(OR($A314="",$F314=""),"UNKNOWN_ACCOUNT",IF(OR($B314="",$C314=""),"INCOMPLETE",IFERROR(IF(OR(NOT(ISNUMBER($B314)),NOT(ISNUMBER($C314)),IF(C314="",FALSE,IF(ISNUMBER(C314),OR(C314&lt;=0,C314&gt;100000000,ROUND(C314*100,6)&lt;&gt;INT(ROUND(C314*100,6))),TRUE)),IF(D314="",FALSE,IF(ISNUMBER(D314),OR(D314&lt;=0,D314&gt;100000000,ROUND(D314*100,6)&lt;&gt;INT(ROUND(D314*100,6))),TRUE)),IF(E314="",FALSE,IF(ISNUMBER(E314),OR(E314&lt;=0,E314&gt;100000000,ROUND(E314*100,6)&lt;&gt;INT(ROUND(E314*100,6))),TRUE)),AND($D314&lt;&gt;"",$D314&lt;MAX($C314,$E314)),AND($E314&lt;&gt;"",$E314&gt;MIN($C314,IF($D314="",$C314,$D314))),COUNTIFS($A$2:$A$1001,$A314,$B$2:$B$1001,$B314)&gt;1),"INVALID",IFERROR(IF(IF(INDEX(Accounts!$T$2:$T$11,$F314),ROUND(IF($E314="",$C314,MIN($C314,$E314))-(H314),6)&lt;=0,ROUND(IF($E314="",$C314,MIN($C314,$E314))-(H314),6)&lt;0),"BREACHED","OK"),"INCOMPLETE")),"INVALID"))))</f>
        <v/>
      </c>
      <c r="J314" s="33">
        <f>IF(OR(I314="OK",I314="BREACHED"),-INT(ROUND(-(H314)*100,6))/100,I314)</f>
        <v/>
      </c>
    </row>
    <row r="315" ht="18" customHeight="1">
      <c r="A315" s="9" t="n"/>
      <c r="B315" s="32" t="n"/>
      <c r="C315" s="12" t="n"/>
      <c r="D315" s="12" t="n"/>
      <c r="E315" s="12" t="n"/>
      <c r="F315" s="15">
        <f>IFERROR(MATCH($A315,Accounts!$A$2:$A$11,0),"")</f>
        <v/>
      </c>
      <c r="G315" s="14">
        <f>IFERROR(IF(OR($A315="",$F315=""),"",IF(INDEX(Accounts!$P$2:$P$11,$F315)="static",INDEX(Accounts!$Q$2:$Q$11,$F315),IF(INDEX(Accounts!$P$2:$P$11,$F315)="eod_trailing",MAX(INDEX(Accounts!$Q$2:$Q$11,$F315),_xlfn.MAXIFS($C$2:$C$1001,$A$2:$A$1001,$A315,$B$2:$B$1001,"&lt;"&amp;$B315)),MAX(INDEX(Accounts!$Q$2:$Q$11,$F315),_xlfn.MAXIFS($C$2:$C$1001,$A$2:$A$1001,$A315,$B$2:$B$1001,"&lt;"&amp;$B315),_xlfn.MAXIFS($D$2:$D$1001,$A$2:$A$1001,$A315,$B$2:$B$1001,"&lt;="&amp;$B315),$C315)))),"")</f>
        <v/>
      </c>
      <c r="H315" s="15">
        <f>IFERROR(IF(G315="","",IF(INDEX(Accounts!$P$2:$P$11,$F315)="static",INDEX(Accounts!$Q$2:$Q$11,$F315)-INDEX(Accounts!$R$2:$R$11,$F315),IF(INDEX(Accounts!$S$2:$S$11,$F315)="NONE",G315-INDEX(Accounts!$R$2:$R$11,$F315),MIN(G315-INDEX(Accounts!$R$2:$R$11,$F315),INDEX(Accounts!$Q$2:$Q$11,$F315)+INDEX(Accounts!$S$2:$S$11,$F315))))),"")</f>
        <v/>
      </c>
      <c r="I315" s="16">
        <f>IF(AND($A315="",$B315="",$C315="",$D315="",$E315=""),"",IF(OR($A315="",$F315=""),"UNKNOWN_ACCOUNT",IF(OR($B315="",$C315=""),"INCOMPLETE",IFERROR(IF(OR(NOT(ISNUMBER($B315)),NOT(ISNUMBER($C315)),IF(C315="",FALSE,IF(ISNUMBER(C315),OR(C315&lt;=0,C315&gt;100000000,ROUND(C315*100,6)&lt;&gt;INT(ROUND(C315*100,6))),TRUE)),IF(D315="",FALSE,IF(ISNUMBER(D315),OR(D315&lt;=0,D315&gt;100000000,ROUND(D315*100,6)&lt;&gt;INT(ROUND(D315*100,6))),TRUE)),IF(E315="",FALSE,IF(ISNUMBER(E315),OR(E315&lt;=0,E315&gt;100000000,ROUND(E315*100,6)&lt;&gt;INT(ROUND(E315*100,6))),TRUE)),AND($D315&lt;&gt;"",$D315&lt;MAX($C315,$E315)),AND($E315&lt;&gt;"",$E315&gt;MIN($C315,IF($D315="",$C315,$D315))),COUNTIFS($A$2:$A$1001,$A315,$B$2:$B$1001,$B315)&gt;1),"INVALID",IFERROR(IF(IF(INDEX(Accounts!$T$2:$T$11,$F315),ROUND(IF($E315="",$C315,MIN($C315,$E315))-(H315),6)&lt;=0,ROUND(IF($E315="",$C315,MIN($C315,$E315))-(H315),6)&lt;0),"BREACHED","OK"),"INCOMPLETE")),"INVALID"))))</f>
        <v/>
      </c>
      <c r="J315" s="33">
        <f>IF(OR(I315="OK",I315="BREACHED"),-INT(ROUND(-(H315)*100,6))/100,I315)</f>
        <v/>
      </c>
    </row>
    <row r="316" ht="18" customHeight="1">
      <c r="A316" s="9" t="n"/>
      <c r="B316" s="32" t="n"/>
      <c r="C316" s="12" t="n"/>
      <c r="D316" s="12" t="n"/>
      <c r="E316" s="12" t="n"/>
      <c r="F316" s="15">
        <f>IFERROR(MATCH($A316,Accounts!$A$2:$A$11,0),"")</f>
        <v/>
      </c>
      <c r="G316" s="14">
        <f>IFERROR(IF(OR($A316="",$F316=""),"",IF(INDEX(Accounts!$P$2:$P$11,$F316)="static",INDEX(Accounts!$Q$2:$Q$11,$F316),IF(INDEX(Accounts!$P$2:$P$11,$F316)="eod_trailing",MAX(INDEX(Accounts!$Q$2:$Q$11,$F316),_xlfn.MAXIFS($C$2:$C$1001,$A$2:$A$1001,$A316,$B$2:$B$1001,"&lt;"&amp;$B316)),MAX(INDEX(Accounts!$Q$2:$Q$11,$F316),_xlfn.MAXIFS($C$2:$C$1001,$A$2:$A$1001,$A316,$B$2:$B$1001,"&lt;"&amp;$B316),_xlfn.MAXIFS($D$2:$D$1001,$A$2:$A$1001,$A316,$B$2:$B$1001,"&lt;="&amp;$B316),$C316)))),"")</f>
        <v/>
      </c>
      <c r="H316" s="15">
        <f>IFERROR(IF(G316="","",IF(INDEX(Accounts!$P$2:$P$11,$F316)="static",INDEX(Accounts!$Q$2:$Q$11,$F316)-INDEX(Accounts!$R$2:$R$11,$F316),IF(INDEX(Accounts!$S$2:$S$11,$F316)="NONE",G316-INDEX(Accounts!$R$2:$R$11,$F316),MIN(G316-INDEX(Accounts!$R$2:$R$11,$F316),INDEX(Accounts!$Q$2:$Q$11,$F316)+INDEX(Accounts!$S$2:$S$11,$F316))))),"")</f>
        <v/>
      </c>
      <c r="I316" s="16">
        <f>IF(AND($A316="",$B316="",$C316="",$D316="",$E316=""),"",IF(OR($A316="",$F316=""),"UNKNOWN_ACCOUNT",IF(OR($B316="",$C316=""),"INCOMPLETE",IFERROR(IF(OR(NOT(ISNUMBER($B316)),NOT(ISNUMBER($C316)),IF(C316="",FALSE,IF(ISNUMBER(C316),OR(C316&lt;=0,C316&gt;100000000,ROUND(C316*100,6)&lt;&gt;INT(ROUND(C316*100,6))),TRUE)),IF(D316="",FALSE,IF(ISNUMBER(D316),OR(D316&lt;=0,D316&gt;100000000,ROUND(D316*100,6)&lt;&gt;INT(ROUND(D316*100,6))),TRUE)),IF(E316="",FALSE,IF(ISNUMBER(E316),OR(E316&lt;=0,E316&gt;100000000,ROUND(E316*100,6)&lt;&gt;INT(ROUND(E316*100,6))),TRUE)),AND($D316&lt;&gt;"",$D316&lt;MAX($C316,$E316)),AND($E316&lt;&gt;"",$E316&gt;MIN($C316,IF($D316="",$C316,$D316))),COUNTIFS($A$2:$A$1001,$A316,$B$2:$B$1001,$B316)&gt;1),"INVALID",IFERROR(IF(IF(INDEX(Accounts!$T$2:$T$11,$F316),ROUND(IF($E316="",$C316,MIN($C316,$E316))-(H316),6)&lt;=0,ROUND(IF($E316="",$C316,MIN($C316,$E316))-(H316),6)&lt;0),"BREACHED","OK"),"INCOMPLETE")),"INVALID"))))</f>
        <v/>
      </c>
      <c r="J316" s="33">
        <f>IF(OR(I316="OK",I316="BREACHED"),-INT(ROUND(-(H316)*100,6))/100,I316)</f>
        <v/>
      </c>
    </row>
    <row r="317" ht="18" customHeight="1">
      <c r="A317" s="9" t="n"/>
      <c r="B317" s="32" t="n"/>
      <c r="C317" s="12" t="n"/>
      <c r="D317" s="12" t="n"/>
      <c r="E317" s="12" t="n"/>
      <c r="F317" s="15">
        <f>IFERROR(MATCH($A317,Accounts!$A$2:$A$11,0),"")</f>
        <v/>
      </c>
      <c r="G317" s="14">
        <f>IFERROR(IF(OR($A317="",$F317=""),"",IF(INDEX(Accounts!$P$2:$P$11,$F317)="static",INDEX(Accounts!$Q$2:$Q$11,$F317),IF(INDEX(Accounts!$P$2:$P$11,$F317)="eod_trailing",MAX(INDEX(Accounts!$Q$2:$Q$11,$F317),_xlfn.MAXIFS($C$2:$C$1001,$A$2:$A$1001,$A317,$B$2:$B$1001,"&lt;"&amp;$B317)),MAX(INDEX(Accounts!$Q$2:$Q$11,$F317),_xlfn.MAXIFS($C$2:$C$1001,$A$2:$A$1001,$A317,$B$2:$B$1001,"&lt;"&amp;$B317),_xlfn.MAXIFS($D$2:$D$1001,$A$2:$A$1001,$A317,$B$2:$B$1001,"&lt;="&amp;$B317),$C317)))),"")</f>
        <v/>
      </c>
      <c r="H317" s="15">
        <f>IFERROR(IF(G317="","",IF(INDEX(Accounts!$P$2:$P$11,$F317)="static",INDEX(Accounts!$Q$2:$Q$11,$F317)-INDEX(Accounts!$R$2:$R$11,$F317),IF(INDEX(Accounts!$S$2:$S$11,$F317)="NONE",G317-INDEX(Accounts!$R$2:$R$11,$F317),MIN(G317-INDEX(Accounts!$R$2:$R$11,$F317),INDEX(Accounts!$Q$2:$Q$11,$F317)+INDEX(Accounts!$S$2:$S$11,$F317))))),"")</f>
        <v/>
      </c>
      <c r="I317" s="16">
        <f>IF(AND($A317="",$B317="",$C317="",$D317="",$E317=""),"",IF(OR($A317="",$F317=""),"UNKNOWN_ACCOUNT",IF(OR($B317="",$C317=""),"INCOMPLETE",IFERROR(IF(OR(NOT(ISNUMBER($B317)),NOT(ISNUMBER($C317)),IF(C317="",FALSE,IF(ISNUMBER(C317),OR(C317&lt;=0,C317&gt;100000000,ROUND(C317*100,6)&lt;&gt;INT(ROUND(C317*100,6))),TRUE)),IF(D317="",FALSE,IF(ISNUMBER(D317),OR(D317&lt;=0,D317&gt;100000000,ROUND(D317*100,6)&lt;&gt;INT(ROUND(D317*100,6))),TRUE)),IF(E317="",FALSE,IF(ISNUMBER(E317),OR(E317&lt;=0,E317&gt;100000000,ROUND(E317*100,6)&lt;&gt;INT(ROUND(E317*100,6))),TRUE)),AND($D317&lt;&gt;"",$D317&lt;MAX($C317,$E317)),AND($E317&lt;&gt;"",$E317&gt;MIN($C317,IF($D317="",$C317,$D317))),COUNTIFS($A$2:$A$1001,$A317,$B$2:$B$1001,$B317)&gt;1),"INVALID",IFERROR(IF(IF(INDEX(Accounts!$T$2:$T$11,$F317),ROUND(IF($E317="",$C317,MIN($C317,$E317))-(H317),6)&lt;=0,ROUND(IF($E317="",$C317,MIN($C317,$E317))-(H317),6)&lt;0),"BREACHED","OK"),"INCOMPLETE")),"INVALID"))))</f>
        <v/>
      </c>
      <c r="J317" s="33">
        <f>IF(OR(I317="OK",I317="BREACHED"),-INT(ROUND(-(H317)*100,6))/100,I317)</f>
        <v/>
      </c>
    </row>
    <row r="318" ht="18" customHeight="1">
      <c r="A318" s="9" t="n"/>
      <c r="B318" s="32" t="n"/>
      <c r="C318" s="12" t="n"/>
      <c r="D318" s="12" t="n"/>
      <c r="E318" s="12" t="n"/>
      <c r="F318" s="15">
        <f>IFERROR(MATCH($A318,Accounts!$A$2:$A$11,0),"")</f>
        <v/>
      </c>
      <c r="G318" s="14">
        <f>IFERROR(IF(OR($A318="",$F318=""),"",IF(INDEX(Accounts!$P$2:$P$11,$F318)="static",INDEX(Accounts!$Q$2:$Q$11,$F318),IF(INDEX(Accounts!$P$2:$P$11,$F318)="eod_trailing",MAX(INDEX(Accounts!$Q$2:$Q$11,$F318),_xlfn.MAXIFS($C$2:$C$1001,$A$2:$A$1001,$A318,$B$2:$B$1001,"&lt;"&amp;$B318)),MAX(INDEX(Accounts!$Q$2:$Q$11,$F318),_xlfn.MAXIFS($C$2:$C$1001,$A$2:$A$1001,$A318,$B$2:$B$1001,"&lt;"&amp;$B318),_xlfn.MAXIFS($D$2:$D$1001,$A$2:$A$1001,$A318,$B$2:$B$1001,"&lt;="&amp;$B318),$C318)))),"")</f>
        <v/>
      </c>
      <c r="H318" s="15">
        <f>IFERROR(IF(G318="","",IF(INDEX(Accounts!$P$2:$P$11,$F318)="static",INDEX(Accounts!$Q$2:$Q$11,$F318)-INDEX(Accounts!$R$2:$R$11,$F318),IF(INDEX(Accounts!$S$2:$S$11,$F318)="NONE",G318-INDEX(Accounts!$R$2:$R$11,$F318),MIN(G318-INDEX(Accounts!$R$2:$R$11,$F318),INDEX(Accounts!$Q$2:$Q$11,$F318)+INDEX(Accounts!$S$2:$S$11,$F318))))),"")</f>
        <v/>
      </c>
      <c r="I318" s="16">
        <f>IF(AND($A318="",$B318="",$C318="",$D318="",$E318=""),"",IF(OR($A318="",$F318=""),"UNKNOWN_ACCOUNT",IF(OR($B318="",$C318=""),"INCOMPLETE",IFERROR(IF(OR(NOT(ISNUMBER($B318)),NOT(ISNUMBER($C318)),IF(C318="",FALSE,IF(ISNUMBER(C318),OR(C318&lt;=0,C318&gt;100000000,ROUND(C318*100,6)&lt;&gt;INT(ROUND(C318*100,6))),TRUE)),IF(D318="",FALSE,IF(ISNUMBER(D318),OR(D318&lt;=0,D318&gt;100000000,ROUND(D318*100,6)&lt;&gt;INT(ROUND(D318*100,6))),TRUE)),IF(E318="",FALSE,IF(ISNUMBER(E318),OR(E318&lt;=0,E318&gt;100000000,ROUND(E318*100,6)&lt;&gt;INT(ROUND(E318*100,6))),TRUE)),AND($D318&lt;&gt;"",$D318&lt;MAX($C318,$E318)),AND($E318&lt;&gt;"",$E318&gt;MIN($C318,IF($D318="",$C318,$D318))),COUNTIFS($A$2:$A$1001,$A318,$B$2:$B$1001,$B318)&gt;1),"INVALID",IFERROR(IF(IF(INDEX(Accounts!$T$2:$T$11,$F318),ROUND(IF($E318="",$C318,MIN($C318,$E318))-(H318),6)&lt;=0,ROUND(IF($E318="",$C318,MIN($C318,$E318))-(H318),6)&lt;0),"BREACHED","OK"),"INCOMPLETE")),"INVALID"))))</f>
        <v/>
      </c>
      <c r="J318" s="33">
        <f>IF(OR(I318="OK",I318="BREACHED"),-INT(ROUND(-(H318)*100,6))/100,I318)</f>
        <v/>
      </c>
    </row>
    <row r="319" ht="18" customHeight="1">
      <c r="A319" s="9" t="n"/>
      <c r="B319" s="32" t="n"/>
      <c r="C319" s="12" t="n"/>
      <c r="D319" s="12" t="n"/>
      <c r="E319" s="12" t="n"/>
      <c r="F319" s="15">
        <f>IFERROR(MATCH($A319,Accounts!$A$2:$A$11,0),"")</f>
        <v/>
      </c>
      <c r="G319" s="14">
        <f>IFERROR(IF(OR($A319="",$F319=""),"",IF(INDEX(Accounts!$P$2:$P$11,$F319)="static",INDEX(Accounts!$Q$2:$Q$11,$F319),IF(INDEX(Accounts!$P$2:$P$11,$F319)="eod_trailing",MAX(INDEX(Accounts!$Q$2:$Q$11,$F319),_xlfn.MAXIFS($C$2:$C$1001,$A$2:$A$1001,$A319,$B$2:$B$1001,"&lt;"&amp;$B319)),MAX(INDEX(Accounts!$Q$2:$Q$11,$F319),_xlfn.MAXIFS($C$2:$C$1001,$A$2:$A$1001,$A319,$B$2:$B$1001,"&lt;"&amp;$B319),_xlfn.MAXIFS($D$2:$D$1001,$A$2:$A$1001,$A319,$B$2:$B$1001,"&lt;="&amp;$B319),$C319)))),"")</f>
        <v/>
      </c>
      <c r="H319" s="15">
        <f>IFERROR(IF(G319="","",IF(INDEX(Accounts!$P$2:$P$11,$F319)="static",INDEX(Accounts!$Q$2:$Q$11,$F319)-INDEX(Accounts!$R$2:$R$11,$F319),IF(INDEX(Accounts!$S$2:$S$11,$F319)="NONE",G319-INDEX(Accounts!$R$2:$R$11,$F319),MIN(G319-INDEX(Accounts!$R$2:$R$11,$F319),INDEX(Accounts!$Q$2:$Q$11,$F319)+INDEX(Accounts!$S$2:$S$11,$F319))))),"")</f>
        <v/>
      </c>
      <c r="I319" s="16">
        <f>IF(AND($A319="",$B319="",$C319="",$D319="",$E319=""),"",IF(OR($A319="",$F319=""),"UNKNOWN_ACCOUNT",IF(OR($B319="",$C319=""),"INCOMPLETE",IFERROR(IF(OR(NOT(ISNUMBER($B319)),NOT(ISNUMBER($C319)),IF(C319="",FALSE,IF(ISNUMBER(C319),OR(C319&lt;=0,C319&gt;100000000,ROUND(C319*100,6)&lt;&gt;INT(ROUND(C319*100,6))),TRUE)),IF(D319="",FALSE,IF(ISNUMBER(D319),OR(D319&lt;=0,D319&gt;100000000,ROUND(D319*100,6)&lt;&gt;INT(ROUND(D319*100,6))),TRUE)),IF(E319="",FALSE,IF(ISNUMBER(E319),OR(E319&lt;=0,E319&gt;100000000,ROUND(E319*100,6)&lt;&gt;INT(ROUND(E319*100,6))),TRUE)),AND($D319&lt;&gt;"",$D319&lt;MAX($C319,$E319)),AND($E319&lt;&gt;"",$E319&gt;MIN($C319,IF($D319="",$C319,$D319))),COUNTIFS($A$2:$A$1001,$A319,$B$2:$B$1001,$B319)&gt;1),"INVALID",IFERROR(IF(IF(INDEX(Accounts!$T$2:$T$11,$F319),ROUND(IF($E319="",$C319,MIN($C319,$E319))-(H319),6)&lt;=0,ROUND(IF($E319="",$C319,MIN($C319,$E319))-(H319),6)&lt;0),"BREACHED","OK"),"INCOMPLETE")),"INVALID"))))</f>
        <v/>
      </c>
      <c r="J319" s="33">
        <f>IF(OR(I319="OK",I319="BREACHED"),-INT(ROUND(-(H319)*100,6))/100,I319)</f>
        <v/>
      </c>
    </row>
    <row r="320" ht="18" customHeight="1">
      <c r="A320" s="9" t="n"/>
      <c r="B320" s="32" t="n"/>
      <c r="C320" s="12" t="n"/>
      <c r="D320" s="12" t="n"/>
      <c r="E320" s="12" t="n"/>
      <c r="F320" s="15">
        <f>IFERROR(MATCH($A320,Accounts!$A$2:$A$11,0),"")</f>
        <v/>
      </c>
      <c r="G320" s="14">
        <f>IFERROR(IF(OR($A320="",$F320=""),"",IF(INDEX(Accounts!$P$2:$P$11,$F320)="static",INDEX(Accounts!$Q$2:$Q$11,$F320),IF(INDEX(Accounts!$P$2:$P$11,$F320)="eod_trailing",MAX(INDEX(Accounts!$Q$2:$Q$11,$F320),_xlfn.MAXIFS($C$2:$C$1001,$A$2:$A$1001,$A320,$B$2:$B$1001,"&lt;"&amp;$B320)),MAX(INDEX(Accounts!$Q$2:$Q$11,$F320),_xlfn.MAXIFS($C$2:$C$1001,$A$2:$A$1001,$A320,$B$2:$B$1001,"&lt;"&amp;$B320),_xlfn.MAXIFS($D$2:$D$1001,$A$2:$A$1001,$A320,$B$2:$B$1001,"&lt;="&amp;$B320),$C320)))),"")</f>
        <v/>
      </c>
      <c r="H320" s="15">
        <f>IFERROR(IF(G320="","",IF(INDEX(Accounts!$P$2:$P$11,$F320)="static",INDEX(Accounts!$Q$2:$Q$11,$F320)-INDEX(Accounts!$R$2:$R$11,$F320),IF(INDEX(Accounts!$S$2:$S$11,$F320)="NONE",G320-INDEX(Accounts!$R$2:$R$11,$F320),MIN(G320-INDEX(Accounts!$R$2:$R$11,$F320),INDEX(Accounts!$Q$2:$Q$11,$F320)+INDEX(Accounts!$S$2:$S$11,$F320))))),"")</f>
        <v/>
      </c>
      <c r="I320" s="16">
        <f>IF(AND($A320="",$B320="",$C320="",$D320="",$E320=""),"",IF(OR($A320="",$F320=""),"UNKNOWN_ACCOUNT",IF(OR($B320="",$C320=""),"INCOMPLETE",IFERROR(IF(OR(NOT(ISNUMBER($B320)),NOT(ISNUMBER($C320)),IF(C320="",FALSE,IF(ISNUMBER(C320),OR(C320&lt;=0,C320&gt;100000000,ROUND(C320*100,6)&lt;&gt;INT(ROUND(C320*100,6))),TRUE)),IF(D320="",FALSE,IF(ISNUMBER(D320),OR(D320&lt;=0,D320&gt;100000000,ROUND(D320*100,6)&lt;&gt;INT(ROUND(D320*100,6))),TRUE)),IF(E320="",FALSE,IF(ISNUMBER(E320),OR(E320&lt;=0,E320&gt;100000000,ROUND(E320*100,6)&lt;&gt;INT(ROUND(E320*100,6))),TRUE)),AND($D320&lt;&gt;"",$D320&lt;MAX($C320,$E320)),AND($E320&lt;&gt;"",$E320&gt;MIN($C320,IF($D320="",$C320,$D320))),COUNTIFS($A$2:$A$1001,$A320,$B$2:$B$1001,$B320)&gt;1),"INVALID",IFERROR(IF(IF(INDEX(Accounts!$T$2:$T$11,$F320),ROUND(IF($E320="",$C320,MIN($C320,$E320))-(H320),6)&lt;=0,ROUND(IF($E320="",$C320,MIN($C320,$E320))-(H320),6)&lt;0),"BREACHED","OK"),"INCOMPLETE")),"INVALID"))))</f>
        <v/>
      </c>
      <c r="J320" s="33">
        <f>IF(OR(I320="OK",I320="BREACHED"),-INT(ROUND(-(H320)*100,6))/100,I320)</f>
        <v/>
      </c>
    </row>
    <row r="321" ht="18" customHeight="1">
      <c r="A321" s="9" t="n"/>
      <c r="B321" s="32" t="n"/>
      <c r="C321" s="12" t="n"/>
      <c r="D321" s="12" t="n"/>
      <c r="E321" s="12" t="n"/>
      <c r="F321" s="15">
        <f>IFERROR(MATCH($A321,Accounts!$A$2:$A$11,0),"")</f>
        <v/>
      </c>
      <c r="G321" s="14">
        <f>IFERROR(IF(OR($A321="",$F321=""),"",IF(INDEX(Accounts!$P$2:$P$11,$F321)="static",INDEX(Accounts!$Q$2:$Q$11,$F321),IF(INDEX(Accounts!$P$2:$P$11,$F321)="eod_trailing",MAX(INDEX(Accounts!$Q$2:$Q$11,$F321),_xlfn.MAXIFS($C$2:$C$1001,$A$2:$A$1001,$A321,$B$2:$B$1001,"&lt;"&amp;$B321)),MAX(INDEX(Accounts!$Q$2:$Q$11,$F321),_xlfn.MAXIFS($C$2:$C$1001,$A$2:$A$1001,$A321,$B$2:$B$1001,"&lt;"&amp;$B321),_xlfn.MAXIFS($D$2:$D$1001,$A$2:$A$1001,$A321,$B$2:$B$1001,"&lt;="&amp;$B321),$C321)))),"")</f>
        <v/>
      </c>
      <c r="H321" s="15">
        <f>IFERROR(IF(G321="","",IF(INDEX(Accounts!$P$2:$P$11,$F321)="static",INDEX(Accounts!$Q$2:$Q$11,$F321)-INDEX(Accounts!$R$2:$R$11,$F321),IF(INDEX(Accounts!$S$2:$S$11,$F321)="NONE",G321-INDEX(Accounts!$R$2:$R$11,$F321),MIN(G321-INDEX(Accounts!$R$2:$R$11,$F321),INDEX(Accounts!$Q$2:$Q$11,$F321)+INDEX(Accounts!$S$2:$S$11,$F321))))),"")</f>
        <v/>
      </c>
      <c r="I321" s="16">
        <f>IF(AND($A321="",$B321="",$C321="",$D321="",$E321=""),"",IF(OR($A321="",$F321=""),"UNKNOWN_ACCOUNT",IF(OR($B321="",$C321=""),"INCOMPLETE",IFERROR(IF(OR(NOT(ISNUMBER($B321)),NOT(ISNUMBER($C321)),IF(C321="",FALSE,IF(ISNUMBER(C321),OR(C321&lt;=0,C321&gt;100000000,ROUND(C321*100,6)&lt;&gt;INT(ROUND(C321*100,6))),TRUE)),IF(D321="",FALSE,IF(ISNUMBER(D321),OR(D321&lt;=0,D321&gt;100000000,ROUND(D321*100,6)&lt;&gt;INT(ROUND(D321*100,6))),TRUE)),IF(E321="",FALSE,IF(ISNUMBER(E321),OR(E321&lt;=0,E321&gt;100000000,ROUND(E321*100,6)&lt;&gt;INT(ROUND(E321*100,6))),TRUE)),AND($D321&lt;&gt;"",$D321&lt;MAX($C321,$E321)),AND($E321&lt;&gt;"",$E321&gt;MIN($C321,IF($D321="",$C321,$D321))),COUNTIFS($A$2:$A$1001,$A321,$B$2:$B$1001,$B321)&gt;1),"INVALID",IFERROR(IF(IF(INDEX(Accounts!$T$2:$T$11,$F321),ROUND(IF($E321="",$C321,MIN($C321,$E321))-(H321),6)&lt;=0,ROUND(IF($E321="",$C321,MIN($C321,$E321))-(H321),6)&lt;0),"BREACHED","OK"),"INCOMPLETE")),"INVALID"))))</f>
        <v/>
      </c>
      <c r="J321" s="33">
        <f>IF(OR(I321="OK",I321="BREACHED"),-INT(ROUND(-(H321)*100,6))/100,I321)</f>
        <v/>
      </c>
    </row>
    <row r="322" ht="18" customHeight="1">
      <c r="A322" s="9" t="n"/>
      <c r="B322" s="32" t="n"/>
      <c r="C322" s="12" t="n"/>
      <c r="D322" s="12" t="n"/>
      <c r="E322" s="12" t="n"/>
      <c r="F322" s="15">
        <f>IFERROR(MATCH($A322,Accounts!$A$2:$A$11,0),"")</f>
        <v/>
      </c>
      <c r="G322" s="14">
        <f>IFERROR(IF(OR($A322="",$F322=""),"",IF(INDEX(Accounts!$P$2:$P$11,$F322)="static",INDEX(Accounts!$Q$2:$Q$11,$F322),IF(INDEX(Accounts!$P$2:$P$11,$F322)="eod_trailing",MAX(INDEX(Accounts!$Q$2:$Q$11,$F322),_xlfn.MAXIFS($C$2:$C$1001,$A$2:$A$1001,$A322,$B$2:$B$1001,"&lt;"&amp;$B322)),MAX(INDEX(Accounts!$Q$2:$Q$11,$F322),_xlfn.MAXIFS($C$2:$C$1001,$A$2:$A$1001,$A322,$B$2:$B$1001,"&lt;"&amp;$B322),_xlfn.MAXIFS($D$2:$D$1001,$A$2:$A$1001,$A322,$B$2:$B$1001,"&lt;="&amp;$B322),$C322)))),"")</f>
        <v/>
      </c>
      <c r="H322" s="15">
        <f>IFERROR(IF(G322="","",IF(INDEX(Accounts!$P$2:$P$11,$F322)="static",INDEX(Accounts!$Q$2:$Q$11,$F322)-INDEX(Accounts!$R$2:$R$11,$F322),IF(INDEX(Accounts!$S$2:$S$11,$F322)="NONE",G322-INDEX(Accounts!$R$2:$R$11,$F322),MIN(G322-INDEX(Accounts!$R$2:$R$11,$F322),INDEX(Accounts!$Q$2:$Q$11,$F322)+INDEX(Accounts!$S$2:$S$11,$F322))))),"")</f>
        <v/>
      </c>
      <c r="I322" s="16">
        <f>IF(AND($A322="",$B322="",$C322="",$D322="",$E322=""),"",IF(OR($A322="",$F322=""),"UNKNOWN_ACCOUNT",IF(OR($B322="",$C322=""),"INCOMPLETE",IFERROR(IF(OR(NOT(ISNUMBER($B322)),NOT(ISNUMBER($C322)),IF(C322="",FALSE,IF(ISNUMBER(C322),OR(C322&lt;=0,C322&gt;100000000,ROUND(C322*100,6)&lt;&gt;INT(ROUND(C322*100,6))),TRUE)),IF(D322="",FALSE,IF(ISNUMBER(D322),OR(D322&lt;=0,D322&gt;100000000,ROUND(D322*100,6)&lt;&gt;INT(ROUND(D322*100,6))),TRUE)),IF(E322="",FALSE,IF(ISNUMBER(E322),OR(E322&lt;=0,E322&gt;100000000,ROUND(E322*100,6)&lt;&gt;INT(ROUND(E322*100,6))),TRUE)),AND($D322&lt;&gt;"",$D322&lt;MAX($C322,$E322)),AND($E322&lt;&gt;"",$E322&gt;MIN($C322,IF($D322="",$C322,$D322))),COUNTIFS($A$2:$A$1001,$A322,$B$2:$B$1001,$B322)&gt;1),"INVALID",IFERROR(IF(IF(INDEX(Accounts!$T$2:$T$11,$F322),ROUND(IF($E322="",$C322,MIN($C322,$E322))-(H322),6)&lt;=0,ROUND(IF($E322="",$C322,MIN($C322,$E322))-(H322),6)&lt;0),"BREACHED","OK"),"INCOMPLETE")),"INVALID"))))</f>
        <v/>
      </c>
      <c r="J322" s="33">
        <f>IF(OR(I322="OK",I322="BREACHED"),-INT(ROUND(-(H322)*100,6))/100,I322)</f>
        <v/>
      </c>
    </row>
    <row r="323" ht="18" customHeight="1">
      <c r="A323" s="9" t="n"/>
      <c r="B323" s="32" t="n"/>
      <c r="C323" s="12" t="n"/>
      <c r="D323" s="12" t="n"/>
      <c r="E323" s="12" t="n"/>
      <c r="F323" s="15">
        <f>IFERROR(MATCH($A323,Accounts!$A$2:$A$11,0),"")</f>
        <v/>
      </c>
      <c r="G323" s="14">
        <f>IFERROR(IF(OR($A323="",$F323=""),"",IF(INDEX(Accounts!$P$2:$P$11,$F323)="static",INDEX(Accounts!$Q$2:$Q$11,$F323),IF(INDEX(Accounts!$P$2:$P$11,$F323)="eod_trailing",MAX(INDEX(Accounts!$Q$2:$Q$11,$F323),_xlfn.MAXIFS($C$2:$C$1001,$A$2:$A$1001,$A323,$B$2:$B$1001,"&lt;"&amp;$B323)),MAX(INDEX(Accounts!$Q$2:$Q$11,$F323),_xlfn.MAXIFS($C$2:$C$1001,$A$2:$A$1001,$A323,$B$2:$B$1001,"&lt;"&amp;$B323),_xlfn.MAXIFS($D$2:$D$1001,$A$2:$A$1001,$A323,$B$2:$B$1001,"&lt;="&amp;$B323),$C323)))),"")</f>
        <v/>
      </c>
      <c r="H323" s="15">
        <f>IFERROR(IF(G323="","",IF(INDEX(Accounts!$P$2:$P$11,$F323)="static",INDEX(Accounts!$Q$2:$Q$11,$F323)-INDEX(Accounts!$R$2:$R$11,$F323),IF(INDEX(Accounts!$S$2:$S$11,$F323)="NONE",G323-INDEX(Accounts!$R$2:$R$11,$F323),MIN(G323-INDEX(Accounts!$R$2:$R$11,$F323),INDEX(Accounts!$Q$2:$Q$11,$F323)+INDEX(Accounts!$S$2:$S$11,$F323))))),"")</f>
        <v/>
      </c>
      <c r="I323" s="16">
        <f>IF(AND($A323="",$B323="",$C323="",$D323="",$E323=""),"",IF(OR($A323="",$F323=""),"UNKNOWN_ACCOUNT",IF(OR($B323="",$C323=""),"INCOMPLETE",IFERROR(IF(OR(NOT(ISNUMBER($B323)),NOT(ISNUMBER($C323)),IF(C323="",FALSE,IF(ISNUMBER(C323),OR(C323&lt;=0,C323&gt;100000000,ROUND(C323*100,6)&lt;&gt;INT(ROUND(C323*100,6))),TRUE)),IF(D323="",FALSE,IF(ISNUMBER(D323),OR(D323&lt;=0,D323&gt;100000000,ROUND(D323*100,6)&lt;&gt;INT(ROUND(D323*100,6))),TRUE)),IF(E323="",FALSE,IF(ISNUMBER(E323),OR(E323&lt;=0,E323&gt;100000000,ROUND(E323*100,6)&lt;&gt;INT(ROUND(E323*100,6))),TRUE)),AND($D323&lt;&gt;"",$D323&lt;MAX($C323,$E323)),AND($E323&lt;&gt;"",$E323&gt;MIN($C323,IF($D323="",$C323,$D323))),COUNTIFS($A$2:$A$1001,$A323,$B$2:$B$1001,$B323)&gt;1),"INVALID",IFERROR(IF(IF(INDEX(Accounts!$T$2:$T$11,$F323),ROUND(IF($E323="",$C323,MIN($C323,$E323))-(H323),6)&lt;=0,ROUND(IF($E323="",$C323,MIN($C323,$E323))-(H323),6)&lt;0),"BREACHED","OK"),"INCOMPLETE")),"INVALID"))))</f>
        <v/>
      </c>
      <c r="J323" s="33">
        <f>IF(OR(I323="OK",I323="BREACHED"),-INT(ROUND(-(H323)*100,6))/100,I323)</f>
        <v/>
      </c>
    </row>
    <row r="324" ht="18" customHeight="1">
      <c r="A324" s="9" t="n"/>
      <c r="B324" s="32" t="n"/>
      <c r="C324" s="12" t="n"/>
      <c r="D324" s="12" t="n"/>
      <c r="E324" s="12" t="n"/>
      <c r="F324" s="15">
        <f>IFERROR(MATCH($A324,Accounts!$A$2:$A$11,0),"")</f>
        <v/>
      </c>
      <c r="G324" s="14">
        <f>IFERROR(IF(OR($A324="",$F324=""),"",IF(INDEX(Accounts!$P$2:$P$11,$F324)="static",INDEX(Accounts!$Q$2:$Q$11,$F324),IF(INDEX(Accounts!$P$2:$P$11,$F324)="eod_trailing",MAX(INDEX(Accounts!$Q$2:$Q$11,$F324),_xlfn.MAXIFS($C$2:$C$1001,$A$2:$A$1001,$A324,$B$2:$B$1001,"&lt;"&amp;$B324)),MAX(INDEX(Accounts!$Q$2:$Q$11,$F324),_xlfn.MAXIFS($C$2:$C$1001,$A$2:$A$1001,$A324,$B$2:$B$1001,"&lt;"&amp;$B324),_xlfn.MAXIFS($D$2:$D$1001,$A$2:$A$1001,$A324,$B$2:$B$1001,"&lt;="&amp;$B324),$C324)))),"")</f>
        <v/>
      </c>
      <c r="H324" s="15">
        <f>IFERROR(IF(G324="","",IF(INDEX(Accounts!$P$2:$P$11,$F324)="static",INDEX(Accounts!$Q$2:$Q$11,$F324)-INDEX(Accounts!$R$2:$R$11,$F324),IF(INDEX(Accounts!$S$2:$S$11,$F324)="NONE",G324-INDEX(Accounts!$R$2:$R$11,$F324),MIN(G324-INDEX(Accounts!$R$2:$R$11,$F324),INDEX(Accounts!$Q$2:$Q$11,$F324)+INDEX(Accounts!$S$2:$S$11,$F324))))),"")</f>
        <v/>
      </c>
      <c r="I324" s="16">
        <f>IF(AND($A324="",$B324="",$C324="",$D324="",$E324=""),"",IF(OR($A324="",$F324=""),"UNKNOWN_ACCOUNT",IF(OR($B324="",$C324=""),"INCOMPLETE",IFERROR(IF(OR(NOT(ISNUMBER($B324)),NOT(ISNUMBER($C324)),IF(C324="",FALSE,IF(ISNUMBER(C324),OR(C324&lt;=0,C324&gt;100000000,ROUND(C324*100,6)&lt;&gt;INT(ROUND(C324*100,6))),TRUE)),IF(D324="",FALSE,IF(ISNUMBER(D324),OR(D324&lt;=0,D324&gt;100000000,ROUND(D324*100,6)&lt;&gt;INT(ROUND(D324*100,6))),TRUE)),IF(E324="",FALSE,IF(ISNUMBER(E324),OR(E324&lt;=0,E324&gt;100000000,ROUND(E324*100,6)&lt;&gt;INT(ROUND(E324*100,6))),TRUE)),AND($D324&lt;&gt;"",$D324&lt;MAX($C324,$E324)),AND($E324&lt;&gt;"",$E324&gt;MIN($C324,IF($D324="",$C324,$D324))),COUNTIFS($A$2:$A$1001,$A324,$B$2:$B$1001,$B324)&gt;1),"INVALID",IFERROR(IF(IF(INDEX(Accounts!$T$2:$T$11,$F324),ROUND(IF($E324="",$C324,MIN($C324,$E324))-(H324),6)&lt;=0,ROUND(IF($E324="",$C324,MIN($C324,$E324))-(H324),6)&lt;0),"BREACHED","OK"),"INCOMPLETE")),"INVALID"))))</f>
        <v/>
      </c>
      <c r="J324" s="33">
        <f>IF(OR(I324="OK",I324="BREACHED"),-INT(ROUND(-(H324)*100,6))/100,I324)</f>
        <v/>
      </c>
    </row>
    <row r="325" ht="18" customHeight="1">
      <c r="A325" s="9" t="n"/>
      <c r="B325" s="32" t="n"/>
      <c r="C325" s="12" t="n"/>
      <c r="D325" s="12" t="n"/>
      <c r="E325" s="12" t="n"/>
      <c r="F325" s="15">
        <f>IFERROR(MATCH($A325,Accounts!$A$2:$A$11,0),"")</f>
        <v/>
      </c>
      <c r="G325" s="14">
        <f>IFERROR(IF(OR($A325="",$F325=""),"",IF(INDEX(Accounts!$P$2:$P$11,$F325)="static",INDEX(Accounts!$Q$2:$Q$11,$F325),IF(INDEX(Accounts!$P$2:$P$11,$F325)="eod_trailing",MAX(INDEX(Accounts!$Q$2:$Q$11,$F325),_xlfn.MAXIFS($C$2:$C$1001,$A$2:$A$1001,$A325,$B$2:$B$1001,"&lt;"&amp;$B325)),MAX(INDEX(Accounts!$Q$2:$Q$11,$F325),_xlfn.MAXIFS($C$2:$C$1001,$A$2:$A$1001,$A325,$B$2:$B$1001,"&lt;"&amp;$B325),_xlfn.MAXIFS($D$2:$D$1001,$A$2:$A$1001,$A325,$B$2:$B$1001,"&lt;="&amp;$B325),$C325)))),"")</f>
        <v/>
      </c>
      <c r="H325" s="15">
        <f>IFERROR(IF(G325="","",IF(INDEX(Accounts!$P$2:$P$11,$F325)="static",INDEX(Accounts!$Q$2:$Q$11,$F325)-INDEX(Accounts!$R$2:$R$11,$F325),IF(INDEX(Accounts!$S$2:$S$11,$F325)="NONE",G325-INDEX(Accounts!$R$2:$R$11,$F325),MIN(G325-INDEX(Accounts!$R$2:$R$11,$F325),INDEX(Accounts!$Q$2:$Q$11,$F325)+INDEX(Accounts!$S$2:$S$11,$F325))))),"")</f>
        <v/>
      </c>
      <c r="I325" s="16">
        <f>IF(AND($A325="",$B325="",$C325="",$D325="",$E325=""),"",IF(OR($A325="",$F325=""),"UNKNOWN_ACCOUNT",IF(OR($B325="",$C325=""),"INCOMPLETE",IFERROR(IF(OR(NOT(ISNUMBER($B325)),NOT(ISNUMBER($C325)),IF(C325="",FALSE,IF(ISNUMBER(C325),OR(C325&lt;=0,C325&gt;100000000,ROUND(C325*100,6)&lt;&gt;INT(ROUND(C325*100,6))),TRUE)),IF(D325="",FALSE,IF(ISNUMBER(D325),OR(D325&lt;=0,D325&gt;100000000,ROUND(D325*100,6)&lt;&gt;INT(ROUND(D325*100,6))),TRUE)),IF(E325="",FALSE,IF(ISNUMBER(E325),OR(E325&lt;=0,E325&gt;100000000,ROUND(E325*100,6)&lt;&gt;INT(ROUND(E325*100,6))),TRUE)),AND($D325&lt;&gt;"",$D325&lt;MAX($C325,$E325)),AND($E325&lt;&gt;"",$E325&gt;MIN($C325,IF($D325="",$C325,$D325))),COUNTIFS($A$2:$A$1001,$A325,$B$2:$B$1001,$B325)&gt;1),"INVALID",IFERROR(IF(IF(INDEX(Accounts!$T$2:$T$11,$F325),ROUND(IF($E325="",$C325,MIN($C325,$E325))-(H325),6)&lt;=0,ROUND(IF($E325="",$C325,MIN($C325,$E325))-(H325),6)&lt;0),"BREACHED","OK"),"INCOMPLETE")),"INVALID"))))</f>
        <v/>
      </c>
      <c r="J325" s="33">
        <f>IF(OR(I325="OK",I325="BREACHED"),-INT(ROUND(-(H325)*100,6))/100,I325)</f>
        <v/>
      </c>
    </row>
    <row r="326" ht="18" customHeight="1">
      <c r="A326" s="9" t="n"/>
      <c r="B326" s="32" t="n"/>
      <c r="C326" s="12" t="n"/>
      <c r="D326" s="12" t="n"/>
      <c r="E326" s="12" t="n"/>
      <c r="F326" s="15">
        <f>IFERROR(MATCH($A326,Accounts!$A$2:$A$11,0),"")</f>
        <v/>
      </c>
      <c r="G326" s="14">
        <f>IFERROR(IF(OR($A326="",$F326=""),"",IF(INDEX(Accounts!$P$2:$P$11,$F326)="static",INDEX(Accounts!$Q$2:$Q$11,$F326),IF(INDEX(Accounts!$P$2:$P$11,$F326)="eod_trailing",MAX(INDEX(Accounts!$Q$2:$Q$11,$F326),_xlfn.MAXIFS($C$2:$C$1001,$A$2:$A$1001,$A326,$B$2:$B$1001,"&lt;"&amp;$B326)),MAX(INDEX(Accounts!$Q$2:$Q$11,$F326),_xlfn.MAXIFS($C$2:$C$1001,$A$2:$A$1001,$A326,$B$2:$B$1001,"&lt;"&amp;$B326),_xlfn.MAXIFS($D$2:$D$1001,$A$2:$A$1001,$A326,$B$2:$B$1001,"&lt;="&amp;$B326),$C326)))),"")</f>
        <v/>
      </c>
      <c r="H326" s="15">
        <f>IFERROR(IF(G326="","",IF(INDEX(Accounts!$P$2:$P$11,$F326)="static",INDEX(Accounts!$Q$2:$Q$11,$F326)-INDEX(Accounts!$R$2:$R$11,$F326),IF(INDEX(Accounts!$S$2:$S$11,$F326)="NONE",G326-INDEX(Accounts!$R$2:$R$11,$F326),MIN(G326-INDEX(Accounts!$R$2:$R$11,$F326),INDEX(Accounts!$Q$2:$Q$11,$F326)+INDEX(Accounts!$S$2:$S$11,$F326))))),"")</f>
        <v/>
      </c>
      <c r="I326" s="16">
        <f>IF(AND($A326="",$B326="",$C326="",$D326="",$E326=""),"",IF(OR($A326="",$F326=""),"UNKNOWN_ACCOUNT",IF(OR($B326="",$C326=""),"INCOMPLETE",IFERROR(IF(OR(NOT(ISNUMBER($B326)),NOT(ISNUMBER($C326)),IF(C326="",FALSE,IF(ISNUMBER(C326),OR(C326&lt;=0,C326&gt;100000000,ROUND(C326*100,6)&lt;&gt;INT(ROUND(C326*100,6))),TRUE)),IF(D326="",FALSE,IF(ISNUMBER(D326),OR(D326&lt;=0,D326&gt;100000000,ROUND(D326*100,6)&lt;&gt;INT(ROUND(D326*100,6))),TRUE)),IF(E326="",FALSE,IF(ISNUMBER(E326),OR(E326&lt;=0,E326&gt;100000000,ROUND(E326*100,6)&lt;&gt;INT(ROUND(E326*100,6))),TRUE)),AND($D326&lt;&gt;"",$D326&lt;MAX($C326,$E326)),AND($E326&lt;&gt;"",$E326&gt;MIN($C326,IF($D326="",$C326,$D326))),COUNTIFS($A$2:$A$1001,$A326,$B$2:$B$1001,$B326)&gt;1),"INVALID",IFERROR(IF(IF(INDEX(Accounts!$T$2:$T$11,$F326),ROUND(IF($E326="",$C326,MIN($C326,$E326))-(H326),6)&lt;=0,ROUND(IF($E326="",$C326,MIN($C326,$E326))-(H326),6)&lt;0),"BREACHED","OK"),"INCOMPLETE")),"INVALID"))))</f>
        <v/>
      </c>
      <c r="J326" s="33">
        <f>IF(OR(I326="OK",I326="BREACHED"),-INT(ROUND(-(H326)*100,6))/100,I326)</f>
        <v/>
      </c>
    </row>
    <row r="327" ht="18" customHeight="1">
      <c r="A327" s="9" t="n"/>
      <c r="B327" s="32" t="n"/>
      <c r="C327" s="12" t="n"/>
      <c r="D327" s="12" t="n"/>
      <c r="E327" s="12" t="n"/>
      <c r="F327" s="15">
        <f>IFERROR(MATCH($A327,Accounts!$A$2:$A$11,0),"")</f>
        <v/>
      </c>
      <c r="G327" s="14">
        <f>IFERROR(IF(OR($A327="",$F327=""),"",IF(INDEX(Accounts!$P$2:$P$11,$F327)="static",INDEX(Accounts!$Q$2:$Q$11,$F327),IF(INDEX(Accounts!$P$2:$P$11,$F327)="eod_trailing",MAX(INDEX(Accounts!$Q$2:$Q$11,$F327),_xlfn.MAXIFS($C$2:$C$1001,$A$2:$A$1001,$A327,$B$2:$B$1001,"&lt;"&amp;$B327)),MAX(INDEX(Accounts!$Q$2:$Q$11,$F327),_xlfn.MAXIFS($C$2:$C$1001,$A$2:$A$1001,$A327,$B$2:$B$1001,"&lt;"&amp;$B327),_xlfn.MAXIFS($D$2:$D$1001,$A$2:$A$1001,$A327,$B$2:$B$1001,"&lt;="&amp;$B327),$C327)))),"")</f>
        <v/>
      </c>
      <c r="H327" s="15">
        <f>IFERROR(IF(G327="","",IF(INDEX(Accounts!$P$2:$P$11,$F327)="static",INDEX(Accounts!$Q$2:$Q$11,$F327)-INDEX(Accounts!$R$2:$R$11,$F327),IF(INDEX(Accounts!$S$2:$S$11,$F327)="NONE",G327-INDEX(Accounts!$R$2:$R$11,$F327),MIN(G327-INDEX(Accounts!$R$2:$R$11,$F327),INDEX(Accounts!$Q$2:$Q$11,$F327)+INDEX(Accounts!$S$2:$S$11,$F327))))),"")</f>
        <v/>
      </c>
      <c r="I327" s="16">
        <f>IF(AND($A327="",$B327="",$C327="",$D327="",$E327=""),"",IF(OR($A327="",$F327=""),"UNKNOWN_ACCOUNT",IF(OR($B327="",$C327=""),"INCOMPLETE",IFERROR(IF(OR(NOT(ISNUMBER($B327)),NOT(ISNUMBER($C327)),IF(C327="",FALSE,IF(ISNUMBER(C327),OR(C327&lt;=0,C327&gt;100000000,ROUND(C327*100,6)&lt;&gt;INT(ROUND(C327*100,6))),TRUE)),IF(D327="",FALSE,IF(ISNUMBER(D327),OR(D327&lt;=0,D327&gt;100000000,ROUND(D327*100,6)&lt;&gt;INT(ROUND(D327*100,6))),TRUE)),IF(E327="",FALSE,IF(ISNUMBER(E327),OR(E327&lt;=0,E327&gt;100000000,ROUND(E327*100,6)&lt;&gt;INT(ROUND(E327*100,6))),TRUE)),AND($D327&lt;&gt;"",$D327&lt;MAX($C327,$E327)),AND($E327&lt;&gt;"",$E327&gt;MIN($C327,IF($D327="",$C327,$D327))),COUNTIFS($A$2:$A$1001,$A327,$B$2:$B$1001,$B327)&gt;1),"INVALID",IFERROR(IF(IF(INDEX(Accounts!$T$2:$T$11,$F327),ROUND(IF($E327="",$C327,MIN($C327,$E327))-(H327),6)&lt;=0,ROUND(IF($E327="",$C327,MIN($C327,$E327))-(H327),6)&lt;0),"BREACHED","OK"),"INCOMPLETE")),"INVALID"))))</f>
        <v/>
      </c>
      <c r="J327" s="33">
        <f>IF(OR(I327="OK",I327="BREACHED"),-INT(ROUND(-(H327)*100,6))/100,I327)</f>
        <v/>
      </c>
    </row>
    <row r="328" ht="18" customHeight="1">
      <c r="A328" s="9" t="n"/>
      <c r="B328" s="32" t="n"/>
      <c r="C328" s="12" t="n"/>
      <c r="D328" s="12" t="n"/>
      <c r="E328" s="12" t="n"/>
      <c r="F328" s="15">
        <f>IFERROR(MATCH($A328,Accounts!$A$2:$A$11,0),"")</f>
        <v/>
      </c>
      <c r="G328" s="14">
        <f>IFERROR(IF(OR($A328="",$F328=""),"",IF(INDEX(Accounts!$P$2:$P$11,$F328)="static",INDEX(Accounts!$Q$2:$Q$11,$F328),IF(INDEX(Accounts!$P$2:$P$11,$F328)="eod_trailing",MAX(INDEX(Accounts!$Q$2:$Q$11,$F328),_xlfn.MAXIFS($C$2:$C$1001,$A$2:$A$1001,$A328,$B$2:$B$1001,"&lt;"&amp;$B328)),MAX(INDEX(Accounts!$Q$2:$Q$11,$F328),_xlfn.MAXIFS($C$2:$C$1001,$A$2:$A$1001,$A328,$B$2:$B$1001,"&lt;"&amp;$B328),_xlfn.MAXIFS($D$2:$D$1001,$A$2:$A$1001,$A328,$B$2:$B$1001,"&lt;="&amp;$B328),$C328)))),"")</f>
        <v/>
      </c>
      <c r="H328" s="15">
        <f>IFERROR(IF(G328="","",IF(INDEX(Accounts!$P$2:$P$11,$F328)="static",INDEX(Accounts!$Q$2:$Q$11,$F328)-INDEX(Accounts!$R$2:$R$11,$F328),IF(INDEX(Accounts!$S$2:$S$11,$F328)="NONE",G328-INDEX(Accounts!$R$2:$R$11,$F328),MIN(G328-INDEX(Accounts!$R$2:$R$11,$F328),INDEX(Accounts!$Q$2:$Q$11,$F328)+INDEX(Accounts!$S$2:$S$11,$F328))))),"")</f>
        <v/>
      </c>
      <c r="I328" s="16">
        <f>IF(AND($A328="",$B328="",$C328="",$D328="",$E328=""),"",IF(OR($A328="",$F328=""),"UNKNOWN_ACCOUNT",IF(OR($B328="",$C328=""),"INCOMPLETE",IFERROR(IF(OR(NOT(ISNUMBER($B328)),NOT(ISNUMBER($C328)),IF(C328="",FALSE,IF(ISNUMBER(C328),OR(C328&lt;=0,C328&gt;100000000,ROUND(C328*100,6)&lt;&gt;INT(ROUND(C328*100,6))),TRUE)),IF(D328="",FALSE,IF(ISNUMBER(D328),OR(D328&lt;=0,D328&gt;100000000,ROUND(D328*100,6)&lt;&gt;INT(ROUND(D328*100,6))),TRUE)),IF(E328="",FALSE,IF(ISNUMBER(E328),OR(E328&lt;=0,E328&gt;100000000,ROUND(E328*100,6)&lt;&gt;INT(ROUND(E328*100,6))),TRUE)),AND($D328&lt;&gt;"",$D328&lt;MAX($C328,$E328)),AND($E328&lt;&gt;"",$E328&gt;MIN($C328,IF($D328="",$C328,$D328))),COUNTIFS($A$2:$A$1001,$A328,$B$2:$B$1001,$B328)&gt;1),"INVALID",IFERROR(IF(IF(INDEX(Accounts!$T$2:$T$11,$F328),ROUND(IF($E328="",$C328,MIN($C328,$E328))-(H328),6)&lt;=0,ROUND(IF($E328="",$C328,MIN($C328,$E328))-(H328),6)&lt;0),"BREACHED","OK"),"INCOMPLETE")),"INVALID"))))</f>
        <v/>
      </c>
      <c r="J328" s="33">
        <f>IF(OR(I328="OK",I328="BREACHED"),-INT(ROUND(-(H328)*100,6))/100,I328)</f>
        <v/>
      </c>
    </row>
    <row r="329" ht="18" customHeight="1">
      <c r="A329" s="9" t="n"/>
      <c r="B329" s="32" t="n"/>
      <c r="C329" s="12" t="n"/>
      <c r="D329" s="12" t="n"/>
      <c r="E329" s="12" t="n"/>
      <c r="F329" s="15">
        <f>IFERROR(MATCH($A329,Accounts!$A$2:$A$11,0),"")</f>
        <v/>
      </c>
      <c r="G329" s="14">
        <f>IFERROR(IF(OR($A329="",$F329=""),"",IF(INDEX(Accounts!$P$2:$P$11,$F329)="static",INDEX(Accounts!$Q$2:$Q$11,$F329),IF(INDEX(Accounts!$P$2:$P$11,$F329)="eod_trailing",MAX(INDEX(Accounts!$Q$2:$Q$11,$F329),_xlfn.MAXIFS($C$2:$C$1001,$A$2:$A$1001,$A329,$B$2:$B$1001,"&lt;"&amp;$B329)),MAX(INDEX(Accounts!$Q$2:$Q$11,$F329),_xlfn.MAXIFS($C$2:$C$1001,$A$2:$A$1001,$A329,$B$2:$B$1001,"&lt;"&amp;$B329),_xlfn.MAXIFS($D$2:$D$1001,$A$2:$A$1001,$A329,$B$2:$B$1001,"&lt;="&amp;$B329),$C329)))),"")</f>
        <v/>
      </c>
      <c r="H329" s="15">
        <f>IFERROR(IF(G329="","",IF(INDEX(Accounts!$P$2:$P$11,$F329)="static",INDEX(Accounts!$Q$2:$Q$11,$F329)-INDEX(Accounts!$R$2:$R$11,$F329),IF(INDEX(Accounts!$S$2:$S$11,$F329)="NONE",G329-INDEX(Accounts!$R$2:$R$11,$F329),MIN(G329-INDEX(Accounts!$R$2:$R$11,$F329),INDEX(Accounts!$Q$2:$Q$11,$F329)+INDEX(Accounts!$S$2:$S$11,$F329))))),"")</f>
        <v/>
      </c>
      <c r="I329" s="16">
        <f>IF(AND($A329="",$B329="",$C329="",$D329="",$E329=""),"",IF(OR($A329="",$F329=""),"UNKNOWN_ACCOUNT",IF(OR($B329="",$C329=""),"INCOMPLETE",IFERROR(IF(OR(NOT(ISNUMBER($B329)),NOT(ISNUMBER($C329)),IF(C329="",FALSE,IF(ISNUMBER(C329),OR(C329&lt;=0,C329&gt;100000000,ROUND(C329*100,6)&lt;&gt;INT(ROUND(C329*100,6))),TRUE)),IF(D329="",FALSE,IF(ISNUMBER(D329),OR(D329&lt;=0,D329&gt;100000000,ROUND(D329*100,6)&lt;&gt;INT(ROUND(D329*100,6))),TRUE)),IF(E329="",FALSE,IF(ISNUMBER(E329),OR(E329&lt;=0,E329&gt;100000000,ROUND(E329*100,6)&lt;&gt;INT(ROUND(E329*100,6))),TRUE)),AND($D329&lt;&gt;"",$D329&lt;MAX($C329,$E329)),AND($E329&lt;&gt;"",$E329&gt;MIN($C329,IF($D329="",$C329,$D329))),COUNTIFS($A$2:$A$1001,$A329,$B$2:$B$1001,$B329)&gt;1),"INVALID",IFERROR(IF(IF(INDEX(Accounts!$T$2:$T$11,$F329),ROUND(IF($E329="",$C329,MIN($C329,$E329))-(H329),6)&lt;=0,ROUND(IF($E329="",$C329,MIN($C329,$E329))-(H329),6)&lt;0),"BREACHED","OK"),"INCOMPLETE")),"INVALID"))))</f>
        <v/>
      </c>
      <c r="J329" s="33">
        <f>IF(OR(I329="OK",I329="BREACHED"),-INT(ROUND(-(H329)*100,6))/100,I329)</f>
        <v/>
      </c>
    </row>
    <row r="330" ht="18" customHeight="1">
      <c r="A330" s="9" t="n"/>
      <c r="B330" s="32" t="n"/>
      <c r="C330" s="12" t="n"/>
      <c r="D330" s="12" t="n"/>
      <c r="E330" s="12" t="n"/>
      <c r="F330" s="15">
        <f>IFERROR(MATCH($A330,Accounts!$A$2:$A$11,0),"")</f>
        <v/>
      </c>
      <c r="G330" s="14">
        <f>IFERROR(IF(OR($A330="",$F330=""),"",IF(INDEX(Accounts!$P$2:$P$11,$F330)="static",INDEX(Accounts!$Q$2:$Q$11,$F330),IF(INDEX(Accounts!$P$2:$P$11,$F330)="eod_trailing",MAX(INDEX(Accounts!$Q$2:$Q$11,$F330),_xlfn.MAXIFS($C$2:$C$1001,$A$2:$A$1001,$A330,$B$2:$B$1001,"&lt;"&amp;$B330)),MAX(INDEX(Accounts!$Q$2:$Q$11,$F330),_xlfn.MAXIFS($C$2:$C$1001,$A$2:$A$1001,$A330,$B$2:$B$1001,"&lt;"&amp;$B330),_xlfn.MAXIFS($D$2:$D$1001,$A$2:$A$1001,$A330,$B$2:$B$1001,"&lt;="&amp;$B330),$C330)))),"")</f>
        <v/>
      </c>
      <c r="H330" s="15">
        <f>IFERROR(IF(G330="","",IF(INDEX(Accounts!$P$2:$P$11,$F330)="static",INDEX(Accounts!$Q$2:$Q$11,$F330)-INDEX(Accounts!$R$2:$R$11,$F330),IF(INDEX(Accounts!$S$2:$S$11,$F330)="NONE",G330-INDEX(Accounts!$R$2:$R$11,$F330),MIN(G330-INDEX(Accounts!$R$2:$R$11,$F330),INDEX(Accounts!$Q$2:$Q$11,$F330)+INDEX(Accounts!$S$2:$S$11,$F330))))),"")</f>
        <v/>
      </c>
      <c r="I330" s="16">
        <f>IF(AND($A330="",$B330="",$C330="",$D330="",$E330=""),"",IF(OR($A330="",$F330=""),"UNKNOWN_ACCOUNT",IF(OR($B330="",$C330=""),"INCOMPLETE",IFERROR(IF(OR(NOT(ISNUMBER($B330)),NOT(ISNUMBER($C330)),IF(C330="",FALSE,IF(ISNUMBER(C330),OR(C330&lt;=0,C330&gt;100000000,ROUND(C330*100,6)&lt;&gt;INT(ROUND(C330*100,6))),TRUE)),IF(D330="",FALSE,IF(ISNUMBER(D330),OR(D330&lt;=0,D330&gt;100000000,ROUND(D330*100,6)&lt;&gt;INT(ROUND(D330*100,6))),TRUE)),IF(E330="",FALSE,IF(ISNUMBER(E330),OR(E330&lt;=0,E330&gt;100000000,ROUND(E330*100,6)&lt;&gt;INT(ROUND(E330*100,6))),TRUE)),AND($D330&lt;&gt;"",$D330&lt;MAX($C330,$E330)),AND($E330&lt;&gt;"",$E330&gt;MIN($C330,IF($D330="",$C330,$D330))),COUNTIFS($A$2:$A$1001,$A330,$B$2:$B$1001,$B330)&gt;1),"INVALID",IFERROR(IF(IF(INDEX(Accounts!$T$2:$T$11,$F330),ROUND(IF($E330="",$C330,MIN($C330,$E330))-(H330),6)&lt;=0,ROUND(IF($E330="",$C330,MIN($C330,$E330))-(H330),6)&lt;0),"BREACHED","OK"),"INCOMPLETE")),"INVALID"))))</f>
        <v/>
      </c>
      <c r="J330" s="33">
        <f>IF(OR(I330="OK",I330="BREACHED"),-INT(ROUND(-(H330)*100,6))/100,I330)</f>
        <v/>
      </c>
    </row>
    <row r="331" ht="18" customHeight="1">
      <c r="A331" s="9" t="n"/>
      <c r="B331" s="32" t="n"/>
      <c r="C331" s="12" t="n"/>
      <c r="D331" s="12" t="n"/>
      <c r="E331" s="12" t="n"/>
      <c r="F331" s="15">
        <f>IFERROR(MATCH($A331,Accounts!$A$2:$A$11,0),"")</f>
        <v/>
      </c>
      <c r="G331" s="14">
        <f>IFERROR(IF(OR($A331="",$F331=""),"",IF(INDEX(Accounts!$P$2:$P$11,$F331)="static",INDEX(Accounts!$Q$2:$Q$11,$F331),IF(INDEX(Accounts!$P$2:$P$11,$F331)="eod_trailing",MAX(INDEX(Accounts!$Q$2:$Q$11,$F331),_xlfn.MAXIFS($C$2:$C$1001,$A$2:$A$1001,$A331,$B$2:$B$1001,"&lt;"&amp;$B331)),MAX(INDEX(Accounts!$Q$2:$Q$11,$F331),_xlfn.MAXIFS($C$2:$C$1001,$A$2:$A$1001,$A331,$B$2:$B$1001,"&lt;"&amp;$B331),_xlfn.MAXIFS($D$2:$D$1001,$A$2:$A$1001,$A331,$B$2:$B$1001,"&lt;="&amp;$B331),$C331)))),"")</f>
        <v/>
      </c>
      <c r="H331" s="15">
        <f>IFERROR(IF(G331="","",IF(INDEX(Accounts!$P$2:$P$11,$F331)="static",INDEX(Accounts!$Q$2:$Q$11,$F331)-INDEX(Accounts!$R$2:$R$11,$F331),IF(INDEX(Accounts!$S$2:$S$11,$F331)="NONE",G331-INDEX(Accounts!$R$2:$R$11,$F331),MIN(G331-INDEX(Accounts!$R$2:$R$11,$F331),INDEX(Accounts!$Q$2:$Q$11,$F331)+INDEX(Accounts!$S$2:$S$11,$F331))))),"")</f>
        <v/>
      </c>
      <c r="I331" s="16">
        <f>IF(AND($A331="",$B331="",$C331="",$D331="",$E331=""),"",IF(OR($A331="",$F331=""),"UNKNOWN_ACCOUNT",IF(OR($B331="",$C331=""),"INCOMPLETE",IFERROR(IF(OR(NOT(ISNUMBER($B331)),NOT(ISNUMBER($C331)),IF(C331="",FALSE,IF(ISNUMBER(C331),OR(C331&lt;=0,C331&gt;100000000,ROUND(C331*100,6)&lt;&gt;INT(ROUND(C331*100,6))),TRUE)),IF(D331="",FALSE,IF(ISNUMBER(D331),OR(D331&lt;=0,D331&gt;100000000,ROUND(D331*100,6)&lt;&gt;INT(ROUND(D331*100,6))),TRUE)),IF(E331="",FALSE,IF(ISNUMBER(E331),OR(E331&lt;=0,E331&gt;100000000,ROUND(E331*100,6)&lt;&gt;INT(ROUND(E331*100,6))),TRUE)),AND($D331&lt;&gt;"",$D331&lt;MAX($C331,$E331)),AND($E331&lt;&gt;"",$E331&gt;MIN($C331,IF($D331="",$C331,$D331))),COUNTIFS($A$2:$A$1001,$A331,$B$2:$B$1001,$B331)&gt;1),"INVALID",IFERROR(IF(IF(INDEX(Accounts!$T$2:$T$11,$F331),ROUND(IF($E331="",$C331,MIN($C331,$E331))-(H331),6)&lt;=0,ROUND(IF($E331="",$C331,MIN($C331,$E331))-(H331),6)&lt;0),"BREACHED","OK"),"INCOMPLETE")),"INVALID"))))</f>
        <v/>
      </c>
      <c r="J331" s="33">
        <f>IF(OR(I331="OK",I331="BREACHED"),-INT(ROUND(-(H331)*100,6))/100,I331)</f>
        <v/>
      </c>
    </row>
    <row r="332" ht="18" customHeight="1">
      <c r="A332" s="9" t="n"/>
      <c r="B332" s="32" t="n"/>
      <c r="C332" s="12" t="n"/>
      <c r="D332" s="12" t="n"/>
      <c r="E332" s="12" t="n"/>
      <c r="F332" s="15">
        <f>IFERROR(MATCH($A332,Accounts!$A$2:$A$11,0),"")</f>
        <v/>
      </c>
      <c r="G332" s="14">
        <f>IFERROR(IF(OR($A332="",$F332=""),"",IF(INDEX(Accounts!$P$2:$P$11,$F332)="static",INDEX(Accounts!$Q$2:$Q$11,$F332),IF(INDEX(Accounts!$P$2:$P$11,$F332)="eod_trailing",MAX(INDEX(Accounts!$Q$2:$Q$11,$F332),_xlfn.MAXIFS($C$2:$C$1001,$A$2:$A$1001,$A332,$B$2:$B$1001,"&lt;"&amp;$B332)),MAX(INDEX(Accounts!$Q$2:$Q$11,$F332),_xlfn.MAXIFS($C$2:$C$1001,$A$2:$A$1001,$A332,$B$2:$B$1001,"&lt;"&amp;$B332),_xlfn.MAXIFS($D$2:$D$1001,$A$2:$A$1001,$A332,$B$2:$B$1001,"&lt;="&amp;$B332),$C332)))),"")</f>
        <v/>
      </c>
      <c r="H332" s="15">
        <f>IFERROR(IF(G332="","",IF(INDEX(Accounts!$P$2:$P$11,$F332)="static",INDEX(Accounts!$Q$2:$Q$11,$F332)-INDEX(Accounts!$R$2:$R$11,$F332),IF(INDEX(Accounts!$S$2:$S$11,$F332)="NONE",G332-INDEX(Accounts!$R$2:$R$11,$F332),MIN(G332-INDEX(Accounts!$R$2:$R$11,$F332),INDEX(Accounts!$Q$2:$Q$11,$F332)+INDEX(Accounts!$S$2:$S$11,$F332))))),"")</f>
        <v/>
      </c>
      <c r="I332" s="16">
        <f>IF(AND($A332="",$B332="",$C332="",$D332="",$E332=""),"",IF(OR($A332="",$F332=""),"UNKNOWN_ACCOUNT",IF(OR($B332="",$C332=""),"INCOMPLETE",IFERROR(IF(OR(NOT(ISNUMBER($B332)),NOT(ISNUMBER($C332)),IF(C332="",FALSE,IF(ISNUMBER(C332),OR(C332&lt;=0,C332&gt;100000000,ROUND(C332*100,6)&lt;&gt;INT(ROUND(C332*100,6))),TRUE)),IF(D332="",FALSE,IF(ISNUMBER(D332),OR(D332&lt;=0,D332&gt;100000000,ROUND(D332*100,6)&lt;&gt;INT(ROUND(D332*100,6))),TRUE)),IF(E332="",FALSE,IF(ISNUMBER(E332),OR(E332&lt;=0,E332&gt;100000000,ROUND(E332*100,6)&lt;&gt;INT(ROUND(E332*100,6))),TRUE)),AND($D332&lt;&gt;"",$D332&lt;MAX($C332,$E332)),AND($E332&lt;&gt;"",$E332&gt;MIN($C332,IF($D332="",$C332,$D332))),COUNTIFS($A$2:$A$1001,$A332,$B$2:$B$1001,$B332)&gt;1),"INVALID",IFERROR(IF(IF(INDEX(Accounts!$T$2:$T$11,$F332),ROUND(IF($E332="",$C332,MIN($C332,$E332))-(H332),6)&lt;=0,ROUND(IF($E332="",$C332,MIN($C332,$E332))-(H332),6)&lt;0),"BREACHED","OK"),"INCOMPLETE")),"INVALID"))))</f>
        <v/>
      </c>
      <c r="J332" s="33">
        <f>IF(OR(I332="OK",I332="BREACHED"),-INT(ROUND(-(H332)*100,6))/100,I332)</f>
        <v/>
      </c>
    </row>
    <row r="333" ht="18" customHeight="1">
      <c r="A333" s="9" t="n"/>
      <c r="B333" s="32" t="n"/>
      <c r="C333" s="12" t="n"/>
      <c r="D333" s="12" t="n"/>
      <c r="E333" s="12" t="n"/>
      <c r="F333" s="15">
        <f>IFERROR(MATCH($A333,Accounts!$A$2:$A$11,0),"")</f>
        <v/>
      </c>
      <c r="G333" s="14">
        <f>IFERROR(IF(OR($A333="",$F333=""),"",IF(INDEX(Accounts!$P$2:$P$11,$F333)="static",INDEX(Accounts!$Q$2:$Q$11,$F333),IF(INDEX(Accounts!$P$2:$P$11,$F333)="eod_trailing",MAX(INDEX(Accounts!$Q$2:$Q$11,$F333),_xlfn.MAXIFS($C$2:$C$1001,$A$2:$A$1001,$A333,$B$2:$B$1001,"&lt;"&amp;$B333)),MAX(INDEX(Accounts!$Q$2:$Q$11,$F333),_xlfn.MAXIFS($C$2:$C$1001,$A$2:$A$1001,$A333,$B$2:$B$1001,"&lt;"&amp;$B333),_xlfn.MAXIFS($D$2:$D$1001,$A$2:$A$1001,$A333,$B$2:$B$1001,"&lt;="&amp;$B333),$C333)))),"")</f>
        <v/>
      </c>
      <c r="H333" s="15">
        <f>IFERROR(IF(G333="","",IF(INDEX(Accounts!$P$2:$P$11,$F333)="static",INDEX(Accounts!$Q$2:$Q$11,$F333)-INDEX(Accounts!$R$2:$R$11,$F333),IF(INDEX(Accounts!$S$2:$S$11,$F333)="NONE",G333-INDEX(Accounts!$R$2:$R$11,$F333),MIN(G333-INDEX(Accounts!$R$2:$R$11,$F333),INDEX(Accounts!$Q$2:$Q$11,$F333)+INDEX(Accounts!$S$2:$S$11,$F333))))),"")</f>
        <v/>
      </c>
      <c r="I333" s="16">
        <f>IF(AND($A333="",$B333="",$C333="",$D333="",$E333=""),"",IF(OR($A333="",$F333=""),"UNKNOWN_ACCOUNT",IF(OR($B333="",$C333=""),"INCOMPLETE",IFERROR(IF(OR(NOT(ISNUMBER($B333)),NOT(ISNUMBER($C333)),IF(C333="",FALSE,IF(ISNUMBER(C333),OR(C333&lt;=0,C333&gt;100000000,ROUND(C333*100,6)&lt;&gt;INT(ROUND(C333*100,6))),TRUE)),IF(D333="",FALSE,IF(ISNUMBER(D333),OR(D333&lt;=0,D333&gt;100000000,ROUND(D333*100,6)&lt;&gt;INT(ROUND(D333*100,6))),TRUE)),IF(E333="",FALSE,IF(ISNUMBER(E333),OR(E333&lt;=0,E333&gt;100000000,ROUND(E333*100,6)&lt;&gt;INT(ROUND(E333*100,6))),TRUE)),AND($D333&lt;&gt;"",$D333&lt;MAX($C333,$E333)),AND($E333&lt;&gt;"",$E333&gt;MIN($C333,IF($D333="",$C333,$D333))),COUNTIFS($A$2:$A$1001,$A333,$B$2:$B$1001,$B333)&gt;1),"INVALID",IFERROR(IF(IF(INDEX(Accounts!$T$2:$T$11,$F333),ROUND(IF($E333="",$C333,MIN($C333,$E333))-(H333),6)&lt;=0,ROUND(IF($E333="",$C333,MIN($C333,$E333))-(H333),6)&lt;0),"BREACHED","OK"),"INCOMPLETE")),"INVALID"))))</f>
        <v/>
      </c>
      <c r="J333" s="33">
        <f>IF(OR(I333="OK",I333="BREACHED"),-INT(ROUND(-(H333)*100,6))/100,I333)</f>
        <v/>
      </c>
    </row>
    <row r="334" ht="18" customHeight="1">
      <c r="A334" s="9" t="n"/>
      <c r="B334" s="32" t="n"/>
      <c r="C334" s="12" t="n"/>
      <c r="D334" s="12" t="n"/>
      <c r="E334" s="12" t="n"/>
      <c r="F334" s="15">
        <f>IFERROR(MATCH($A334,Accounts!$A$2:$A$11,0),"")</f>
        <v/>
      </c>
      <c r="G334" s="14">
        <f>IFERROR(IF(OR($A334="",$F334=""),"",IF(INDEX(Accounts!$P$2:$P$11,$F334)="static",INDEX(Accounts!$Q$2:$Q$11,$F334),IF(INDEX(Accounts!$P$2:$P$11,$F334)="eod_trailing",MAX(INDEX(Accounts!$Q$2:$Q$11,$F334),_xlfn.MAXIFS($C$2:$C$1001,$A$2:$A$1001,$A334,$B$2:$B$1001,"&lt;"&amp;$B334)),MAX(INDEX(Accounts!$Q$2:$Q$11,$F334),_xlfn.MAXIFS($C$2:$C$1001,$A$2:$A$1001,$A334,$B$2:$B$1001,"&lt;"&amp;$B334),_xlfn.MAXIFS($D$2:$D$1001,$A$2:$A$1001,$A334,$B$2:$B$1001,"&lt;="&amp;$B334),$C334)))),"")</f>
        <v/>
      </c>
      <c r="H334" s="15">
        <f>IFERROR(IF(G334="","",IF(INDEX(Accounts!$P$2:$P$11,$F334)="static",INDEX(Accounts!$Q$2:$Q$11,$F334)-INDEX(Accounts!$R$2:$R$11,$F334),IF(INDEX(Accounts!$S$2:$S$11,$F334)="NONE",G334-INDEX(Accounts!$R$2:$R$11,$F334),MIN(G334-INDEX(Accounts!$R$2:$R$11,$F334),INDEX(Accounts!$Q$2:$Q$11,$F334)+INDEX(Accounts!$S$2:$S$11,$F334))))),"")</f>
        <v/>
      </c>
      <c r="I334" s="16">
        <f>IF(AND($A334="",$B334="",$C334="",$D334="",$E334=""),"",IF(OR($A334="",$F334=""),"UNKNOWN_ACCOUNT",IF(OR($B334="",$C334=""),"INCOMPLETE",IFERROR(IF(OR(NOT(ISNUMBER($B334)),NOT(ISNUMBER($C334)),IF(C334="",FALSE,IF(ISNUMBER(C334),OR(C334&lt;=0,C334&gt;100000000,ROUND(C334*100,6)&lt;&gt;INT(ROUND(C334*100,6))),TRUE)),IF(D334="",FALSE,IF(ISNUMBER(D334),OR(D334&lt;=0,D334&gt;100000000,ROUND(D334*100,6)&lt;&gt;INT(ROUND(D334*100,6))),TRUE)),IF(E334="",FALSE,IF(ISNUMBER(E334),OR(E334&lt;=0,E334&gt;100000000,ROUND(E334*100,6)&lt;&gt;INT(ROUND(E334*100,6))),TRUE)),AND($D334&lt;&gt;"",$D334&lt;MAX($C334,$E334)),AND($E334&lt;&gt;"",$E334&gt;MIN($C334,IF($D334="",$C334,$D334))),COUNTIFS($A$2:$A$1001,$A334,$B$2:$B$1001,$B334)&gt;1),"INVALID",IFERROR(IF(IF(INDEX(Accounts!$T$2:$T$11,$F334),ROUND(IF($E334="",$C334,MIN($C334,$E334))-(H334),6)&lt;=0,ROUND(IF($E334="",$C334,MIN($C334,$E334))-(H334),6)&lt;0),"BREACHED","OK"),"INCOMPLETE")),"INVALID"))))</f>
        <v/>
      </c>
      <c r="J334" s="33">
        <f>IF(OR(I334="OK",I334="BREACHED"),-INT(ROUND(-(H334)*100,6))/100,I334)</f>
        <v/>
      </c>
    </row>
    <row r="335" ht="18" customHeight="1">
      <c r="A335" s="9" t="n"/>
      <c r="B335" s="32" t="n"/>
      <c r="C335" s="12" t="n"/>
      <c r="D335" s="12" t="n"/>
      <c r="E335" s="12" t="n"/>
      <c r="F335" s="15">
        <f>IFERROR(MATCH($A335,Accounts!$A$2:$A$11,0),"")</f>
        <v/>
      </c>
      <c r="G335" s="14">
        <f>IFERROR(IF(OR($A335="",$F335=""),"",IF(INDEX(Accounts!$P$2:$P$11,$F335)="static",INDEX(Accounts!$Q$2:$Q$11,$F335),IF(INDEX(Accounts!$P$2:$P$11,$F335)="eod_trailing",MAX(INDEX(Accounts!$Q$2:$Q$11,$F335),_xlfn.MAXIFS($C$2:$C$1001,$A$2:$A$1001,$A335,$B$2:$B$1001,"&lt;"&amp;$B335)),MAX(INDEX(Accounts!$Q$2:$Q$11,$F335),_xlfn.MAXIFS($C$2:$C$1001,$A$2:$A$1001,$A335,$B$2:$B$1001,"&lt;"&amp;$B335),_xlfn.MAXIFS($D$2:$D$1001,$A$2:$A$1001,$A335,$B$2:$B$1001,"&lt;="&amp;$B335),$C335)))),"")</f>
        <v/>
      </c>
      <c r="H335" s="15">
        <f>IFERROR(IF(G335="","",IF(INDEX(Accounts!$P$2:$P$11,$F335)="static",INDEX(Accounts!$Q$2:$Q$11,$F335)-INDEX(Accounts!$R$2:$R$11,$F335),IF(INDEX(Accounts!$S$2:$S$11,$F335)="NONE",G335-INDEX(Accounts!$R$2:$R$11,$F335),MIN(G335-INDEX(Accounts!$R$2:$R$11,$F335),INDEX(Accounts!$Q$2:$Q$11,$F335)+INDEX(Accounts!$S$2:$S$11,$F335))))),"")</f>
        <v/>
      </c>
      <c r="I335" s="16">
        <f>IF(AND($A335="",$B335="",$C335="",$D335="",$E335=""),"",IF(OR($A335="",$F335=""),"UNKNOWN_ACCOUNT",IF(OR($B335="",$C335=""),"INCOMPLETE",IFERROR(IF(OR(NOT(ISNUMBER($B335)),NOT(ISNUMBER($C335)),IF(C335="",FALSE,IF(ISNUMBER(C335),OR(C335&lt;=0,C335&gt;100000000,ROUND(C335*100,6)&lt;&gt;INT(ROUND(C335*100,6))),TRUE)),IF(D335="",FALSE,IF(ISNUMBER(D335),OR(D335&lt;=0,D335&gt;100000000,ROUND(D335*100,6)&lt;&gt;INT(ROUND(D335*100,6))),TRUE)),IF(E335="",FALSE,IF(ISNUMBER(E335),OR(E335&lt;=0,E335&gt;100000000,ROUND(E335*100,6)&lt;&gt;INT(ROUND(E335*100,6))),TRUE)),AND($D335&lt;&gt;"",$D335&lt;MAX($C335,$E335)),AND($E335&lt;&gt;"",$E335&gt;MIN($C335,IF($D335="",$C335,$D335))),COUNTIFS($A$2:$A$1001,$A335,$B$2:$B$1001,$B335)&gt;1),"INVALID",IFERROR(IF(IF(INDEX(Accounts!$T$2:$T$11,$F335),ROUND(IF($E335="",$C335,MIN($C335,$E335))-(H335),6)&lt;=0,ROUND(IF($E335="",$C335,MIN($C335,$E335))-(H335),6)&lt;0),"BREACHED","OK"),"INCOMPLETE")),"INVALID"))))</f>
        <v/>
      </c>
      <c r="J335" s="33">
        <f>IF(OR(I335="OK",I335="BREACHED"),-INT(ROUND(-(H335)*100,6))/100,I335)</f>
        <v/>
      </c>
    </row>
    <row r="336" ht="18" customHeight="1">
      <c r="A336" s="9" t="n"/>
      <c r="B336" s="32" t="n"/>
      <c r="C336" s="12" t="n"/>
      <c r="D336" s="12" t="n"/>
      <c r="E336" s="12" t="n"/>
      <c r="F336" s="15">
        <f>IFERROR(MATCH($A336,Accounts!$A$2:$A$11,0),"")</f>
        <v/>
      </c>
      <c r="G336" s="14">
        <f>IFERROR(IF(OR($A336="",$F336=""),"",IF(INDEX(Accounts!$P$2:$P$11,$F336)="static",INDEX(Accounts!$Q$2:$Q$11,$F336),IF(INDEX(Accounts!$P$2:$P$11,$F336)="eod_trailing",MAX(INDEX(Accounts!$Q$2:$Q$11,$F336),_xlfn.MAXIFS($C$2:$C$1001,$A$2:$A$1001,$A336,$B$2:$B$1001,"&lt;"&amp;$B336)),MAX(INDEX(Accounts!$Q$2:$Q$11,$F336),_xlfn.MAXIFS($C$2:$C$1001,$A$2:$A$1001,$A336,$B$2:$B$1001,"&lt;"&amp;$B336),_xlfn.MAXIFS($D$2:$D$1001,$A$2:$A$1001,$A336,$B$2:$B$1001,"&lt;="&amp;$B336),$C336)))),"")</f>
        <v/>
      </c>
      <c r="H336" s="15">
        <f>IFERROR(IF(G336="","",IF(INDEX(Accounts!$P$2:$P$11,$F336)="static",INDEX(Accounts!$Q$2:$Q$11,$F336)-INDEX(Accounts!$R$2:$R$11,$F336),IF(INDEX(Accounts!$S$2:$S$11,$F336)="NONE",G336-INDEX(Accounts!$R$2:$R$11,$F336),MIN(G336-INDEX(Accounts!$R$2:$R$11,$F336),INDEX(Accounts!$Q$2:$Q$11,$F336)+INDEX(Accounts!$S$2:$S$11,$F336))))),"")</f>
        <v/>
      </c>
      <c r="I336" s="16">
        <f>IF(AND($A336="",$B336="",$C336="",$D336="",$E336=""),"",IF(OR($A336="",$F336=""),"UNKNOWN_ACCOUNT",IF(OR($B336="",$C336=""),"INCOMPLETE",IFERROR(IF(OR(NOT(ISNUMBER($B336)),NOT(ISNUMBER($C336)),IF(C336="",FALSE,IF(ISNUMBER(C336),OR(C336&lt;=0,C336&gt;100000000,ROUND(C336*100,6)&lt;&gt;INT(ROUND(C336*100,6))),TRUE)),IF(D336="",FALSE,IF(ISNUMBER(D336),OR(D336&lt;=0,D336&gt;100000000,ROUND(D336*100,6)&lt;&gt;INT(ROUND(D336*100,6))),TRUE)),IF(E336="",FALSE,IF(ISNUMBER(E336),OR(E336&lt;=0,E336&gt;100000000,ROUND(E336*100,6)&lt;&gt;INT(ROUND(E336*100,6))),TRUE)),AND($D336&lt;&gt;"",$D336&lt;MAX($C336,$E336)),AND($E336&lt;&gt;"",$E336&gt;MIN($C336,IF($D336="",$C336,$D336))),COUNTIFS($A$2:$A$1001,$A336,$B$2:$B$1001,$B336)&gt;1),"INVALID",IFERROR(IF(IF(INDEX(Accounts!$T$2:$T$11,$F336),ROUND(IF($E336="",$C336,MIN($C336,$E336))-(H336),6)&lt;=0,ROUND(IF($E336="",$C336,MIN($C336,$E336))-(H336),6)&lt;0),"BREACHED","OK"),"INCOMPLETE")),"INVALID"))))</f>
        <v/>
      </c>
      <c r="J336" s="33">
        <f>IF(OR(I336="OK",I336="BREACHED"),-INT(ROUND(-(H336)*100,6))/100,I336)</f>
        <v/>
      </c>
    </row>
    <row r="337" ht="18" customHeight="1">
      <c r="A337" s="9" t="n"/>
      <c r="B337" s="32" t="n"/>
      <c r="C337" s="12" t="n"/>
      <c r="D337" s="12" t="n"/>
      <c r="E337" s="12" t="n"/>
      <c r="F337" s="15">
        <f>IFERROR(MATCH($A337,Accounts!$A$2:$A$11,0),"")</f>
        <v/>
      </c>
      <c r="G337" s="14">
        <f>IFERROR(IF(OR($A337="",$F337=""),"",IF(INDEX(Accounts!$P$2:$P$11,$F337)="static",INDEX(Accounts!$Q$2:$Q$11,$F337),IF(INDEX(Accounts!$P$2:$P$11,$F337)="eod_trailing",MAX(INDEX(Accounts!$Q$2:$Q$11,$F337),_xlfn.MAXIFS($C$2:$C$1001,$A$2:$A$1001,$A337,$B$2:$B$1001,"&lt;"&amp;$B337)),MAX(INDEX(Accounts!$Q$2:$Q$11,$F337),_xlfn.MAXIFS($C$2:$C$1001,$A$2:$A$1001,$A337,$B$2:$B$1001,"&lt;"&amp;$B337),_xlfn.MAXIFS($D$2:$D$1001,$A$2:$A$1001,$A337,$B$2:$B$1001,"&lt;="&amp;$B337),$C337)))),"")</f>
        <v/>
      </c>
      <c r="H337" s="15">
        <f>IFERROR(IF(G337="","",IF(INDEX(Accounts!$P$2:$P$11,$F337)="static",INDEX(Accounts!$Q$2:$Q$11,$F337)-INDEX(Accounts!$R$2:$R$11,$F337),IF(INDEX(Accounts!$S$2:$S$11,$F337)="NONE",G337-INDEX(Accounts!$R$2:$R$11,$F337),MIN(G337-INDEX(Accounts!$R$2:$R$11,$F337),INDEX(Accounts!$Q$2:$Q$11,$F337)+INDEX(Accounts!$S$2:$S$11,$F337))))),"")</f>
        <v/>
      </c>
      <c r="I337" s="16">
        <f>IF(AND($A337="",$B337="",$C337="",$D337="",$E337=""),"",IF(OR($A337="",$F337=""),"UNKNOWN_ACCOUNT",IF(OR($B337="",$C337=""),"INCOMPLETE",IFERROR(IF(OR(NOT(ISNUMBER($B337)),NOT(ISNUMBER($C337)),IF(C337="",FALSE,IF(ISNUMBER(C337),OR(C337&lt;=0,C337&gt;100000000,ROUND(C337*100,6)&lt;&gt;INT(ROUND(C337*100,6))),TRUE)),IF(D337="",FALSE,IF(ISNUMBER(D337),OR(D337&lt;=0,D337&gt;100000000,ROUND(D337*100,6)&lt;&gt;INT(ROUND(D337*100,6))),TRUE)),IF(E337="",FALSE,IF(ISNUMBER(E337),OR(E337&lt;=0,E337&gt;100000000,ROUND(E337*100,6)&lt;&gt;INT(ROUND(E337*100,6))),TRUE)),AND($D337&lt;&gt;"",$D337&lt;MAX($C337,$E337)),AND($E337&lt;&gt;"",$E337&gt;MIN($C337,IF($D337="",$C337,$D337))),COUNTIFS($A$2:$A$1001,$A337,$B$2:$B$1001,$B337)&gt;1),"INVALID",IFERROR(IF(IF(INDEX(Accounts!$T$2:$T$11,$F337),ROUND(IF($E337="",$C337,MIN($C337,$E337))-(H337),6)&lt;=0,ROUND(IF($E337="",$C337,MIN($C337,$E337))-(H337),6)&lt;0),"BREACHED","OK"),"INCOMPLETE")),"INVALID"))))</f>
        <v/>
      </c>
      <c r="J337" s="33">
        <f>IF(OR(I337="OK",I337="BREACHED"),-INT(ROUND(-(H337)*100,6))/100,I337)</f>
        <v/>
      </c>
    </row>
    <row r="338" ht="18" customHeight="1">
      <c r="A338" s="9" t="n"/>
      <c r="B338" s="32" t="n"/>
      <c r="C338" s="12" t="n"/>
      <c r="D338" s="12" t="n"/>
      <c r="E338" s="12" t="n"/>
      <c r="F338" s="15">
        <f>IFERROR(MATCH($A338,Accounts!$A$2:$A$11,0),"")</f>
        <v/>
      </c>
      <c r="G338" s="14">
        <f>IFERROR(IF(OR($A338="",$F338=""),"",IF(INDEX(Accounts!$P$2:$P$11,$F338)="static",INDEX(Accounts!$Q$2:$Q$11,$F338),IF(INDEX(Accounts!$P$2:$P$11,$F338)="eod_trailing",MAX(INDEX(Accounts!$Q$2:$Q$11,$F338),_xlfn.MAXIFS($C$2:$C$1001,$A$2:$A$1001,$A338,$B$2:$B$1001,"&lt;"&amp;$B338)),MAX(INDEX(Accounts!$Q$2:$Q$11,$F338),_xlfn.MAXIFS($C$2:$C$1001,$A$2:$A$1001,$A338,$B$2:$B$1001,"&lt;"&amp;$B338),_xlfn.MAXIFS($D$2:$D$1001,$A$2:$A$1001,$A338,$B$2:$B$1001,"&lt;="&amp;$B338),$C338)))),"")</f>
        <v/>
      </c>
      <c r="H338" s="15">
        <f>IFERROR(IF(G338="","",IF(INDEX(Accounts!$P$2:$P$11,$F338)="static",INDEX(Accounts!$Q$2:$Q$11,$F338)-INDEX(Accounts!$R$2:$R$11,$F338),IF(INDEX(Accounts!$S$2:$S$11,$F338)="NONE",G338-INDEX(Accounts!$R$2:$R$11,$F338),MIN(G338-INDEX(Accounts!$R$2:$R$11,$F338),INDEX(Accounts!$Q$2:$Q$11,$F338)+INDEX(Accounts!$S$2:$S$11,$F338))))),"")</f>
        <v/>
      </c>
      <c r="I338" s="16">
        <f>IF(AND($A338="",$B338="",$C338="",$D338="",$E338=""),"",IF(OR($A338="",$F338=""),"UNKNOWN_ACCOUNT",IF(OR($B338="",$C338=""),"INCOMPLETE",IFERROR(IF(OR(NOT(ISNUMBER($B338)),NOT(ISNUMBER($C338)),IF(C338="",FALSE,IF(ISNUMBER(C338),OR(C338&lt;=0,C338&gt;100000000,ROUND(C338*100,6)&lt;&gt;INT(ROUND(C338*100,6))),TRUE)),IF(D338="",FALSE,IF(ISNUMBER(D338),OR(D338&lt;=0,D338&gt;100000000,ROUND(D338*100,6)&lt;&gt;INT(ROUND(D338*100,6))),TRUE)),IF(E338="",FALSE,IF(ISNUMBER(E338),OR(E338&lt;=0,E338&gt;100000000,ROUND(E338*100,6)&lt;&gt;INT(ROUND(E338*100,6))),TRUE)),AND($D338&lt;&gt;"",$D338&lt;MAX($C338,$E338)),AND($E338&lt;&gt;"",$E338&gt;MIN($C338,IF($D338="",$C338,$D338))),COUNTIFS($A$2:$A$1001,$A338,$B$2:$B$1001,$B338)&gt;1),"INVALID",IFERROR(IF(IF(INDEX(Accounts!$T$2:$T$11,$F338),ROUND(IF($E338="",$C338,MIN($C338,$E338))-(H338),6)&lt;=0,ROUND(IF($E338="",$C338,MIN($C338,$E338))-(H338),6)&lt;0),"BREACHED","OK"),"INCOMPLETE")),"INVALID"))))</f>
        <v/>
      </c>
      <c r="J338" s="33">
        <f>IF(OR(I338="OK",I338="BREACHED"),-INT(ROUND(-(H338)*100,6))/100,I338)</f>
        <v/>
      </c>
    </row>
    <row r="339" ht="18" customHeight="1">
      <c r="A339" s="9" t="n"/>
      <c r="B339" s="32" t="n"/>
      <c r="C339" s="12" t="n"/>
      <c r="D339" s="12" t="n"/>
      <c r="E339" s="12" t="n"/>
      <c r="F339" s="15">
        <f>IFERROR(MATCH($A339,Accounts!$A$2:$A$11,0),"")</f>
        <v/>
      </c>
      <c r="G339" s="14">
        <f>IFERROR(IF(OR($A339="",$F339=""),"",IF(INDEX(Accounts!$P$2:$P$11,$F339)="static",INDEX(Accounts!$Q$2:$Q$11,$F339),IF(INDEX(Accounts!$P$2:$P$11,$F339)="eod_trailing",MAX(INDEX(Accounts!$Q$2:$Q$11,$F339),_xlfn.MAXIFS($C$2:$C$1001,$A$2:$A$1001,$A339,$B$2:$B$1001,"&lt;"&amp;$B339)),MAX(INDEX(Accounts!$Q$2:$Q$11,$F339),_xlfn.MAXIFS($C$2:$C$1001,$A$2:$A$1001,$A339,$B$2:$B$1001,"&lt;"&amp;$B339),_xlfn.MAXIFS($D$2:$D$1001,$A$2:$A$1001,$A339,$B$2:$B$1001,"&lt;="&amp;$B339),$C339)))),"")</f>
        <v/>
      </c>
      <c r="H339" s="15">
        <f>IFERROR(IF(G339="","",IF(INDEX(Accounts!$P$2:$P$11,$F339)="static",INDEX(Accounts!$Q$2:$Q$11,$F339)-INDEX(Accounts!$R$2:$R$11,$F339),IF(INDEX(Accounts!$S$2:$S$11,$F339)="NONE",G339-INDEX(Accounts!$R$2:$R$11,$F339),MIN(G339-INDEX(Accounts!$R$2:$R$11,$F339),INDEX(Accounts!$Q$2:$Q$11,$F339)+INDEX(Accounts!$S$2:$S$11,$F339))))),"")</f>
        <v/>
      </c>
      <c r="I339" s="16">
        <f>IF(AND($A339="",$B339="",$C339="",$D339="",$E339=""),"",IF(OR($A339="",$F339=""),"UNKNOWN_ACCOUNT",IF(OR($B339="",$C339=""),"INCOMPLETE",IFERROR(IF(OR(NOT(ISNUMBER($B339)),NOT(ISNUMBER($C339)),IF(C339="",FALSE,IF(ISNUMBER(C339),OR(C339&lt;=0,C339&gt;100000000,ROUND(C339*100,6)&lt;&gt;INT(ROUND(C339*100,6))),TRUE)),IF(D339="",FALSE,IF(ISNUMBER(D339),OR(D339&lt;=0,D339&gt;100000000,ROUND(D339*100,6)&lt;&gt;INT(ROUND(D339*100,6))),TRUE)),IF(E339="",FALSE,IF(ISNUMBER(E339),OR(E339&lt;=0,E339&gt;100000000,ROUND(E339*100,6)&lt;&gt;INT(ROUND(E339*100,6))),TRUE)),AND($D339&lt;&gt;"",$D339&lt;MAX($C339,$E339)),AND($E339&lt;&gt;"",$E339&gt;MIN($C339,IF($D339="",$C339,$D339))),COUNTIFS($A$2:$A$1001,$A339,$B$2:$B$1001,$B339)&gt;1),"INVALID",IFERROR(IF(IF(INDEX(Accounts!$T$2:$T$11,$F339),ROUND(IF($E339="",$C339,MIN($C339,$E339))-(H339),6)&lt;=0,ROUND(IF($E339="",$C339,MIN($C339,$E339))-(H339),6)&lt;0),"BREACHED","OK"),"INCOMPLETE")),"INVALID"))))</f>
        <v/>
      </c>
      <c r="J339" s="33">
        <f>IF(OR(I339="OK",I339="BREACHED"),-INT(ROUND(-(H339)*100,6))/100,I339)</f>
        <v/>
      </c>
    </row>
    <row r="340" ht="18" customHeight="1">
      <c r="A340" s="9" t="n"/>
      <c r="B340" s="32" t="n"/>
      <c r="C340" s="12" t="n"/>
      <c r="D340" s="12" t="n"/>
      <c r="E340" s="12" t="n"/>
      <c r="F340" s="15">
        <f>IFERROR(MATCH($A340,Accounts!$A$2:$A$11,0),"")</f>
        <v/>
      </c>
      <c r="G340" s="14">
        <f>IFERROR(IF(OR($A340="",$F340=""),"",IF(INDEX(Accounts!$P$2:$P$11,$F340)="static",INDEX(Accounts!$Q$2:$Q$11,$F340),IF(INDEX(Accounts!$P$2:$P$11,$F340)="eod_trailing",MAX(INDEX(Accounts!$Q$2:$Q$11,$F340),_xlfn.MAXIFS($C$2:$C$1001,$A$2:$A$1001,$A340,$B$2:$B$1001,"&lt;"&amp;$B340)),MAX(INDEX(Accounts!$Q$2:$Q$11,$F340),_xlfn.MAXIFS($C$2:$C$1001,$A$2:$A$1001,$A340,$B$2:$B$1001,"&lt;"&amp;$B340),_xlfn.MAXIFS($D$2:$D$1001,$A$2:$A$1001,$A340,$B$2:$B$1001,"&lt;="&amp;$B340),$C340)))),"")</f>
        <v/>
      </c>
      <c r="H340" s="15">
        <f>IFERROR(IF(G340="","",IF(INDEX(Accounts!$P$2:$P$11,$F340)="static",INDEX(Accounts!$Q$2:$Q$11,$F340)-INDEX(Accounts!$R$2:$R$11,$F340),IF(INDEX(Accounts!$S$2:$S$11,$F340)="NONE",G340-INDEX(Accounts!$R$2:$R$11,$F340),MIN(G340-INDEX(Accounts!$R$2:$R$11,$F340),INDEX(Accounts!$Q$2:$Q$11,$F340)+INDEX(Accounts!$S$2:$S$11,$F340))))),"")</f>
        <v/>
      </c>
      <c r="I340" s="16">
        <f>IF(AND($A340="",$B340="",$C340="",$D340="",$E340=""),"",IF(OR($A340="",$F340=""),"UNKNOWN_ACCOUNT",IF(OR($B340="",$C340=""),"INCOMPLETE",IFERROR(IF(OR(NOT(ISNUMBER($B340)),NOT(ISNUMBER($C340)),IF(C340="",FALSE,IF(ISNUMBER(C340),OR(C340&lt;=0,C340&gt;100000000,ROUND(C340*100,6)&lt;&gt;INT(ROUND(C340*100,6))),TRUE)),IF(D340="",FALSE,IF(ISNUMBER(D340),OR(D340&lt;=0,D340&gt;100000000,ROUND(D340*100,6)&lt;&gt;INT(ROUND(D340*100,6))),TRUE)),IF(E340="",FALSE,IF(ISNUMBER(E340),OR(E340&lt;=0,E340&gt;100000000,ROUND(E340*100,6)&lt;&gt;INT(ROUND(E340*100,6))),TRUE)),AND($D340&lt;&gt;"",$D340&lt;MAX($C340,$E340)),AND($E340&lt;&gt;"",$E340&gt;MIN($C340,IF($D340="",$C340,$D340))),COUNTIFS($A$2:$A$1001,$A340,$B$2:$B$1001,$B340)&gt;1),"INVALID",IFERROR(IF(IF(INDEX(Accounts!$T$2:$T$11,$F340),ROUND(IF($E340="",$C340,MIN($C340,$E340))-(H340),6)&lt;=0,ROUND(IF($E340="",$C340,MIN($C340,$E340))-(H340),6)&lt;0),"BREACHED","OK"),"INCOMPLETE")),"INVALID"))))</f>
        <v/>
      </c>
      <c r="J340" s="33">
        <f>IF(OR(I340="OK",I340="BREACHED"),-INT(ROUND(-(H340)*100,6))/100,I340)</f>
        <v/>
      </c>
    </row>
    <row r="341" ht="18" customHeight="1">
      <c r="A341" s="9" t="n"/>
      <c r="B341" s="32" t="n"/>
      <c r="C341" s="12" t="n"/>
      <c r="D341" s="12" t="n"/>
      <c r="E341" s="12" t="n"/>
      <c r="F341" s="15">
        <f>IFERROR(MATCH($A341,Accounts!$A$2:$A$11,0),"")</f>
        <v/>
      </c>
      <c r="G341" s="14">
        <f>IFERROR(IF(OR($A341="",$F341=""),"",IF(INDEX(Accounts!$P$2:$P$11,$F341)="static",INDEX(Accounts!$Q$2:$Q$11,$F341),IF(INDEX(Accounts!$P$2:$P$11,$F341)="eod_trailing",MAX(INDEX(Accounts!$Q$2:$Q$11,$F341),_xlfn.MAXIFS($C$2:$C$1001,$A$2:$A$1001,$A341,$B$2:$B$1001,"&lt;"&amp;$B341)),MAX(INDEX(Accounts!$Q$2:$Q$11,$F341),_xlfn.MAXIFS($C$2:$C$1001,$A$2:$A$1001,$A341,$B$2:$B$1001,"&lt;"&amp;$B341),_xlfn.MAXIFS($D$2:$D$1001,$A$2:$A$1001,$A341,$B$2:$B$1001,"&lt;="&amp;$B341),$C341)))),"")</f>
        <v/>
      </c>
      <c r="H341" s="15">
        <f>IFERROR(IF(G341="","",IF(INDEX(Accounts!$P$2:$P$11,$F341)="static",INDEX(Accounts!$Q$2:$Q$11,$F341)-INDEX(Accounts!$R$2:$R$11,$F341),IF(INDEX(Accounts!$S$2:$S$11,$F341)="NONE",G341-INDEX(Accounts!$R$2:$R$11,$F341),MIN(G341-INDEX(Accounts!$R$2:$R$11,$F341),INDEX(Accounts!$Q$2:$Q$11,$F341)+INDEX(Accounts!$S$2:$S$11,$F341))))),"")</f>
        <v/>
      </c>
      <c r="I341" s="16">
        <f>IF(AND($A341="",$B341="",$C341="",$D341="",$E341=""),"",IF(OR($A341="",$F341=""),"UNKNOWN_ACCOUNT",IF(OR($B341="",$C341=""),"INCOMPLETE",IFERROR(IF(OR(NOT(ISNUMBER($B341)),NOT(ISNUMBER($C341)),IF(C341="",FALSE,IF(ISNUMBER(C341),OR(C341&lt;=0,C341&gt;100000000,ROUND(C341*100,6)&lt;&gt;INT(ROUND(C341*100,6))),TRUE)),IF(D341="",FALSE,IF(ISNUMBER(D341),OR(D341&lt;=0,D341&gt;100000000,ROUND(D341*100,6)&lt;&gt;INT(ROUND(D341*100,6))),TRUE)),IF(E341="",FALSE,IF(ISNUMBER(E341),OR(E341&lt;=0,E341&gt;100000000,ROUND(E341*100,6)&lt;&gt;INT(ROUND(E341*100,6))),TRUE)),AND($D341&lt;&gt;"",$D341&lt;MAX($C341,$E341)),AND($E341&lt;&gt;"",$E341&gt;MIN($C341,IF($D341="",$C341,$D341))),COUNTIFS($A$2:$A$1001,$A341,$B$2:$B$1001,$B341)&gt;1),"INVALID",IFERROR(IF(IF(INDEX(Accounts!$T$2:$T$11,$F341),ROUND(IF($E341="",$C341,MIN($C341,$E341))-(H341),6)&lt;=0,ROUND(IF($E341="",$C341,MIN($C341,$E341))-(H341),6)&lt;0),"BREACHED","OK"),"INCOMPLETE")),"INVALID"))))</f>
        <v/>
      </c>
      <c r="J341" s="33">
        <f>IF(OR(I341="OK",I341="BREACHED"),-INT(ROUND(-(H341)*100,6))/100,I341)</f>
        <v/>
      </c>
    </row>
    <row r="342" ht="18" customHeight="1">
      <c r="A342" s="9" t="n"/>
      <c r="B342" s="32" t="n"/>
      <c r="C342" s="12" t="n"/>
      <c r="D342" s="12" t="n"/>
      <c r="E342" s="12" t="n"/>
      <c r="F342" s="15">
        <f>IFERROR(MATCH($A342,Accounts!$A$2:$A$11,0),"")</f>
        <v/>
      </c>
      <c r="G342" s="14">
        <f>IFERROR(IF(OR($A342="",$F342=""),"",IF(INDEX(Accounts!$P$2:$P$11,$F342)="static",INDEX(Accounts!$Q$2:$Q$11,$F342),IF(INDEX(Accounts!$P$2:$P$11,$F342)="eod_trailing",MAX(INDEX(Accounts!$Q$2:$Q$11,$F342),_xlfn.MAXIFS($C$2:$C$1001,$A$2:$A$1001,$A342,$B$2:$B$1001,"&lt;"&amp;$B342)),MAX(INDEX(Accounts!$Q$2:$Q$11,$F342),_xlfn.MAXIFS($C$2:$C$1001,$A$2:$A$1001,$A342,$B$2:$B$1001,"&lt;"&amp;$B342),_xlfn.MAXIFS($D$2:$D$1001,$A$2:$A$1001,$A342,$B$2:$B$1001,"&lt;="&amp;$B342),$C342)))),"")</f>
        <v/>
      </c>
      <c r="H342" s="15">
        <f>IFERROR(IF(G342="","",IF(INDEX(Accounts!$P$2:$P$11,$F342)="static",INDEX(Accounts!$Q$2:$Q$11,$F342)-INDEX(Accounts!$R$2:$R$11,$F342),IF(INDEX(Accounts!$S$2:$S$11,$F342)="NONE",G342-INDEX(Accounts!$R$2:$R$11,$F342),MIN(G342-INDEX(Accounts!$R$2:$R$11,$F342),INDEX(Accounts!$Q$2:$Q$11,$F342)+INDEX(Accounts!$S$2:$S$11,$F342))))),"")</f>
        <v/>
      </c>
      <c r="I342" s="16">
        <f>IF(AND($A342="",$B342="",$C342="",$D342="",$E342=""),"",IF(OR($A342="",$F342=""),"UNKNOWN_ACCOUNT",IF(OR($B342="",$C342=""),"INCOMPLETE",IFERROR(IF(OR(NOT(ISNUMBER($B342)),NOT(ISNUMBER($C342)),IF(C342="",FALSE,IF(ISNUMBER(C342),OR(C342&lt;=0,C342&gt;100000000,ROUND(C342*100,6)&lt;&gt;INT(ROUND(C342*100,6))),TRUE)),IF(D342="",FALSE,IF(ISNUMBER(D342),OR(D342&lt;=0,D342&gt;100000000,ROUND(D342*100,6)&lt;&gt;INT(ROUND(D342*100,6))),TRUE)),IF(E342="",FALSE,IF(ISNUMBER(E342),OR(E342&lt;=0,E342&gt;100000000,ROUND(E342*100,6)&lt;&gt;INT(ROUND(E342*100,6))),TRUE)),AND($D342&lt;&gt;"",$D342&lt;MAX($C342,$E342)),AND($E342&lt;&gt;"",$E342&gt;MIN($C342,IF($D342="",$C342,$D342))),COUNTIFS($A$2:$A$1001,$A342,$B$2:$B$1001,$B342)&gt;1),"INVALID",IFERROR(IF(IF(INDEX(Accounts!$T$2:$T$11,$F342),ROUND(IF($E342="",$C342,MIN($C342,$E342))-(H342),6)&lt;=0,ROUND(IF($E342="",$C342,MIN($C342,$E342))-(H342),6)&lt;0),"BREACHED","OK"),"INCOMPLETE")),"INVALID"))))</f>
        <v/>
      </c>
      <c r="J342" s="33">
        <f>IF(OR(I342="OK",I342="BREACHED"),-INT(ROUND(-(H342)*100,6))/100,I342)</f>
        <v/>
      </c>
    </row>
    <row r="343" ht="18" customHeight="1">
      <c r="A343" s="9" t="n"/>
      <c r="B343" s="32" t="n"/>
      <c r="C343" s="12" t="n"/>
      <c r="D343" s="12" t="n"/>
      <c r="E343" s="12" t="n"/>
      <c r="F343" s="15">
        <f>IFERROR(MATCH($A343,Accounts!$A$2:$A$11,0),"")</f>
        <v/>
      </c>
      <c r="G343" s="14">
        <f>IFERROR(IF(OR($A343="",$F343=""),"",IF(INDEX(Accounts!$P$2:$P$11,$F343)="static",INDEX(Accounts!$Q$2:$Q$11,$F343),IF(INDEX(Accounts!$P$2:$P$11,$F343)="eod_trailing",MAX(INDEX(Accounts!$Q$2:$Q$11,$F343),_xlfn.MAXIFS($C$2:$C$1001,$A$2:$A$1001,$A343,$B$2:$B$1001,"&lt;"&amp;$B343)),MAX(INDEX(Accounts!$Q$2:$Q$11,$F343),_xlfn.MAXIFS($C$2:$C$1001,$A$2:$A$1001,$A343,$B$2:$B$1001,"&lt;"&amp;$B343),_xlfn.MAXIFS($D$2:$D$1001,$A$2:$A$1001,$A343,$B$2:$B$1001,"&lt;="&amp;$B343),$C343)))),"")</f>
        <v/>
      </c>
      <c r="H343" s="15">
        <f>IFERROR(IF(G343="","",IF(INDEX(Accounts!$P$2:$P$11,$F343)="static",INDEX(Accounts!$Q$2:$Q$11,$F343)-INDEX(Accounts!$R$2:$R$11,$F343),IF(INDEX(Accounts!$S$2:$S$11,$F343)="NONE",G343-INDEX(Accounts!$R$2:$R$11,$F343),MIN(G343-INDEX(Accounts!$R$2:$R$11,$F343),INDEX(Accounts!$Q$2:$Q$11,$F343)+INDEX(Accounts!$S$2:$S$11,$F343))))),"")</f>
        <v/>
      </c>
      <c r="I343" s="16">
        <f>IF(AND($A343="",$B343="",$C343="",$D343="",$E343=""),"",IF(OR($A343="",$F343=""),"UNKNOWN_ACCOUNT",IF(OR($B343="",$C343=""),"INCOMPLETE",IFERROR(IF(OR(NOT(ISNUMBER($B343)),NOT(ISNUMBER($C343)),IF(C343="",FALSE,IF(ISNUMBER(C343),OR(C343&lt;=0,C343&gt;100000000,ROUND(C343*100,6)&lt;&gt;INT(ROUND(C343*100,6))),TRUE)),IF(D343="",FALSE,IF(ISNUMBER(D343),OR(D343&lt;=0,D343&gt;100000000,ROUND(D343*100,6)&lt;&gt;INT(ROUND(D343*100,6))),TRUE)),IF(E343="",FALSE,IF(ISNUMBER(E343),OR(E343&lt;=0,E343&gt;100000000,ROUND(E343*100,6)&lt;&gt;INT(ROUND(E343*100,6))),TRUE)),AND($D343&lt;&gt;"",$D343&lt;MAX($C343,$E343)),AND($E343&lt;&gt;"",$E343&gt;MIN($C343,IF($D343="",$C343,$D343))),COUNTIFS($A$2:$A$1001,$A343,$B$2:$B$1001,$B343)&gt;1),"INVALID",IFERROR(IF(IF(INDEX(Accounts!$T$2:$T$11,$F343),ROUND(IF($E343="",$C343,MIN($C343,$E343))-(H343),6)&lt;=0,ROUND(IF($E343="",$C343,MIN($C343,$E343))-(H343),6)&lt;0),"BREACHED","OK"),"INCOMPLETE")),"INVALID"))))</f>
        <v/>
      </c>
      <c r="J343" s="33">
        <f>IF(OR(I343="OK",I343="BREACHED"),-INT(ROUND(-(H343)*100,6))/100,I343)</f>
        <v/>
      </c>
    </row>
    <row r="344" ht="18" customHeight="1">
      <c r="A344" s="9" t="n"/>
      <c r="B344" s="32" t="n"/>
      <c r="C344" s="12" t="n"/>
      <c r="D344" s="12" t="n"/>
      <c r="E344" s="12" t="n"/>
      <c r="F344" s="15">
        <f>IFERROR(MATCH($A344,Accounts!$A$2:$A$11,0),"")</f>
        <v/>
      </c>
      <c r="G344" s="14">
        <f>IFERROR(IF(OR($A344="",$F344=""),"",IF(INDEX(Accounts!$P$2:$P$11,$F344)="static",INDEX(Accounts!$Q$2:$Q$11,$F344),IF(INDEX(Accounts!$P$2:$P$11,$F344)="eod_trailing",MAX(INDEX(Accounts!$Q$2:$Q$11,$F344),_xlfn.MAXIFS($C$2:$C$1001,$A$2:$A$1001,$A344,$B$2:$B$1001,"&lt;"&amp;$B344)),MAX(INDEX(Accounts!$Q$2:$Q$11,$F344),_xlfn.MAXIFS($C$2:$C$1001,$A$2:$A$1001,$A344,$B$2:$B$1001,"&lt;"&amp;$B344),_xlfn.MAXIFS($D$2:$D$1001,$A$2:$A$1001,$A344,$B$2:$B$1001,"&lt;="&amp;$B344),$C344)))),"")</f>
        <v/>
      </c>
      <c r="H344" s="15">
        <f>IFERROR(IF(G344="","",IF(INDEX(Accounts!$P$2:$P$11,$F344)="static",INDEX(Accounts!$Q$2:$Q$11,$F344)-INDEX(Accounts!$R$2:$R$11,$F344),IF(INDEX(Accounts!$S$2:$S$11,$F344)="NONE",G344-INDEX(Accounts!$R$2:$R$11,$F344),MIN(G344-INDEX(Accounts!$R$2:$R$11,$F344),INDEX(Accounts!$Q$2:$Q$11,$F344)+INDEX(Accounts!$S$2:$S$11,$F344))))),"")</f>
        <v/>
      </c>
      <c r="I344" s="16">
        <f>IF(AND($A344="",$B344="",$C344="",$D344="",$E344=""),"",IF(OR($A344="",$F344=""),"UNKNOWN_ACCOUNT",IF(OR($B344="",$C344=""),"INCOMPLETE",IFERROR(IF(OR(NOT(ISNUMBER($B344)),NOT(ISNUMBER($C344)),IF(C344="",FALSE,IF(ISNUMBER(C344),OR(C344&lt;=0,C344&gt;100000000,ROUND(C344*100,6)&lt;&gt;INT(ROUND(C344*100,6))),TRUE)),IF(D344="",FALSE,IF(ISNUMBER(D344),OR(D344&lt;=0,D344&gt;100000000,ROUND(D344*100,6)&lt;&gt;INT(ROUND(D344*100,6))),TRUE)),IF(E344="",FALSE,IF(ISNUMBER(E344),OR(E344&lt;=0,E344&gt;100000000,ROUND(E344*100,6)&lt;&gt;INT(ROUND(E344*100,6))),TRUE)),AND($D344&lt;&gt;"",$D344&lt;MAX($C344,$E344)),AND($E344&lt;&gt;"",$E344&gt;MIN($C344,IF($D344="",$C344,$D344))),COUNTIFS($A$2:$A$1001,$A344,$B$2:$B$1001,$B344)&gt;1),"INVALID",IFERROR(IF(IF(INDEX(Accounts!$T$2:$T$11,$F344),ROUND(IF($E344="",$C344,MIN($C344,$E344))-(H344),6)&lt;=0,ROUND(IF($E344="",$C344,MIN($C344,$E344))-(H344),6)&lt;0),"BREACHED","OK"),"INCOMPLETE")),"INVALID"))))</f>
        <v/>
      </c>
      <c r="J344" s="33">
        <f>IF(OR(I344="OK",I344="BREACHED"),-INT(ROUND(-(H344)*100,6))/100,I344)</f>
        <v/>
      </c>
    </row>
    <row r="345" ht="18" customHeight="1">
      <c r="A345" s="9" t="n"/>
      <c r="B345" s="32" t="n"/>
      <c r="C345" s="12" t="n"/>
      <c r="D345" s="12" t="n"/>
      <c r="E345" s="12" t="n"/>
      <c r="F345" s="15">
        <f>IFERROR(MATCH($A345,Accounts!$A$2:$A$11,0),"")</f>
        <v/>
      </c>
      <c r="G345" s="14">
        <f>IFERROR(IF(OR($A345="",$F345=""),"",IF(INDEX(Accounts!$P$2:$P$11,$F345)="static",INDEX(Accounts!$Q$2:$Q$11,$F345),IF(INDEX(Accounts!$P$2:$P$11,$F345)="eod_trailing",MAX(INDEX(Accounts!$Q$2:$Q$11,$F345),_xlfn.MAXIFS($C$2:$C$1001,$A$2:$A$1001,$A345,$B$2:$B$1001,"&lt;"&amp;$B345)),MAX(INDEX(Accounts!$Q$2:$Q$11,$F345),_xlfn.MAXIFS($C$2:$C$1001,$A$2:$A$1001,$A345,$B$2:$B$1001,"&lt;"&amp;$B345),_xlfn.MAXIFS($D$2:$D$1001,$A$2:$A$1001,$A345,$B$2:$B$1001,"&lt;="&amp;$B345),$C345)))),"")</f>
        <v/>
      </c>
      <c r="H345" s="15">
        <f>IFERROR(IF(G345="","",IF(INDEX(Accounts!$P$2:$P$11,$F345)="static",INDEX(Accounts!$Q$2:$Q$11,$F345)-INDEX(Accounts!$R$2:$R$11,$F345),IF(INDEX(Accounts!$S$2:$S$11,$F345)="NONE",G345-INDEX(Accounts!$R$2:$R$11,$F345),MIN(G345-INDEX(Accounts!$R$2:$R$11,$F345),INDEX(Accounts!$Q$2:$Q$11,$F345)+INDEX(Accounts!$S$2:$S$11,$F345))))),"")</f>
        <v/>
      </c>
      <c r="I345" s="16">
        <f>IF(AND($A345="",$B345="",$C345="",$D345="",$E345=""),"",IF(OR($A345="",$F345=""),"UNKNOWN_ACCOUNT",IF(OR($B345="",$C345=""),"INCOMPLETE",IFERROR(IF(OR(NOT(ISNUMBER($B345)),NOT(ISNUMBER($C345)),IF(C345="",FALSE,IF(ISNUMBER(C345),OR(C345&lt;=0,C345&gt;100000000,ROUND(C345*100,6)&lt;&gt;INT(ROUND(C345*100,6))),TRUE)),IF(D345="",FALSE,IF(ISNUMBER(D345),OR(D345&lt;=0,D345&gt;100000000,ROUND(D345*100,6)&lt;&gt;INT(ROUND(D345*100,6))),TRUE)),IF(E345="",FALSE,IF(ISNUMBER(E345),OR(E345&lt;=0,E345&gt;100000000,ROUND(E345*100,6)&lt;&gt;INT(ROUND(E345*100,6))),TRUE)),AND($D345&lt;&gt;"",$D345&lt;MAX($C345,$E345)),AND($E345&lt;&gt;"",$E345&gt;MIN($C345,IF($D345="",$C345,$D345))),COUNTIFS($A$2:$A$1001,$A345,$B$2:$B$1001,$B345)&gt;1),"INVALID",IFERROR(IF(IF(INDEX(Accounts!$T$2:$T$11,$F345),ROUND(IF($E345="",$C345,MIN($C345,$E345))-(H345),6)&lt;=0,ROUND(IF($E345="",$C345,MIN($C345,$E345))-(H345),6)&lt;0),"BREACHED","OK"),"INCOMPLETE")),"INVALID"))))</f>
        <v/>
      </c>
      <c r="J345" s="33">
        <f>IF(OR(I345="OK",I345="BREACHED"),-INT(ROUND(-(H345)*100,6))/100,I345)</f>
        <v/>
      </c>
    </row>
    <row r="346" ht="18" customHeight="1">
      <c r="A346" s="9" t="n"/>
      <c r="B346" s="32" t="n"/>
      <c r="C346" s="12" t="n"/>
      <c r="D346" s="12" t="n"/>
      <c r="E346" s="12" t="n"/>
      <c r="F346" s="15">
        <f>IFERROR(MATCH($A346,Accounts!$A$2:$A$11,0),"")</f>
        <v/>
      </c>
      <c r="G346" s="14">
        <f>IFERROR(IF(OR($A346="",$F346=""),"",IF(INDEX(Accounts!$P$2:$P$11,$F346)="static",INDEX(Accounts!$Q$2:$Q$11,$F346),IF(INDEX(Accounts!$P$2:$P$11,$F346)="eod_trailing",MAX(INDEX(Accounts!$Q$2:$Q$11,$F346),_xlfn.MAXIFS($C$2:$C$1001,$A$2:$A$1001,$A346,$B$2:$B$1001,"&lt;"&amp;$B346)),MAX(INDEX(Accounts!$Q$2:$Q$11,$F346),_xlfn.MAXIFS($C$2:$C$1001,$A$2:$A$1001,$A346,$B$2:$B$1001,"&lt;"&amp;$B346),_xlfn.MAXIFS($D$2:$D$1001,$A$2:$A$1001,$A346,$B$2:$B$1001,"&lt;="&amp;$B346),$C346)))),"")</f>
        <v/>
      </c>
      <c r="H346" s="15">
        <f>IFERROR(IF(G346="","",IF(INDEX(Accounts!$P$2:$P$11,$F346)="static",INDEX(Accounts!$Q$2:$Q$11,$F346)-INDEX(Accounts!$R$2:$R$11,$F346),IF(INDEX(Accounts!$S$2:$S$11,$F346)="NONE",G346-INDEX(Accounts!$R$2:$R$11,$F346),MIN(G346-INDEX(Accounts!$R$2:$R$11,$F346),INDEX(Accounts!$Q$2:$Q$11,$F346)+INDEX(Accounts!$S$2:$S$11,$F346))))),"")</f>
        <v/>
      </c>
      <c r="I346" s="16">
        <f>IF(AND($A346="",$B346="",$C346="",$D346="",$E346=""),"",IF(OR($A346="",$F346=""),"UNKNOWN_ACCOUNT",IF(OR($B346="",$C346=""),"INCOMPLETE",IFERROR(IF(OR(NOT(ISNUMBER($B346)),NOT(ISNUMBER($C346)),IF(C346="",FALSE,IF(ISNUMBER(C346),OR(C346&lt;=0,C346&gt;100000000,ROUND(C346*100,6)&lt;&gt;INT(ROUND(C346*100,6))),TRUE)),IF(D346="",FALSE,IF(ISNUMBER(D346),OR(D346&lt;=0,D346&gt;100000000,ROUND(D346*100,6)&lt;&gt;INT(ROUND(D346*100,6))),TRUE)),IF(E346="",FALSE,IF(ISNUMBER(E346),OR(E346&lt;=0,E346&gt;100000000,ROUND(E346*100,6)&lt;&gt;INT(ROUND(E346*100,6))),TRUE)),AND($D346&lt;&gt;"",$D346&lt;MAX($C346,$E346)),AND($E346&lt;&gt;"",$E346&gt;MIN($C346,IF($D346="",$C346,$D346))),COUNTIFS($A$2:$A$1001,$A346,$B$2:$B$1001,$B346)&gt;1),"INVALID",IFERROR(IF(IF(INDEX(Accounts!$T$2:$T$11,$F346),ROUND(IF($E346="",$C346,MIN($C346,$E346))-(H346),6)&lt;=0,ROUND(IF($E346="",$C346,MIN($C346,$E346))-(H346),6)&lt;0),"BREACHED","OK"),"INCOMPLETE")),"INVALID"))))</f>
        <v/>
      </c>
      <c r="J346" s="33">
        <f>IF(OR(I346="OK",I346="BREACHED"),-INT(ROUND(-(H346)*100,6))/100,I346)</f>
        <v/>
      </c>
    </row>
    <row r="347" ht="18" customHeight="1">
      <c r="A347" s="9" t="n"/>
      <c r="B347" s="32" t="n"/>
      <c r="C347" s="12" t="n"/>
      <c r="D347" s="12" t="n"/>
      <c r="E347" s="12" t="n"/>
      <c r="F347" s="15">
        <f>IFERROR(MATCH($A347,Accounts!$A$2:$A$11,0),"")</f>
        <v/>
      </c>
      <c r="G347" s="14">
        <f>IFERROR(IF(OR($A347="",$F347=""),"",IF(INDEX(Accounts!$P$2:$P$11,$F347)="static",INDEX(Accounts!$Q$2:$Q$11,$F347),IF(INDEX(Accounts!$P$2:$P$11,$F347)="eod_trailing",MAX(INDEX(Accounts!$Q$2:$Q$11,$F347),_xlfn.MAXIFS($C$2:$C$1001,$A$2:$A$1001,$A347,$B$2:$B$1001,"&lt;"&amp;$B347)),MAX(INDEX(Accounts!$Q$2:$Q$11,$F347),_xlfn.MAXIFS($C$2:$C$1001,$A$2:$A$1001,$A347,$B$2:$B$1001,"&lt;"&amp;$B347),_xlfn.MAXIFS($D$2:$D$1001,$A$2:$A$1001,$A347,$B$2:$B$1001,"&lt;="&amp;$B347),$C347)))),"")</f>
        <v/>
      </c>
      <c r="H347" s="15">
        <f>IFERROR(IF(G347="","",IF(INDEX(Accounts!$P$2:$P$11,$F347)="static",INDEX(Accounts!$Q$2:$Q$11,$F347)-INDEX(Accounts!$R$2:$R$11,$F347),IF(INDEX(Accounts!$S$2:$S$11,$F347)="NONE",G347-INDEX(Accounts!$R$2:$R$11,$F347),MIN(G347-INDEX(Accounts!$R$2:$R$11,$F347),INDEX(Accounts!$Q$2:$Q$11,$F347)+INDEX(Accounts!$S$2:$S$11,$F347))))),"")</f>
        <v/>
      </c>
      <c r="I347" s="16">
        <f>IF(AND($A347="",$B347="",$C347="",$D347="",$E347=""),"",IF(OR($A347="",$F347=""),"UNKNOWN_ACCOUNT",IF(OR($B347="",$C347=""),"INCOMPLETE",IFERROR(IF(OR(NOT(ISNUMBER($B347)),NOT(ISNUMBER($C347)),IF(C347="",FALSE,IF(ISNUMBER(C347),OR(C347&lt;=0,C347&gt;100000000,ROUND(C347*100,6)&lt;&gt;INT(ROUND(C347*100,6))),TRUE)),IF(D347="",FALSE,IF(ISNUMBER(D347),OR(D347&lt;=0,D347&gt;100000000,ROUND(D347*100,6)&lt;&gt;INT(ROUND(D347*100,6))),TRUE)),IF(E347="",FALSE,IF(ISNUMBER(E347),OR(E347&lt;=0,E347&gt;100000000,ROUND(E347*100,6)&lt;&gt;INT(ROUND(E347*100,6))),TRUE)),AND($D347&lt;&gt;"",$D347&lt;MAX($C347,$E347)),AND($E347&lt;&gt;"",$E347&gt;MIN($C347,IF($D347="",$C347,$D347))),COUNTIFS($A$2:$A$1001,$A347,$B$2:$B$1001,$B347)&gt;1),"INVALID",IFERROR(IF(IF(INDEX(Accounts!$T$2:$T$11,$F347),ROUND(IF($E347="",$C347,MIN($C347,$E347))-(H347),6)&lt;=0,ROUND(IF($E347="",$C347,MIN($C347,$E347))-(H347),6)&lt;0),"BREACHED","OK"),"INCOMPLETE")),"INVALID"))))</f>
        <v/>
      </c>
      <c r="J347" s="33">
        <f>IF(OR(I347="OK",I347="BREACHED"),-INT(ROUND(-(H347)*100,6))/100,I347)</f>
        <v/>
      </c>
    </row>
    <row r="348" ht="18" customHeight="1">
      <c r="A348" s="9" t="n"/>
      <c r="B348" s="32" t="n"/>
      <c r="C348" s="12" t="n"/>
      <c r="D348" s="12" t="n"/>
      <c r="E348" s="12" t="n"/>
      <c r="F348" s="15">
        <f>IFERROR(MATCH($A348,Accounts!$A$2:$A$11,0),"")</f>
        <v/>
      </c>
      <c r="G348" s="14">
        <f>IFERROR(IF(OR($A348="",$F348=""),"",IF(INDEX(Accounts!$P$2:$P$11,$F348)="static",INDEX(Accounts!$Q$2:$Q$11,$F348),IF(INDEX(Accounts!$P$2:$P$11,$F348)="eod_trailing",MAX(INDEX(Accounts!$Q$2:$Q$11,$F348),_xlfn.MAXIFS($C$2:$C$1001,$A$2:$A$1001,$A348,$B$2:$B$1001,"&lt;"&amp;$B348)),MAX(INDEX(Accounts!$Q$2:$Q$11,$F348),_xlfn.MAXIFS($C$2:$C$1001,$A$2:$A$1001,$A348,$B$2:$B$1001,"&lt;"&amp;$B348),_xlfn.MAXIFS($D$2:$D$1001,$A$2:$A$1001,$A348,$B$2:$B$1001,"&lt;="&amp;$B348),$C348)))),"")</f>
        <v/>
      </c>
      <c r="H348" s="15">
        <f>IFERROR(IF(G348="","",IF(INDEX(Accounts!$P$2:$P$11,$F348)="static",INDEX(Accounts!$Q$2:$Q$11,$F348)-INDEX(Accounts!$R$2:$R$11,$F348),IF(INDEX(Accounts!$S$2:$S$11,$F348)="NONE",G348-INDEX(Accounts!$R$2:$R$11,$F348),MIN(G348-INDEX(Accounts!$R$2:$R$11,$F348),INDEX(Accounts!$Q$2:$Q$11,$F348)+INDEX(Accounts!$S$2:$S$11,$F348))))),"")</f>
        <v/>
      </c>
      <c r="I348" s="16">
        <f>IF(AND($A348="",$B348="",$C348="",$D348="",$E348=""),"",IF(OR($A348="",$F348=""),"UNKNOWN_ACCOUNT",IF(OR($B348="",$C348=""),"INCOMPLETE",IFERROR(IF(OR(NOT(ISNUMBER($B348)),NOT(ISNUMBER($C348)),IF(C348="",FALSE,IF(ISNUMBER(C348),OR(C348&lt;=0,C348&gt;100000000,ROUND(C348*100,6)&lt;&gt;INT(ROUND(C348*100,6))),TRUE)),IF(D348="",FALSE,IF(ISNUMBER(D348),OR(D348&lt;=0,D348&gt;100000000,ROUND(D348*100,6)&lt;&gt;INT(ROUND(D348*100,6))),TRUE)),IF(E348="",FALSE,IF(ISNUMBER(E348),OR(E348&lt;=0,E348&gt;100000000,ROUND(E348*100,6)&lt;&gt;INT(ROUND(E348*100,6))),TRUE)),AND($D348&lt;&gt;"",$D348&lt;MAX($C348,$E348)),AND($E348&lt;&gt;"",$E348&gt;MIN($C348,IF($D348="",$C348,$D348))),COUNTIFS($A$2:$A$1001,$A348,$B$2:$B$1001,$B348)&gt;1),"INVALID",IFERROR(IF(IF(INDEX(Accounts!$T$2:$T$11,$F348),ROUND(IF($E348="",$C348,MIN($C348,$E348))-(H348),6)&lt;=0,ROUND(IF($E348="",$C348,MIN($C348,$E348))-(H348),6)&lt;0),"BREACHED","OK"),"INCOMPLETE")),"INVALID"))))</f>
        <v/>
      </c>
      <c r="J348" s="33">
        <f>IF(OR(I348="OK",I348="BREACHED"),-INT(ROUND(-(H348)*100,6))/100,I348)</f>
        <v/>
      </c>
    </row>
    <row r="349" ht="18" customHeight="1">
      <c r="A349" s="9" t="n"/>
      <c r="B349" s="32" t="n"/>
      <c r="C349" s="12" t="n"/>
      <c r="D349" s="12" t="n"/>
      <c r="E349" s="12" t="n"/>
      <c r="F349" s="15">
        <f>IFERROR(MATCH($A349,Accounts!$A$2:$A$11,0),"")</f>
        <v/>
      </c>
      <c r="G349" s="14">
        <f>IFERROR(IF(OR($A349="",$F349=""),"",IF(INDEX(Accounts!$P$2:$P$11,$F349)="static",INDEX(Accounts!$Q$2:$Q$11,$F349),IF(INDEX(Accounts!$P$2:$P$11,$F349)="eod_trailing",MAX(INDEX(Accounts!$Q$2:$Q$11,$F349),_xlfn.MAXIFS($C$2:$C$1001,$A$2:$A$1001,$A349,$B$2:$B$1001,"&lt;"&amp;$B349)),MAX(INDEX(Accounts!$Q$2:$Q$11,$F349),_xlfn.MAXIFS($C$2:$C$1001,$A$2:$A$1001,$A349,$B$2:$B$1001,"&lt;"&amp;$B349),_xlfn.MAXIFS($D$2:$D$1001,$A$2:$A$1001,$A349,$B$2:$B$1001,"&lt;="&amp;$B349),$C349)))),"")</f>
        <v/>
      </c>
      <c r="H349" s="15">
        <f>IFERROR(IF(G349="","",IF(INDEX(Accounts!$P$2:$P$11,$F349)="static",INDEX(Accounts!$Q$2:$Q$11,$F349)-INDEX(Accounts!$R$2:$R$11,$F349),IF(INDEX(Accounts!$S$2:$S$11,$F349)="NONE",G349-INDEX(Accounts!$R$2:$R$11,$F349),MIN(G349-INDEX(Accounts!$R$2:$R$11,$F349),INDEX(Accounts!$Q$2:$Q$11,$F349)+INDEX(Accounts!$S$2:$S$11,$F349))))),"")</f>
        <v/>
      </c>
      <c r="I349" s="16">
        <f>IF(AND($A349="",$B349="",$C349="",$D349="",$E349=""),"",IF(OR($A349="",$F349=""),"UNKNOWN_ACCOUNT",IF(OR($B349="",$C349=""),"INCOMPLETE",IFERROR(IF(OR(NOT(ISNUMBER($B349)),NOT(ISNUMBER($C349)),IF(C349="",FALSE,IF(ISNUMBER(C349),OR(C349&lt;=0,C349&gt;100000000,ROUND(C349*100,6)&lt;&gt;INT(ROUND(C349*100,6))),TRUE)),IF(D349="",FALSE,IF(ISNUMBER(D349),OR(D349&lt;=0,D349&gt;100000000,ROUND(D349*100,6)&lt;&gt;INT(ROUND(D349*100,6))),TRUE)),IF(E349="",FALSE,IF(ISNUMBER(E349),OR(E349&lt;=0,E349&gt;100000000,ROUND(E349*100,6)&lt;&gt;INT(ROUND(E349*100,6))),TRUE)),AND($D349&lt;&gt;"",$D349&lt;MAX($C349,$E349)),AND($E349&lt;&gt;"",$E349&gt;MIN($C349,IF($D349="",$C349,$D349))),COUNTIFS($A$2:$A$1001,$A349,$B$2:$B$1001,$B349)&gt;1),"INVALID",IFERROR(IF(IF(INDEX(Accounts!$T$2:$T$11,$F349),ROUND(IF($E349="",$C349,MIN($C349,$E349))-(H349),6)&lt;=0,ROUND(IF($E349="",$C349,MIN($C349,$E349))-(H349),6)&lt;0),"BREACHED","OK"),"INCOMPLETE")),"INVALID"))))</f>
        <v/>
      </c>
      <c r="J349" s="33">
        <f>IF(OR(I349="OK",I349="BREACHED"),-INT(ROUND(-(H349)*100,6))/100,I349)</f>
        <v/>
      </c>
    </row>
    <row r="350" ht="18" customHeight="1">
      <c r="A350" s="9" t="n"/>
      <c r="B350" s="32" t="n"/>
      <c r="C350" s="12" t="n"/>
      <c r="D350" s="12" t="n"/>
      <c r="E350" s="12" t="n"/>
      <c r="F350" s="15">
        <f>IFERROR(MATCH($A350,Accounts!$A$2:$A$11,0),"")</f>
        <v/>
      </c>
      <c r="G350" s="14">
        <f>IFERROR(IF(OR($A350="",$F350=""),"",IF(INDEX(Accounts!$P$2:$P$11,$F350)="static",INDEX(Accounts!$Q$2:$Q$11,$F350),IF(INDEX(Accounts!$P$2:$P$11,$F350)="eod_trailing",MAX(INDEX(Accounts!$Q$2:$Q$11,$F350),_xlfn.MAXIFS($C$2:$C$1001,$A$2:$A$1001,$A350,$B$2:$B$1001,"&lt;"&amp;$B350)),MAX(INDEX(Accounts!$Q$2:$Q$11,$F350),_xlfn.MAXIFS($C$2:$C$1001,$A$2:$A$1001,$A350,$B$2:$B$1001,"&lt;"&amp;$B350),_xlfn.MAXIFS($D$2:$D$1001,$A$2:$A$1001,$A350,$B$2:$B$1001,"&lt;="&amp;$B350),$C350)))),"")</f>
        <v/>
      </c>
      <c r="H350" s="15">
        <f>IFERROR(IF(G350="","",IF(INDEX(Accounts!$P$2:$P$11,$F350)="static",INDEX(Accounts!$Q$2:$Q$11,$F350)-INDEX(Accounts!$R$2:$R$11,$F350),IF(INDEX(Accounts!$S$2:$S$11,$F350)="NONE",G350-INDEX(Accounts!$R$2:$R$11,$F350),MIN(G350-INDEX(Accounts!$R$2:$R$11,$F350),INDEX(Accounts!$Q$2:$Q$11,$F350)+INDEX(Accounts!$S$2:$S$11,$F350))))),"")</f>
        <v/>
      </c>
      <c r="I350" s="16">
        <f>IF(AND($A350="",$B350="",$C350="",$D350="",$E350=""),"",IF(OR($A350="",$F350=""),"UNKNOWN_ACCOUNT",IF(OR($B350="",$C350=""),"INCOMPLETE",IFERROR(IF(OR(NOT(ISNUMBER($B350)),NOT(ISNUMBER($C350)),IF(C350="",FALSE,IF(ISNUMBER(C350),OR(C350&lt;=0,C350&gt;100000000,ROUND(C350*100,6)&lt;&gt;INT(ROUND(C350*100,6))),TRUE)),IF(D350="",FALSE,IF(ISNUMBER(D350),OR(D350&lt;=0,D350&gt;100000000,ROUND(D350*100,6)&lt;&gt;INT(ROUND(D350*100,6))),TRUE)),IF(E350="",FALSE,IF(ISNUMBER(E350),OR(E350&lt;=0,E350&gt;100000000,ROUND(E350*100,6)&lt;&gt;INT(ROUND(E350*100,6))),TRUE)),AND($D350&lt;&gt;"",$D350&lt;MAX($C350,$E350)),AND($E350&lt;&gt;"",$E350&gt;MIN($C350,IF($D350="",$C350,$D350))),COUNTIFS($A$2:$A$1001,$A350,$B$2:$B$1001,$B350)&gt;1),"INVALID",IFERROR(IF(IF(INDEX(Accounts!$T$2:$T$11,$F350),ROUND(IF($E350="",$C350,MIN($C350,$E350))-(H350),6)&lt;=0,ROUND(IF($E350="",$C350,MIN($C350,$E350))-(H350),6)&lt;0),"BREACHED","OK"),"INCOMPLETE")),"INVALID"))))</f>
        <v/>
      </c>
      <c r="J350" s="33">
        <f>IF(OR(I350="OK",I350="BREACHED"),-INT(ROUND(-(H350)*100,6))/100,I350)</f>
        <v/>
      </c>
    </row>
    <row r="351" ht="18" customHeight="1">
      <c r="A351" s="9" t="n"/>
      <c r="B351" s="32" t="n"/>
      <c r="C351" s="12" t="n"/>
      <c r="D351" s="12" t="n"/>
      <c r="E351" s="12" t="n"/>
      <c r="F351" s="15">
        <f>IFERROR(MATCH($A351,Accounts!$A$2:$A$11,0),"")</f>
        <v/>
      </c>
      <c r="G351" s="14">
        <f>IFERROR(IF(OR($A351="",$F351=""),"",IF(INDEX(Accounts!$P$2:$P$11,$F351)="static",INDEX(Accounts!$Q$2:$Q$11,$F351),IF(INDEX(Accounts!$P$2:$P$11,$F351)="eod_trailing",MAX(INDEX(Accounts!$Q$2:$Q$11,$F351),_xlfn.MAXIFS($C$2:$C$1001,$A$2:$A$1001,$A351,$B$2:$B$1001,"&lt;"&amp;$B351)),MAX(INDEX(Accounts!$Q$2:$Q$11,$F351),_xlfn.MAXIFS($C$2:$C$1001,$A$2:$A$1001,$A351,$B$2:$B$1001,"&lt;"&amp;$B351),_xlfn.MAXIFS($D$2:$D$1001,$A$2:$A$1001,$A351,$B$2:$B$1001,"&lt;="&amp;$B351),$C351)))),"")</f>
        <v/>
      </c>
      <c r="H351" s="15">
        <f>IFERROR(IF(G351="","",IF(INDEX(Accounts!$P$2:$P$11,$F351)="static",INDEX(Accounts!$Q$2:$Q$11,$F351)-INDEX(Accounts!$R$2:$R$11,$F351),IF(INDEX(Accounts!$S$2:$S$11,$F351)="NONE",G351-INDEX(Accounts!$R$2:$R$11,$F351),MIN(G351-INDEX(Accounts!$R$2:$R$11,$F351),INDEX(Accounts!$Q$2:$Q$11,$F351)+INDEX(Accounts!$S$2:$S$11,$F351))))),"")</f>
        <v/>
      </c>
      <c r="I351" s="16">
        <f>IF(AND($A351="",$B351="",$C351="",$D351="",$E351=""),"",IF(OR($A351="",$F351=""),"UNKNOWN_ACCOUNT",IF(OR($B351="",$C351=""),"INCOMPLETE",IFERROR(IF(OR(NOT(ISNUMBER($B351)),NOT(ISNUMBER($C351)),IF(C351="",FALSE,IF(ISNUMBER(C351),OR(C351&lt;=0,C351&gt;100000000,ROUND(C351*100,6)&lt;&gt;INT(ROUND(C351*100,6))),TRUE)),IF(D351="",FALSE,IF(ISNUMBER(D351),OR(D351&lt;=0,D351&gt;100000000,ROUND(D351*100,6)&lt;&gt;INT(ROUND(D351*100,6))),TRUE)),IF(E351="",FALSE,IF(ISNUMBER(E351),OR(E351&lt;=0,E351&gt;100000000,ROUND(E351*100,6)&lt;&gt;INT(ROUND(E351*100,6))),TRUE)),AND($D351&lt;&gt;"",$D351&lt;MAX($C351,$E351)),AND($E351&lt;&gt;"",$E351&gt;MIN($C351,IF($D351="",$C351,$D351))),COUNTIFS($A$2:$A$1001,$A351,$B$2:$B$1001,$B351)&gt;1),"INVALID",IFERROR(IF(IF(INDEX(Accounts!$T$2:$T$11,$F351),ROUND(IF($E351="",$C351,MIN($C351,$E351))-(H351),6)&lt;=0,ROUND(IF($E351="",$C351,MIN($C351,$E351))-(H351),6)&lt;0),"BREACHED","OK"),"INCOMPLETE")),"INVALID"))))</f>
        <v/>
      </c>
      <c r="J351" s="33">
        <f>IF(OR(I351="OK",I351="BREACHED"),-INT(ROUND(-(H351)*100,6))/100,I351)</f>
        <v/>
      </c>
    </row>
    <row r="352" ht="18" customHeight="1">
      <c r="A352" s="9" t="n"/>
      <c r="B352" s="32" t="n"/>
      <c r="C352" s="12" t="n"/>
      <c r="D352" s="12" t="n"/>
      <c r="E352" s="12" t="n"/>
      <c r="F352" s="15">
        <f>IFERROR(MATCH($A352,Accounts!$A$2:$A$11,0),"")</f>
        <v/>
      </c>
      <c r="G352" s="14">
        <f>IFERROR(IF(OR($A352="",$F352=""),"",IF(INDEX(Accounts!$P$2:$P$11,$F352)="static",INDEX(Accounts!$Q$2:$Q$11,$F352),IF(INDEX(Accounts!$P$2:$P$11,$F352)="eod_trailing",MAX(INDEX(Accounts!$Q$2:$Q$11,$F352),_xlfn.MAXIFS($C$2:$C$1001,$A$2:$A$1001,$A352,$B$2:$B$1001,"&lt;"&amp;$B352)),MAX(INDEX(Accounts!$Q$2:$Q$11,$F352),_xlfn.MAXIFS($C$2:$C$1001,$A$2:$A$1001,$A352,$B$2:$B$1001,"&lt;"&amp;$B352),_xlfn.MAXIFS($D$2:$D$1001,$A$2:$A$1001,$A352,$B$2:$B$1001,"&lt;="&amp;$B352),$C352)))),"")</f>
        <v/>
      </c>
      <c r="H352" s="15">
        <f>IFERROR(IF(G352="","",IF(INDEX(Accounts!$P$2:$P$11,$F352)="static",INDEX(Accounts!$Q$2:$Q$11,$F352)-INDEX(Accounts!$R$2:$R$11,$F352),IF(INDEX(Accounts!$S$2:$S$11,$F352)="NONE",G352-INDEX(Accounts!$R$2:$R$11,$F352),MIN(G352-INDEX(Accounts!$R$2:$R$11,$F352),INDEX(Accounts!$Q$2:$Q$11,$F352)+INDEX(Accounts!$S$2:$S$11,$F352))))),"")</f>
        <v/>
      </c>
      <c r="I352" s="16">
        <f>IF(AND($A352="",$B352="",$C352="",$D352="",$E352=""),"",IF(OR($A352="",$F352=""),"UNKNOWN_ACCOUNT",IF(OR($B352="",$C352=""),"INCOMPLETE",IFERROR(IF(OR(NOT(ISNUMBER($B352)),NOT(ISNUMBER($C352)),IF(C352="",FALSE,IF(ISNUMBER(C352),OR(C352&lt;=0,C352&gt;100000000,ROUND(C352*100,6)&lt;&gt;INT(ROUND(C352*100,6))),TRUE)),IF(D352="",FALSE,IF(ISNUMBER(D352),OR(D352&lt;=0,D352&gt;100000000,ROUND(D352*100,6)&lt;&gt;INT(ROUND(D352*100,6))),TRUE)),IF(E352="",FALSE,IF(ISNUMBER(E352),OR(E352&lt;=0,E352&gt;100000000,ROUND(E352*100,6)&lt;&gt;INT(ROUND(E352*100,6))),TRUE)),AND($D352&lt;&gt;"",$D352&lt;MAX($C352,$E352)),AND($E352&lt;&gt;"",$E352&gt;MIN($C352,IF($D352="",$C352,$D352))),COUNTIFS($A$2:$A$1001,$A352,$B$2:$B$1001,$B352)&gt;1),"INVALID",IFERROR(IF(IF(INDEX(Accounts!$T$2:$T$11,$F352),ROUND(IF($E352="",$C352,MIN($C352,$E352))-(H352),6)&lt;=0,ROUND(IF($E352="",$C352,MIN($C352,$E352))-(H352),6)&lt;0),"BREACHED","OK"),"INCOMPLETE")),"INVALID"))))</f>
        <v/>
      </c>
      <c r="J352" s="33">
        <f>IF(OR(I352="OK",I352="BREACHED"),-INT(ROUND(-(H352)*100,6))/100,I352)</f>
        <v/>
      </c>
    </row>
    <row r="353" ht="18" customHeight="1">
      <c r="A353" s="9" t="n"/>
      <c r="B353" s="32" t="n"/>
      <c r="C353" s="12" t="n"/>
      <c r="D353" s="12" t="n"/>
      <c r="E353" s="12" t="n"/>
      <c r="F353" s="15">
        <f>IFERROR(MATCH($A353,Accounts!$A$2:$A$11,0),"")</f>
        <v/>
      </c>
      <c r="G353" s="14">
        <f>IFERROR(IF(OR($A353="",$F353=""),"",IF(INDEX(Accounts!$P$2:$P$11,$F353)="static",INDEX(Accounts!$Q$2:$Q$11,$F353),IF(INDEX(Accounts!$P$2:$P$11,$F353)="eod_trailing",MAX(INDEX(Accounts!$Q$2:$Q$11,$F353),_xlfn.MAXIFS($C$2:$C$1001,$A$2:$A$1001,$A353,$B$2:$B$1001,"&lt;"&amp;$B353)),MAX(INDEX(Accounts!$Q$2:$Q$11,$F353),_xlfn.MAXIFS($C$2:$C$1001,$A$2:$A$1001,$A353,$B$2:$B$1001,"&lt;"&amp;$B353),_xlfn.MAXIFS($D$2:$D$1001,$A$2:$A$1001,$A353,$B$2:$B$1001,"&lt;="&amp;$B353),$C353)))),"")</f>
        <v/>
      </c>
      <c r="H353" s="15">
        <f>IFERROR(IF(G353="","",IF(INDEX(Accounts!$P$2:$P$11,$F353)="static",INDEX(Accounts!$Q$2:$Q$11,$F353)-INDEX(Accounts!$R$2:$R$11,$F353),IF(INDEX(Accounts!$S$2:$S$11,$F353)="NONE",G353-INDEX(Accounts!$R$2:$R$11,$F353),MIN(G353-INDEX(Accounts!$R$2:$R$11,$F353),INDEX(Accounts!$Q$2:$Q$11,$F353)+INDEX(Accounts!$S$2:$S$11,$F353))))),"")</f>
        <v/>
      </c>
      <c r="I353" s="16">
        <f>IF(AND($A353="",$B353="",$C353="",$D353="",$E353=""),"",IF(OR($A353="",$F353=""),"UNKNOWN_ACCOUNT",IF(OR($B353="",$C353=""),"INCOMPLETE",IFERROR(IF(OR(NOT(ISNUMBER($B353)),NOT(ISNUMBER($C353)),IF(C353="",FALSE,IF(ISNUMBER(C353),OR(C353&lt;=0,C353&gt;100000000,ROUND(C353*100,6)&lt;&gt;INT(ROUND(C353*100,6))),TRUE)),IF(D353="",FALSE,IF(ISNUMBER(D353),OR(D353&lt;=0,D353&gt;100000000,ROUND(D353*100,6)&lt;&gt;INT(ROUND(D353*100,6))),TRUE)),IF(E353="",FALSE,IF(ISNUMBER(E353),OR(E353&lt;=0,E353&gt;100000000,ROUND(E353*100,6)&lt;&gt;INT(ROUND(E353*100,6))),TRUE)),AND($D353&lt;&gt;"",$D353&lt;MAX($C353,$E353)),AND($E353&lt;&gt;"",$E353&gt;MIN($C353,IF($D353="",$C353,$D353))),COUNTIFS($A$2:$A$1001,$A353,$B$2:$B$1001,$B353)&gt;1),"INVALID",IFERROR(IF(IF(INDEX(Accounts!$T$2:$T$11,$F353),ROUND(IF($E353="",$C353,MIN($C353,$E353))-(H353),6)&lt;=0,ROUND(IF($E353="",$C353,MIN($C353,$E353))-(H353),6)&lt;0),"BREACHED","OK"),"INCOMPLETE")),"INVALID"))))</f>
        <v/>
      </c>
      <c r="J353" s="33">
        <f>IF(OR(I353="OK",I353="BREACHED"),-INT(ROUND(-(H353)*100,6))/100,I353)</f>
        <v/>
      </c>
    </row>
    <row r="354" ht="18" customHeight="1">
      <c r="A354" s="9" t="n"/>
      <c r="B354" s="32" t="n"/>
      <c r="C354" s="12" t="n"/>
      <c r="D354" s="12" t="n"/>
      <c r="E354" s="12" t="n"/>
      <c r="F354" s="15">
        <f>IFERROR(MATCH($A354,Accounts!$A$2:$A$11,0),"")</f>
        <v/>
      </c>
      <c r="G354" s="14">
        <f>IFERROR(IF(OR($A354="",$F354=""),"",IF(INDEX(Accounts!$P$2:$P$11,$F354)="static",INDEX(Accounts!$Q$2:$Q$11,$F354),IF(INDEX(Accounts!$P$2:$P$11,$F354)="eod_trailing",MAX(INDEX(Accounts!$Q$2:$Q$11,$F354),_xlfn.MAXIFS($C$2:$C$1001,$A$2:$A$1001,$A354,$B$2:$B$1001,"&lt;"&amp;$B354)),MAX(INDEX(Accounts!$Q$2:$Q$11,$F354),_xlfn.MAXIFS($C$2:$C$1001,$A$2:$A$1001,$A354,$B$2:$B$1001,"&lt;"&amp;$B354),_xlfn.MAXIFS($D$2:$D$1001,$A$2:$A$1001,$A354,$B$2:$B$1001,"&lt;="&amp;$B354),$C354)))),"")</f>
        <v/>
      </c>
      <c r="H354" s="15">
        <f>IFERROR(IF(G354="","",IF(INDEX(Accounts!$P$2:$P$11,$F354)="static",INDEX(Accounts!$Q$2:$Q$11,$F354)-INDEX(Accounts!$R$2:$R$11,$F354),IF(INDEX(Accounts!$S$2:$S$11,$F354)="NONE",G354-INDEX(Accounts!$R$2:$R$11,$F354),MIN(G354-INDEX(Accounts!$R$2:$R$11,$F354),INDEX(Accounts!$Q$2:$Q$11,$F354)+INDEX(Accounts!$S$2:$S$11,$F354))))),"")</f>
        <v/>
      </c>
      <c r="I354" s="16">
        <f>IF(AND($A354="",$B354="",$C354="",$D354="",$E354=""),"",IF(OR($A354="",$F354=""),"UNKNOWN_ACCOUNT",IF(OR($B354="",$C354=""),"INCOMPLETE",IFERROR(IF(OR(NOT(ISNUMBER($B354)),NOT(ISNUMBER($C354)),IF(C354="",FALSE,IF(ISNUMBER(C354),OR(C354&lt;=0,C354&gt;100000000,ROUND(C354*100,6)&lt;&gt;INT(ROUND(C354*100,6))),TRUE)),IF(D354="",FALSE,IF(ISNUMBER(D354),OR(D354&lt;=0,D354&gt;100000000,ROUND(D354*100,6)&lt;&gt;INT(ROUND(D354*100,6))),TRUE)),IF(E354="",FALSE,IF(ISNUMBER(E354),OR(E354&lt;=0,E354&gt;100000000,ROUND(E354*100,6)&lt;&gt;INT(ROUND(E354*100,6))),TRUE)),AND($D354&lt;&gt;"",$D354&lt;MAX($C354,$E354)),AND($E354&lt;&gt;"",$E354&gt;MIN($C354,IF($D354="",$C354,$D354))),COUNTIFS($A$2:$A$1001,$A354,$B$2:$B$1001,$B354)&gt;1),"INVALID",IFERROR(IF(IF(INDEX(Accounts!$T$2:$T$11,$F354),ROUND(IF($E354="",$C354,MIN($C354,$E354))-(H354),6)&lt;=0,ROUND(IF($E354="",$C354,MIN($C354,$E354))-(H354),6)&lt;0),"BREACHED","OK"),"INCOMPLETE")),"INVALID"))))</f>
        <v/>
      </c>
      <c r="J354" s="33">
        <f>IF(OR(I354="OK",I354="BREACHED"),-INT(ROUND(-(H354)*100,6))/100,I354)</f>
        <v/>
      </c>
    </row>
    <row r="355" ht="18" customHeight="1">
      <c r="A355" s="9" t="n"/>
      <c r="B355" s="32" t="n"/>
      <c r="C355" s="12" t="n"/>
      <c r="D355" s="12" t="n"/>
      <c r="E355" s="12" t="n"/>
      <c r="F355" s="15">
        <f>IFERROR(MATCH($A355,Accounts!$A$2:$A$11,0),"")</f>
        <v/>
      </c>
      <c r="G355" s="14">
        <f>IFERROR(IF(OR($A355="",$F355=""),"",IF(INDEX(Accounts!$P$2:$P$11,$F355)="static",INDEX(Accounts!$Q$2:$Q$11,$F355),IF(INDEX(Accounts!$P$2:$P$11,$F355)="eod_trailing",MAX(INDEX(Accounts!$Q$2:$Q$11,$F355),_xlfn.MAXIFS($C$2:$C$1001,$A$2:$A$1001,$A355,$B$2:$B$1001,"&lt;"&amp;$B355)),MAX(INDEX(Accounts!$Q$2:$Q$11,$F355),_xlfn.MAXIFS($C$2:$C$1001,$A$2:$A$1001,$A355,$B$2:$B$1001,"&lt;"&amp;$B355),_xlfn.MAXIFS($D$2:$D$1001,$A$2:$A$1001,$A355,$B$2:$B$1001,"&lt;="&amp;$B355),$C355)))),"")</f>
        <v/>
      </c>
      <c r="H355" s="15">
        <f>IFERROR(IF(G355="","",IF(INDEX(Accounts!$P$2:$P$11,$F355)="static",INDEX(Accounts!$Q$2:$Q$11,$F355)-INDEX(Accounts!$R$2:$R$11,$F355),IF(INDEX(Accounts!$S$2:$S$11,$F355)="NONE",G355-INDEX(Accounts!$R$2:$R$11,$F355),MIN(G355-INDEX(Accounts!$R$2:$R$11,$F355),INDEX(Accounts!$Q$2:$Q$11,$F355)+INDEX(Accounts!$S$2:$S$11,$F355))))),"")</f>
        <v/>
      </c>
      <c r="I355" s="16">
        <f>IF(AND($A355="",$B355="",$C355="",$D355="",$E355=""),"",IF(OR($A355="",$F355=""),"UNKNOWN_ACCOUNT",IF(OR($B355="",$C355=""),"INCOMPLETE",IFERROR(IF(OR(NOT(ISNUMBER($B355)),NOT(ISNUMBER($C355)),IF(C355="",FALSE,IF(ISNUMBER(C355),OR(C355&lt;=0,C355&gt;100000000,ROUND(C355*100,6)&lt;&gt;INT(ROUND(C355*100,6))),TRUE)),IF(D355="",FALSE,IF(ISNUMBER(D355),OR(D355&lt;=0,D355&gt;100000000,ROUND(D355*100,6)&lt;&gt;INT(ROUND(D355*100,6))),TRUE)),IF(E355="",FALSE,IF(ISNUMBER(E355),OR(E355&lt;=0,E355&gt;100000000,ROUND(E355*100,6)&lt;&gt;INT(ROUND(E355*100,6))),TRUE)),AND($D355&lt;&gt;"",$D355&lt;MAX($C355,$E355)),AND($E355&lt;&gt;"",$E355&gt;MIN($C355,IF($D355="",$C355,$D355))),COUNTIFS($A$2:$A$1001,$A355,$B$2:$B$1001,$B355)&gt;1),"INVALID",IFERROR(IF(IF(INDEX(Accounts!$T$2:$T$11,$F355),ROUND(IF($E355="",$C355,MIN($C355,$E355))-(H355),6)&lt;=0,ROUND(IF($E355="",$C355,MIN($C355,$E355))-(H355),6)&lt;0),"BREACHED","OK"),"INCOMPLETE")),"INVALID"))))</f>
        <v/>
      </c>
      <c r="J355" s="33">
        <f>IF(OR(I355="OK",I355="BREACHED"),-INT(ROUND(-(H355)*100,6))/100,I355)</f>
        <v/>
      </c>
    </row>
    <row r="356" ht="18" customHeight="1">
      <c r="A356" s="9" t="n"/>
      <c r="B356" s="32" t="n"/>
      <c r="C356" s="12" t="n"/>
      <c r="D356" s="12" t="n"/>
      <c r="E356" s="12" t="n"/>
      <c r="F356" s="15">
        <f>IFERROR(MATCH($A356,Accounts!$A$2:$A$11,0),"")</f>
        <v/>
      </c>
      <c r="G356" s="14">
        <f>IFERROR(IF(OR($A356="",$F356=""),"",IF(INDEX(Accounts!$P$2:$P$11,$F356)="static",INDEX(Accounts!$Q$2:$Q$11,$F356),IF(INDEX(Accounts!$P$2:$P$11,$F356)="eod_trailing",MAX(INDEX(Accounts!$Q$2:$Q$11,$F356),_xlfn.MAXIFS($C$2:$C$1001,$A$2:$A$1001,$A356,$B$2:$B$1001,"&lt;"&amp;$B356)),MAX(INDEX(Accounts!$Q$2:$Q$11,$F356),_xlfn.MAXIFS($C$2:$C$1001,$A$2:$A$1001,$A356,$B$2:$B$1001,"&lt;"&amp;$B356),_xlfn.MAXIFS($D$2:$D$1001,$A$2:$A$1001,$A356,$B$2:$B$1001,"&lt;="&amp;$B356),$C356)))),"")</f>
        <v/>
      </c>
      <c r="H356" s="15">
        <f>IFERROR(IF(G356="","",IF(INDEX(Accounts!$P$2:$P$11,$F356)="static",INDEX(Accounts!$Q$2:$Q$11,$F356)-INDEX(Accounts!$R$2:$R$11,$F356),IF(INDEX(Accounts!$S$2:$S$11,$F356)="NONE",G356-INDEX(Accounts!$R$2:$R$11,$F356),MIN(G356-INDEX(Accounts!$R$2:$R$11,$F356),INDEX(Accounts!$Q$2:$Q$11,$F356)+INDEX(Accounts!$S$2:$S$11,$F356))))),"")</f>
        <v/>
      </c>
      <c r="I356" s="16">
        <f>IF(AND($A356="",$B356="",$C356="",$D356="",$E356=""),"",IF(OR($A356="",$F356=""),"UNKNOWN_ACCOUNT",IF(OR($B356="",$C356=""),"INCOMPLETE",IFERROR(IF(OR(NOT(ISNUMBER($B356)),NOT(ISNUMBER($C356)),IF(C356="",FALSE,IF(ISNUMBER(C356),OR(C356&lt;=0,C356&gt;100000000,ROUND(C356*100,6)&lt;&gt;INT(ROUND(C356*100,6))),TRUE)),IF(D356="",FALSE,IF(ISNUMBER(D356),OR(D356&lt;=0,D356&gt;100000000,ROUND(D356*100,6)&lt;&gt;INT(ROUND(D356*100,6))),TRUE)),IF(E356="",FALSE,IF(ISNUMBER(E356),OR(E356&lt;=0,E356&gt;100000000,ROUND(E356*100,6)&lt;&gt;INT(ROUND(E356*100,6))),TRUE)),AND($D356&lt;&gt;"",$D356&lt;MAX($C356,$E356)),AND($E356&lt;&gt;"",$E356&gt;MIN($C356,IF($D356="",$C356,$D356))),COUNTIFS($A$2:$A$1001,$A356,$B$2:$B$1001,$B356)&gt;1),"INVALID",IFERROR(IF(IF(INDEX(Accounts!$T$2:$T$11,$F356),ROUND(IF($E356="",$C356,MIN($C356,$E356))-(H356),6)&lt;=0,ROUND(IF($E356="",$C356,MIN($C356,$E356))-(H356),6)&lt;0),"BREACHED","OK"),"INCOMPLETE")),"INVALID"))))</f>
        <v/>
      </c>
      <c r="J356" s="33">
        <f>IF(OR(I356="OK",I356="BREACHED"),-INT(ROUND(-(H356)*100,6))/100,I356)</f>
        <v/>
      </c>
    </row>
    <row r="357" ht="18" customHeight="1">
      <c r="A357" s="9" t="n"/>
      <c r="B357" s="32" t="n"/>
      <c r="C357" s="12" t="n"/>
      <c r="D357" s="12" t="n"/>
      <c r="E357" s="12" t="n"/>
      <c r="F357" s="15">
        <f>IFERROR(MATCH($A357,Accounts!$A$2:$A$11,0),"")</f>
        <v/>
      </c>
      <c r="G357" s="14">
        <f>IFERROR(IF(OR($A357="",$F357=""),"",IF(INDEX(Accounts!$P$2:$P$11,$F357)="static",INDEX(Accounts!$Q$2:$Q$11,$F357),IF(INDEX(Accounts!$P$2:$P$11,$F357)="eod_trailing",MAX(INDEX(Accounts!$Q$2:$Q$11,$F357),_xlfn.MAXIFS($C$2:$C$1001,$A$2:$A$1001,$A357,$B$2:$B$1001,"&lt;"&amp;$B357)),MAX(INDEX(Accounts!$Q$2:$Q$11,$F357),_xlfn.MAXIFS($C$2:$C$1001,$A$2:$A$1001,$A357,$B$2:$B$1001,"&lt;"&amp;$B357),_xlfn.MAXIFS($D$2:$D$1001,$A$2:$A$1001,$A357,$B$2:$B$1001,"&lt;="&amp;$B357),$C357)))),"")</f>
        <v/>
      </c>
      <c r="H357" s="15">
        <f>IFERROR(IF(G357="","",IF(INDEX(Accounts!$P$2:$P$11,$F357)="static",INDEX(Accounts!$Q$2:$Q$11,$F357)-INDEX(Accounts!$R$2:$R$11,$F357),IF(INDEX(Accounts!$S$2:$S$11,$F357)="NONE",G357-INDEX(Accounts!$R$2:$R$11,$F357),MIN(G357-INDEX(Accounts!$R$2:$R$11,$F357),INDEX(Accounts!$Q$2:$Q$11,$F357)+INDEX(Accounts!$S$2:$S$11,$F357))))),"")</f>
        <v/>
      </c>
      <c r="I357" s="16">
        <f>IF(AND($A357="",$B357="",$C357="",$D357="",$E357=""),"",IF(OR($A357="",$F357=""),"UNKNOWN_ACCOUNT",IF(OR($B357="",$C357=""),"INCOMPLETE",IFERROR(IF(OR(NOT(ISNUMBER($B357)),NOT(ISNUMBER($C357)),IF(C357="",FALSE,IF(ISNUMBER(C357),OR(C357&lt;=0,C357&gt;100000000,ROUND(C357*100,6)&lt;&gt;INT(ROUND(C357*100,6))),TRUE)),IF(D357="",FALSE,IF(ISNUMBER(D357),OR(D357&lt;=0,D357&gt;100000000,ROUND(D357*100,6)&lt;&gt;INT(ROUND(D357*100,6))),TRUE)),IF(E357="",FALSE,IF(ISNUMBER(E357),OR(E357&lt;=0,E357&gt;100000000,ROUND(E357*100,6)&lt;&gt;INT(ROUND(E357*100,6))),TRUE)),AND($D357&lt;&gt;"",$D357&lt;MAX($C357,$E357)),AND($E357&lt;&gt;"",$E357&gt;MIN($C357,IF($D357="",$C357,$D357))),COUNTIFS($A$2:$A$1001,$A357,$B$2:$B$1001,$B357)&gt;1),"INVALID",IFERROR(IF(IF(INDEX(Accounts!$T$2:$T$11,$F357),ROUND(IF($E357="",$C357,MIN($C357,$E357))-(H357),6)&lt;=0,ROUND(IF($E357="",$C357,MIN($C357,$E357))-(H357),6)&lt;0),"BREACHED","OK"),"INCOMPLETE")),"INVALID"))))</f>
        <v/>
      </c>
      <c r="J357" s="33">
        <f>IF(OR(I357="OK",I357="BREACHED"),-INT(ROUND(-(H357)*100,6))/100,I357)</f>
        <v/>
      </c>
    </row>
    <row r="358" ht="18" customHeight="1">
      <c r="A358" s="9" t="n"/>
      <c r="B358" s="32" t="n"/>
      <c r="C358" s="12" t="n"/>
      <c r="D358" s="12" t="n"/>
      <c r="E358" s="12" t="n"/>
      <c r="F358" s="15">
        <f>IFERROR(MATCH($A358,Accounts!$A$2:$A$11,0),"")</f>
        <v/>
      </c>
      <c r="G358" s="14">
        <f>IFERROR(IF(OR($A358="",$F358=""),"",IF(INDEX(Accounts!$P$2:$P$11,$F358)="static",INDEX(Accounts!$Q$2:$Q$11,$F358),IF(INDEX(Accounts!$P$2:$P$11,$F358)="eod_trailing",MAX(INDEX(Accounts!$Q$2:$Q$11,$F358),_xlfn.MAXIFS($C$2:$C$1001,$A$2:$A$1001,$A358,$B$2:$B$1001,"&lt;"&amp;$B358)),MAX(INDEX(Accounts!$Q$2:$Q$11,$F358),_xlfn.MAXIFS($C$2:$C$1001,$A$2:$A$1001,$A358,$B$2:$B$1001,"&lt;"&amp;$B358),_xlfn.MAXIFS($D$2:$D$1001,$A$2:$A$1001,$A358,$B$2:$B$1001,"&lt;="&amp;$B358),$C358)))),"")</f>
        <v/>
      </c>
      <c r="H358" s="15">
        <f>IFERROR(IF(G358="","",IF(INDEX(Accounts!$P$2:$P$11,$F358)="static",INDEX(Accounts!$Q$2:$Q$11,$F358)-INDEX(Accounts!$R$2:$R$11,$F358),IF(INDEX(Accounts!$S$2:$S$11,$F358)="NONE",G358-INDEX(Accounts!$R$2:$R$11,$F358),MIN(G358-INDEX(Accounts!$R$2:$R$11,$F358),INDEX(Accounts!$Q$2:$Q$11,$F358)+INDEX(Accounts!$S$2:$S$11,$F358))))),"")</f>
        <v/>
      </c>
      <c r="I358" s="16">
        <f>IF(AND($A358="",$B358="",$C358="",$D358="",$E358=""),"",IF(OR($A358="",$F358=""),"UNKNOWN_ACCOUNT",IF(OR($B358="",$C358=""),"INCOMPLETE",IFERROR(IF(OR(NOT(ISNUMBER($B358)),NOT(ISNUMBER($C358)),IF(C358="",FALSE,IF(ISNUMBER(C358),OR(C358&lt;=0,C358&gt;100000000,ROUND(C358*100,6)&lt;&gt;INT(ROUND(C358*100,6))),TRUE)),IF(D358="",FALSE,IF(ISNUMBER(D358),OR(D358&lt;=0,D358&gt;100000000,ROUND(D358*100,6)&lt;&gt;INT(ROUND(D358*100,6))),TRUE)),IF(E358="",FALSE,IF(ISNUMBER(E358),OR(E358&lt;=0,E358&gt;100000000,ROUND(E358*100,6)&lt;&gt;INT(ROUND(E358*100,6))),TRUE)),AND($D358&lt;&gt;"",$D358&lt;MAX($C358,$E358)),AND($E358&lt;&gt;"",$E358&gt;MIN($C358,IF($D358="",$C358,$D358))),COUNTIFS($A$2:$A$1001,$A358,$B$2:$B$1001,$B358)&gt;1),"INVALID",IFERROR(IF(IF(INDEX(Accounts!$T$2:$T$11,$F358),ROUND(IF($E358="",$C358,MIN($C358,$E358))-(H358),6)&lt;=0,ROUND(IF($E358="",$C358,MIN($C358,$E358))-(H358),6)&lt;0),"BREACHED","OK"),"INCOMPLETE")),"INVALID"))))</f>
        <v/>
      </c>
      <c r="J358" s="33">
        <f>IF(OR(I358="OK",I358="BREACHED"),-INT(ROUND(-(H358)*100,6))/100,I358)</f>
        <v/>
      </c>
    </row>
    <row r="359" ht="18" customHeight="1">
      <c r="A359" s="9" t="n"/>
      <c r="B359" s="32" t="n"/>
      <c r="C359" s="12" t="n"/>
      <c r="D359" s="12" t="n"/>
      <c r="E359" s="12" t="n"/>
      <c r="F359" s="15">
        <f>IFERROR(MATCH($A359,Accounts!$A$2:$A$11,0),"")</f>
        <v/>
      </c>
      <c r="G359" s="14">
        <f>IFERROR(IF(OR($A359="",$F359=""),"",IF(INDEX(Accounts!$P$2:$P$11,$F359)="static",INDEX(Accounts!$Q$2:$Q$11,$F359),IF(INDEX(Accounts!$P$2:$P$11,$F359)="eod_trailing",MAX(INDEX(Accounts!$Q$2:$Q$11,$F359),_xlfn.MAXIFS($C$2:$C$1001,$A$2:$A$1001,$A359,$B$2:$B$1001,"&lt;"&amp;$B359)),MAX(INDEX(Accounts!$Q$2:$Q$11,$F359),_xlfn.MAXIFS($C$2:$C$1001,$A$2:$A$1001,$A359,$B$2:$B$1001,"&lt;"&amp;$B359),_xlfn.MAXIFS($D$2:$D$1001,$A$2:$A$1001,$A359,$B$2:$B$1001,"&lt;="&amp;$B359),$C359)))),"")</f>
        <v/>
      </c>
      <c r="H359" s="15">
        <f>IFERROR(IF(G359="","",IF(INDEX(Accounts!$P$2:$P$11,$F359)="static",INDEX(Accounts!$Q$2:$Q$11,$F359)-INDEX(Accounts!$R$2:$R$11,$F359),IF(INDEX(Accounts!$S$2:$S$11,$F359)="NONE",G359-INDEX(Accounts!$R$2:$R$11,$F359),MIN(G359-INDEX(Accounts!$R$2:$R$11,$F359),INDEX(Accounts!$Q$2:$Q$11,$F359)+INDEX(Accounts!$S$2:$S$11,$F359))))),"")</f>
        <v/>
      </c>
      <c r="I359" s="16">
        <f>IF(AND($A359="",$B359="",$C359="",$D359="",$E359=""),"",IF(OR($A359="",$F359=""),"UNKNOWN_ACCOUNT",IF(OR($B359="",$C359=""),"INCOMPLETE",IFERROR(IF(OR(NOT(ISNUMBER($B359)),NOT(ISNUMBER($C359)),IF(C359="",FALSE,IF(ISNUMBER(C359),OR(C359&lt;=0,C359&gt;100000000,ROUND(C359*100,6)&lt;&gt;INT(ROUND(C359*100,6))),TRUE)),IF(D359="",FALSE,IF(ISNUMBER(D359),OR(D359&lt;=0,D359&gt;100000000,ROUND(D359*100,6)&lt;&gt;INT(ROUND(D359*100,6))),TRUE)),IF(E359="",FALSE,IF(ISNUMBER(E359),OR(E359&lt;=0,E359&gt;100000000,ROUND(E359*100,6)&lt;&gt;INT(ROUND(E359*100,6))),TRUE)),AND($D359&lt;&gt;"",$D359&lt;MAX($C359,$E359)),AND($E359&lt;&gt;"",$E359&gt;MIN($C359,IF($D359="",$C359,$D359))),COUNTIFS($A$2:$A$1001,$A359,$B$2:$B$1001,$B359)&gt;1),"INVALID",IFERROR(IF(IF(INDEX(Accounts!$T$2:$T$11,$F359),ROUND(IF($E359="",$C359,MIN($C359,$E359))-(H359),6)&lt;=0,ROUND(IF($E359="",$C359,MIN($C359,$E359))-(H359),6)&lt;0),"BREACHED","OK"),"INCOMPLETE")),"INVALID"))))</f>
        <v/>
      </c>
      <c r="J359" s="33">
        <f>IF(OR(I359="OK",I359="BREACHED"),-INT(ROUND(-(H359)*100,6))/100,I359)</f>
        <v/>
      </c>
    </row>
    <row r="360" ht="18" customHeight="1">
      <c r="A360" s="9" t="n"/>
      <c r="B360" s="32" t="n"/>
      <c r="C360" s="12" t="n"/>
      <c r="D360" s="12" t="n"/>
      <c r="E360" s="12" t="n"/>
      <c r="F360" s="15">
        <f>IFERROR(MATCH($A360,Accounts!$A$2:$A$11,0),"")</f>
        <v/>
      </c>
      <c r="G360" s="14">
        <f>IFERROR(IF(OR($A360="",$F360=""),"",IF(INDEX(Accounts!$P$2:$P$11,$F360)="static",INDEX(Accounts!$Q$2:$Q$11,$F360),IF(INDEX(Accounts!$P$2:$P$11,$F360)="eod_trailing",MAX(INDEX(Accounts!$Q$2:$Q$11,$F360),_xlfn.MAXIFS($C$2:$C$1001,$A$2:$A$1001,$A360,$B$2:$B$1001,"&lt;"&amp;$B360)),MAX(INDEX(Accounts!$Q$2:$Q$11,$F360),_xlfn.MAXIFS($C$2:$C$1001,$A$2:$A$1001,$A360,$B$2:$B$1001,"&lt;"&amp;$B360),_xlfn.MAXIFS($D$2:$D$1001,$A$2:$A$1001,$A360,$B$2:$B$1001,"&lt;="&amp;$B360),$C360)))),"")</f>
        <v/>
      </c>
      <c r="H360" s="15">
        <f>IFERROR(IF(G360="","",IF(INDEX(Accounts!$P$2:$P$11,$F360)="static",INDEX(Accounts!$Q$2:$Q$11,$F360)-INDEX(Accounts!$R$2:$R$11,$F360),IF(INDEX(Accounts!$S$2:$S$11,$F360)="NONE",G360-INDEX(Accounts!$R$2:$R$11,$F360),MIN(G360-INDEX(Accounts!$R$2:$R$11,$F360),INDEX(Accounts!$Q$2:$Q$11,$F360)+INDEX(Accounts!$S$2:$S$11,$F360))))),"")</f>
        <v/>
      </c>
      <c r="I360" s="16">
        <f>IF(AND($A360="",$B360="",$C360="",$D360="",$E360=""),"",IF(OR($A360="",$F360=""),"UNKNOWN_ACCOUNT",IF(OR($B360="",$C360=""),"INCOMPLETE",IFERROR(IF(OR(NOT(ISNUMBER($B360)),NOT(ISNUMBER($C360)),IF(C360="",FALSE,IF(ISNUMBER(C360),OR(C360&lt;=0,C360&gt;100000000,ROUND(C360*100,6)&lt;&gt;INT(ROUND(C360*100,6))),TRUE)),IF(D360="",FALSE,IF(ISNUMBER(D360),OR(D360&lt;=0,D360&gt;100000000,ROUND(D360*100,6)&lt;&gt;INT(ROUND(D360*100,6))),TRUE)),IF(E360="",FALSE,IF(ISNUMBER(E360),OR(E360&lt;=0,E360&gt;100000000,ROUND(E360*100,6)&lt;&gt;INT(ROUND(E360*100,6))),TRUE)),AND($D360&lt;&gt;"",$D360&lt;MAX($C360,$E360)),AND($E360&lt;&gt;"",$E360&gt;MIN($C360,IF($D360="",$C360,$D360))),COUNTIFS($A$2:$A$1001,$A360,$B$2:$B$1001,$B360)&gt;1),"INVALID",IFERROR(IF(IF(INDEX(Accounts!$T$2:$T$11,$F360),ROUND(IF($E360="",$C360,MIN($C360,$E360))-(H360),6)&lt;=0,ROUND(IF($E360="",$C360,MIN($C360,$E360))-(H360),6)&lt;0),"BREACHED","OK"),"INCOMPLETE")),"INVALID"))))</f>
        <v/>
      </c>
      <c r="J360" s="33">
        <f>IF(OR(I360="OK",I360="BREACHED"),-INT(ROUND(-(H360)*100,6))/100,I360)</f>
        <v/>
      </c>
    </row>
    <row r="361" ht="18" customHeight="1">
      <c r="A361" s="9" t="n"/>
      <c r="B361" s="32" t="n"/>
      <c r="C361" s="12" t="n"/>
      <c r="D361" s="12" t="n"/>
      <c r="E361" s="12" t="n"/>
      <c r="F361" s="15">
        <f>IFERROR(MATCH($A361,Accounts!$A$2:$A$11,0),"")</f>
        <v/>
      </c>
      <c r="G361" s="14">
        <f>IFERROR(IF(OR($A361="",$F361=""),"",IF(INDEX(Accounts!$P$2:$P$11,$F361)="static",INDEX(Accounts!$Q$2:$Q$11,$F361),IF(INDEX(Accounts!$P$2:$P$11,$F361)="eod_trailing",MAX(INDEX(Accounts!$Q$2:$Q$11,$F361),_xlfn.MAXIFS($C$2:$C$1001,$A$2:$A$1001,$A361,$B$2:$B$1001,"&lt;"&amp;$B361)),MAX(INDEX(Accounts!$Q$2:$Q$11,$F361),_xlfn.MAXIFS($C$2:$C$1001,$A$2:$A$1001,$A361,$B$2:$B$1001,"&lt;"&amp;$B361),_xlfn.MAXIFS($D$2:$D$1001,$A$2:$A$1001,$A361,$B$2:$B$1001,"&lt;="&amp;$B361),$C361)))),"")</f>
        <v/>
      </c>
      <c r="H361" s="15">
        <f>IFERROR(IF(G361="","",IF(INDEX(Accounts!$P$2:$P$11,$F361)="static",INDEX(Accounts!$Q$2:$Q$11,$F361)-INDEX(Accounts!$R$2:$R$11,$F361),IF(INDEX(Accounts!$S$2:$S$11,$F361)="NONE",G361-INDEX(Accounts!$R$2:$R$11,$F361),MIN(G361-INDEX(Accounts!$R$2:$R$11,$F361),INDEX(Accounts!$Q$2:$Q$11,$F361)+INDEX(Accounts!$S$2:$S$11,$F361))))),"")</f>
        <v/>
      </c>
      <c r="I361" s="16">
        <f>IF(AND($A361="",$B361="",$C361="",$D361="",$E361=""),"",IF(OR($A361="",$F361=""),"UNKNOWN_ACCOUNT",IF(OR($B361="",$C361=""),"INCOMPLETE",IFERROR(IF(OR(NOT(ISNUMBER($B361)),NOT(ISNUMBER($C361)),IF(C361="",FALSE,IF(ISNUMBER(C361),OR(C361&lt;=0,C361&gt;100000000,ROUND(C361*100,6)&lt;&gt;INT(ROUND(C361*100,6))),TRUE)),IF(D361="",FALSE,IF(ISNUMBER(D361),OR(D361&lt;=0,D361&gt;100000000,ROUND(D361*100,6)&lt;&gt;INT(ROUND(D361*100,6))),TRUE)),IF(E361="",FALSE,IF(ISNUMBER(E361),OR(E361&lt;=0,E361&gt;100000000,ROUND(E361*100,6)&lt;&gt;INT(ROUND(E361*100,6))),TRUE)),AND($D361&lt;&gt;"",$D361&lt;MAX($C361,$E361)),AND($E361&lt;&gt;"",$E361&gt;MIN($C361,IF($D361="",$C361,$D361))),COUNTIFS($A$2:$A$1001,$A361,$B$2:$B$1001,$B361)&gt;1),"INVALID",IFERROR(IF(IF(INDEX(Accounts!$T$2:$T$11,$F361),ROUND(IF($E361="",$C361,MIN($C361,$E361))-(H361),6)&lt;=0,ROUND(IF($E361="",$C361,MIN($C361,$E361))-(H361),6)&lt;0),"BREACHED","OK"),"INCOMPLETE")),"INVALID"))))</f>
        <v/>
      </c>
      <c r="J361" s="33">
        <f>IF(OR(I361="OK",I361="BREACHED"),-INT(ROUND(-(H361)*100,6))/100,I361)</f>
        <v/>
      </c>
    </row>
    <row r="362" ht="18" customHeight="1">
      <c r="A362" s="9" t="n"/>
      <c r="B362" s="32" t="n"/>
      <c r="C362" s="12" t="n"/>
      <c r="D362" s="12" t="n"/>
      <c r="E362" s="12" t="n"/>
      <c r="F362" s="15">
        <f>IFERROR(MATCH($A362,Accounts!$A$2:$A$11,0),"")</f>
        <v/>
      </c>
      <c r="G362" s="14">
        <f>IFERROR(IF(OR($A362="",$F362=""),"",IF(INDEX(Accounts!$P$2:$P$11,$F362)="static",INDEX(Accounts!$Q$2:$Q$11,$F362),IF(INDEX(Accounts!$P$2:$P$11,$F362)="eod_trailing",MAX(INDEX(Accounts!$Q$2:$Q$11,$F362),_xlfn.MAXIFS($C$2:$C$1001,$A$2:$A$1001,$A362,$B$2:$B$1001,"&lt;"&amp;$B362)),MAX(INDEX(Accounts!$Q$2:$Q$11,$F362),_xlfn.MAXIFS($C$2:$C$1001,$A$2:$A$1001,$A362,$B$2:$B$1001,"&lt;"&amp;$B362),_xlfn.MAXIFS($D$2:$D$1001,$A$2:$A$1001,$A362,$B$2:$B$1001,"&lt;="&amp;$B362),$C362)))),"")</f>
        <v/>
      </c>
      <c r="H362" s="15">
        <f>IFERROR(IF(G362="","",IF(INDEX(Accounts!$P$2:$P$11,$F362)="static",INDEX(Accounts!$Q$2:$Q$11,$F362)-INDEX(Accounts!$R$2:$R$11,$F362),IF(INDEX(Accounts!$S$2:$S$11,$F362)="NONE",G362-INDEX(Accounts!$R$2:$R$11,$F362),MIN(G362-INDEX(Accounts!$R$2:$R$11,$F362),INDEX(Accounts!$Q$2:$Q$11,$F362)+INDEX(Accounts!$S$2:$S$11,$F362))))),"")</f>
        <v/>
      </c>
      <c r="I362" s="16">
        <f>IF(AND($A362="",$B362="",$C362="",$D362="",$E362=""),"",IF(OR($A362="",$F362=""),"UNKNOWN_ACCOUNT",IF(OR($B362="",$C362=""),"INCOMPLETE",IFERROR(IF(OR(NOT(ISNUMBER($B362)),NOT(ISNUMBER($C362)),IF(C362="",FALSE,IF(ISNUMBER(C362),OR(C362&lt;=0,C362&gt;100000000,ROUND(C362*100,6)&lt;&gt;INT(ROUND(C362*100,6))),TRUE)),IF(D362="",FALSE,IF(ISNUMBER(D362),OR(D362&lt;=0,D362&gt;100000000,ROUND(D362*100,6)&lt;&gt;INT(ROUND(D362*100,6))),TRUE)),IF(E362="",FALSE,IF(ISNUMBER(E362),OR(E362&lt;=0,E362&gt;100000000,ROUND(E362*100,6)&lt;&gt;INT(ROUND(E362*100,6))),TRUE)),AND($D362&lt;&gt;"",$D362&lt;MAX($C362,$E362)),AND($E362&lt;&gt;"",$E362&gt;MIN($C362,IF($D362="",$C362,$D362))),COUNTIFS($A$2:$A$1001,$A362,$B$2:$B$1001,$B362)&gt;1),"INVALID",IFERROR(IF(IF(INDEX(Accounts!$T$2:$T$11,$F362),ROUND(IF($E362="",$C362,MIN($C362,$E362))-(H362),6)&lt;=0,ROUND(IF($E362="",$C362,MIN($C362,$E362))-(H362),6)&lt;0),"BREACHED","OK"),"INCOMPLETE")),"INVALID"))))</f>
        <v/>
      </c>
      <c r="J362" s="33">
        <f>IF(OR(I362="OK",I362="BREACHED"),-INT(ROUND(-(H362)*100,6))/100,I362)</f>
        <v/>
      </c>
    </row>
    <row r="363" ht="18" customHeight="1">
      <c r="A363" s="9" t="n"/>
      <c r="B363" s="32" t="n"/>
      <c r="C363" s="12" t="n"/>
      <c r="D363" s="12" t="n"/>
      <c r="E363" s="12" t="n"/>
      <c r="F363" s="15">
        <f>IFERROR(MATCH($A363,Accounts!$A$2:$A$11,0),"")</f>
        <v/>
      </c>
      <c r="G363" s="14">
        <f>IFERROR(IF(OR($A363="",$F363=""),"",IF(INDEX(Accounts!$P$2:$P$11,$F363)="static",INDEX(Accounts!$Q$2:$Q$11,$F363),IF(INDEX(Accounts!$P$2:$P$11,$F363)="eod_trailing",MAX(INDEX(Accounts!$Q$2:$Q$11,$F363),_xlfn.MAXIFS($C$2:$C$1001,$A$2:$A$1001,$A363,$B$2:$B$1001,"&lt;"&amp;$B363)),MAX(INDEX(Accounts!$Q$2:$Q$11,$F363),_xlfn.MAXIFS($C$2:$C$1001,$A$2:$A$1001,$A363,$B$2:$B$1001,"&lt;"&amp;$B363),_xlfn.MAXIFS($D$2:$D$1001,$A$2:$A$1001,$A363,$B$2:$B$1001,"&lt;="&amp;$B363),$C363)))),"")</f>
        <v/>
      </c>
      <c r="H363" s="15">
        <f>IFERROR(IF(G363="","",IF(INDEX(Accounts!$P$2:$P$11,$F363)="static",INDEX(Accounts!$Q$2:$Q$11,$F363)-INDEX(Accounts!$R$2:$R$11,$F363),IF(INDEX(Accounts!$S$2:$S$11,$F363)="NONE",G363-INDEX(Accounts!$R$2:$R$11,$F363),MIN(G363-INDEX(Accounts!$R$2:$R$11,$F363),INDEX(Accounts!$Q$2:$Q$11,$F363)+INDEX(Accounts!$S$2:$S$11,$F363))))),"")</f>
        <v/>
      </c>
      <c r="I363" s="16">
        <f>IF(AND($A363="",$B363="",$C363="",$D363="",$E363=""),"",IF(OR($A363="",$F363=""),"UNKNOWN_ACCOUNT",IF(OR($B363="",$C363=""),"INCOMPLETE",IFERROR(IF(OR(NOT(ISNUMBER($B363)),NOT(ISNUMBER($C363)),IF(C363="",FALSE,IF(ISNUMBER(C363),OR(C363&lt;=0,C363&gt;100000000,ROUND(C363*100,6)&lt;&gt;INT(ROUND(C363*100,6))),TRUE)),IF(D363="",FALSE,IF(ISNUMBER(D363),OR(D363&lt;=0,D363&gt;100000000,ROUND(D363*100,6)&lt;&gt;INT(ROUND(D363*100,6))),TRUE)),IF(E363="",FALSE,IF(ISNUMBER(E363),OR(E363&lt;=0,E363&gt;100000000,ROUND(E363*100,6)&lt;&gt;INT(ROUND(E363*100,6))),TRUE)),AND($D363&lt;&gt;"",$D363&lt;MAX($C363,$E363)),AND($E363&lt;&gt;"",$E363&gt;MIN($C363,IF($D363="",$C363,$D363))),COUNTIFS($A$2:$A$1001,$A363,$B$2:$B$1001,$B363)&gt;1),"INVALID",IFERROR(IF(IF(INDEX(Accounts!$T$2:$T$11,$F363),ROUND(IF($E363="",$C363,MIN($C363,$E363))-(H363),6)&lt;=0,ROUND(IF($E363="",$C363,MIN($C363,$E363))-(H363),6)&lt;0),"BREACHED","OK"),"INCOMPLETE")),"INVALID"))))</f>
        <v/>
      </c>
      <c r="J363" s="33">
        <f>IF(OR(I363="OK",I363="BREACHED"),-INT(ROUND(-(H363)*100,6))/100,I363)</f>
        <v/>
      </c>
    </row>
    <row r="364" ht="18" customHeight="1">
      <c r="A364" s="9" t="n"/>
      <c r="B364" s="32" t="n"/>
      <c r="C364" s="12" t="n"/>
      <c r="D364" s="12" t="n"/>
      <c r="E364" s="12" t="n"/>
      <c r="F364" s="15">
        <f>IFERROR(MATCH($A364,Accounts!$A$2:$A$11,0),"")</f>
        <v/>
      </c>
      <c r="G364" s="14">
        <f>IFERROR(IF(OR($A364="",$F364=""),"",IF(INDEX(Accounts!$P$2:$P$11,$F364)="static",INDEX(Accounts!$Q$2:$Q$11,$F364),IF(INDEX(Accounts!$P$2:$P$11,$F364)="eod_trailing",MAX(INDEX(Accounts!$Q$2:$Q$11,$F364),_xlfn.MAXIFS($C$2:$C$1001,$A$2:$A$1001,$A364,$B$2:$B$1001,"&lt;"&amp;$B364)),MAX(INDEX(Accounts!$Q$2:$Q$11,$F364),_xlfn.MAXIFS($C$2:$C$1001,$A$2:$A$1001,$A364,$B$2:$B$1001,"&lt;"&amp;$B364),_xlfn.MAXIFS($D$2:$D$1001,$A$2:$A$1001,$A364,$B$2:$B$1001,"&lt;="&amp;$B364),$C364)))),"")</f>
        <v/>
      </c>
      <c r="H364" s="15">
        <f>IFERROR(IF(G364="","",IF(INDEX(Accounts!$P$2:$P$11,$F364)="static",INDEX(Accounts!$Q$2:$Q$11,$F364)-INDEX(Accounts!$R$2:$R$11,$F364),IF(INDEX(Accounts!$S$2:$S$11,$F364)="NONE",G364-INDEX(Accounts!$R$2:$R$11,$F364),MIN(G364-INDEX(Accounts!$R$2:$R$11,$F364),INDEX(Accounts!$Q$2:$Q$11,$F364)+INDEX(Accounts!$S$2:$S$11,$F364))))),"")</f>
        <v/>
      </c>
      <c r="I364" s="16">
        <f>IF(AND($A364="",$B364="",$C364="",$D364="",$E364=""),"",IF(OR($A364="",$F364=""),"UNKNOWN_ACCOUNT",IF(OR($B364="",$C364=""),"INCOMPLETE",IFERROR(IF(OR(NOT(ISNUMBER($B364)),NOT(ISNUMBER($C364)),IF(C364="",FALSE,IF(ISNUMBER(C364),OR(C364&lt;=0,C364&gt;100000000,ROUND(C364*100,6)&lt;&gt;INT(ROUND(C364*100,6))),TRUE)),IF(D364="",FALSE,IF(ISNUMBER(D364),OR(D364&lt;=0,D364&gt;100000000,ROUND(D364*100,6)&lt;&gt;INT(ROUND(D364*100,6))),TRUE)),IF(E364="",FALSE,IF(ISNUMBER(E364),OR(E364&lt;=0,E364&gt;100000000,ROUND(E364*100,6)&lt;&gt;INT(ROUND(E364*100,6))),TRUE)),AND($D364&lt;&gt;"",$D364&lt;MAX($C364,$E364)),AND($E364&lt;&gt;"",$E364&gt;MIN($C364,IF($D364="",$C364,$D364))),COUNTIFS($A$2:$A$1001,$A364,$B$2:$B$1001,$B364)&gt;1),"INVALID",IFERROR(IF(IF(INDEX(Accounts!$T$2:$T$11,$F364),ROUND(IF($E364="",$C364,MIN($C364,$E364))-(H364),6)&lt;=0,ROUND(IF($E364="",$C364,MIN($C364,$E364))-(H364),6)&lt;0),"BREACHED","OK"),"INCOMPLETE")),"INVALID"))))</f>
        <v/>
      </c>
      <c r="J364" s="33">
        <f>IF(OR(I364="OK",I364="BREACHED"),-INT(ROUND(-(H364)*100,6))/100,I364)</f>
        <v/>
      </c>
    </row>
    <row r="365" ht="18" customHeight="1">
      <c r="A365" s="9" t="n"/>
      <c r="B365" s="32" t="n"/>
      <c r="C365" s="12" t="n"/>
      <c r="D365" s="12" t="n"/>
      <c r="E365" s="12" t="n"/>
      <c r="F365" s="15">
        <f>IFERROR(MATCH($A365,Accounts!$A$2:$A$11,0),"")</f>
        <v/>
      </c>
      <c r="G365" s="14">
        <f>IFERROR(IF(OR($A365="",$F365=""),"",IF(INDEX(Accounts!$P$2:$P$11,$F365)="static",INDEX(Accounts!$Q$2:$Q$11,$F365),IF(INDEX(Accounts!$P$2:$P$11,$F365)="eod_trailing",MAX(INDEX(Accounts!$Q$2:$Q$11,$F365),_xlfn.MAXIFS($C$2:$C$1001,$A$2:$A$1001,$A365,$B$2:$B$1001,"&lt;"&amp;$B365)),MAX(INDEX(Accounts!$Q$2:$Q$11,$F365),_xlfn.MAXIFS($C$2:$C$1001,$A$2:$A$1001,$A365,$B$2:$B$1001,"&lt;"&amp;$B365),_xlfn.MAXIFS($D$2:$D$1001,$A$2:$A$1001,$A365,$B$2:$B$1001,"&lt;="&amp;$B365),$C365)))),"")</f>
        <v/>
      </c>
      <c r="H365" s="15">
        <f>IFERROR(IF(G365="","",IF(INDEX(Accounts!$P$2:$P$11,$F365)="static",INDEX(Accounts!$Q$2:$Q$11,$F365)-INDEX(Accounts!$R$2:$R$11,$F365),IF(INDEX(Accounts!$S$2:$S$11,$F365)="NONE",G365-INDEX(Accounts!$R$2:$R$11,$F365),MIN(G365-INDEX(Accounts!$R$2:$R$11,$F365),INDEX(Accounts!$Q$2:$Q$11,$F365)+INDEX(Accounts!$S$2:$S$11,$F365))))),"")</f>
        <v/>
      </c>
      <c r="I365" s="16">
        <f>IF(AND($A365="",$B365="",$C365="",$D365="",$E365=""),"",IF(OR($A365="",$F365=""),"UNKNOWN_ACCOUNT",IF(OR($B365="",$C365=""),"INCOMPLETE",IFERROR(IF(OR(NOT(ISNUMBER($B365)),NOT(ISNUMBER($C365)),IF(C365="",FALSE,IF(ISNUMBER(C365),OR(C365&lt;=0,C365&gt;100000000,ROUND(C365*100,6)&lt;&gt;INT(ROUND(C365*100,6))),TRUE)),IF(D365="",FALSE,IF(ISNUMBER(D365),OR(D365&lt;=0,D365&gt;100000000,ROUND(D365*100,6)&lt;&gt;INT(ROUND(D365*100,6))),TRUE)),IF(E365="",FALSE,IF(ISNUMBER(E365),OR(E365&lt;=0,E365&gt;100000000,ROUND(E365*100,6)&lt;&gt;INT(ROUND(E365*100,6))),TRUE)),AND($D365&lt;&gt;"",$D365&lt;MAX($C365,$E365)),AND($E365&lt;&gt;"",$E365&gt;MIN($C365,IF($D365="",$C365,$D365))),COUNTIFS($A$2:$A$1001,$A365,$B$2:$B$1001,$B365)&gt;1),"INVALID",IFERROR(IF(IF(INDEX(Accounts!$T$2:$T$11,$F365),ROUND(IF($E365="",$C365,MIN($C365,$E365))-(H365),6)&lt;=0,ROUND(IF($E365="",$C365,MIN($C365,$E365))-(H365),6)&lt;0),"BREACHED","OK"),"INCOMPLETE")),"INVALID"))))</f>
        <v/>
      </c>
      <c r="J365" s="33">
        <f>IF(OR(I365="OK",I365="BREACHED"),-INT(ROUND(-(H365)*100,6))/100,I365)</f>
        <v/>
      </c>
    </row>
    <row r="366" ht="18" customHeight="1">
      <c r="A366" s="9" t="n"/>
      <c r="B366" s="32" t="n"/>
      <c r="C366" s="12" t="n"/>
      <c r="D366" s="12" t="n"/>
      <c r="E366" s="12" t="n"/>
      <c r="F366" s="15">
        <f>IFERROR(MATCH($A366,Accounts!$A$2:$A$11,0),"")</f>
        <v/>
      </c>
      <c r="G366" s="14">
        <f>IFERROR(IF(OR($A366="",$F366=""),"",IF(INDEX(Accounts!$P$2:$P$11,$F366)="static",INDEX(Accounts!$Q$2:$Q$11,$F366),IF(INDEX(Accounts!$P$2:$P$11,$F366)="eod_trailing",MAX(INDEX(Accounts!$Q$2:$Q$11,$F366),_xlfn.MAXIFS($C$2:$C$1001,$A$2:$A$1001,$A366,$B$2:$B$1001,"&lt;"&amp;$B366)),MAX(INDEX(Accounts!$Q$2:$Q$11,$F366),_xlfn.MAXIFS($C$2:$C$1001,$A$2:$A$1001,$A366,$B$2:$B$1001,"&lt;"&amp;$B366),_xlfn.MAXIFS($D$2:$D$1001,$A$2:$A$1001,$A366,$B$2:$B$1001,"&lt;="&amp;$B366),$C366)))),"")</f>
        <v/>
      </c>
      <c r="H366" s="15">
        <f>IFERROR(IF(G366="","",IF(INDEX(Accounts!$P$2:$P$11,$F366)="static",INDEX(Accounts!$Q$2:$Q$11,$F366)-INDEX(Accounts!$R$2:$R$11,$F366),IF(INDEX(Accounts!$S$2:$S$11,$F366)="NONE",G366-INDEX(Accounts!$R$2:$R$11,$F366),MIN(G366-INDEX(Accounts!$R$2:$R$11,$F366),INDEX(Accounts!$Q$2:$Q$11,$F366)+INDEX(Accounts!$S$2:$S$11,$F366))))),"")</f>
        <v/>
      </c>
      <c r="I366" s="16">
        <f>IF(AND($A366="",$B366="",$C366="",$D366="",$E366=""),"",IF(OR($A366="",$F366=""),"UNKNOWN_ACCOUNT",IF(OR($B366="",$C366=""),"INCOMPLETE",IFERROR(IF(OR(NOT(ISNUMBER($B366)),NOT(ISNUMBER($C366)),IF(C366="",FALSE,IF(ISNUMBER(C366),OR(C366&lt;=0,C366&gt;100000000,ROUND(C366*100,6)&lt;&gt;INT(ROUND(C366*100,6))),TRUE)),IF(D366="",FALSE,IF(ISNUMBER(D366),OR(D366&lt;=0,D366&gt;100000000,ROUND(D366*100,6)&lt;&gt;INT(ROUND(D366*100,6))),TRUE)),IF(E366="",FALSE,IF(ISNUMBER(E366),OR(E366&lt;=0,E366&gt;100000000,ROUND(E366*100,6)&lt;&gt;INT(ROUND(E366*100,6))),TRUE)),AND($D366&lt;&gt;"",$D366&lt;MAX($C366,$E366)),AND($E366&lt;&gt;"",$E366&gt;MIN($C366,IF($D366="",$C366,$D366))),COUNTIFS($A$2:$A$1001,$A366,$B$2:$B$1001,$B366)&gt;1),"INVALID",IFERROR(IF(IF(INDEX(Accounts!$T$2:$T$11,$F366),ROUND(IF($E366="",$C366,MIN($C366,$E366))-(H366),6)&lt;=0,ROUND(IF($E366="",$C366,MIN($C366,$E366))-(H366),6)&lt;0),"BREACHED","OK"),"INCOMPLETE")),"INVALID"))))</f>
        <v/>
      </c>
      <c r="J366" s="33">
        <f>IF(OR(I366="OK",I366="BREACHED"),-INT(ROUND(-(H366)*100,6))/100,I366)</f>
        <v/>
      </c>
    </row>
    <row r="367" ht="18" customHeight="1">
      <c r="A367" s="9" t="n"/>
      <c r="B367" s="32" t="n"/>
      <c r="C367" s="12" t="n"/>
      <c r="D367" s="12" t="n"/>
      <c r="E367" s="12" t="n"/>
      <c r="F367" s="15">
        <f>IFERROR(MATCH($A367,Accounts!$A$2:$A$11,0),"")</f>
        <v/>
      </c>
      <c r="G367" s="14">
        <f>IFERROR(IF(OR($A367="",$F367=""),"",IF(INDEX(Accounts!$P$2:$P$11,$F367)="static",INDEX(Accounts!$Q$2:$Q$11,$F367),IF(INDEX(Accounts!$P$2:$P$11,$F367)="eod_trailing",MAX(INDEX(Accounts!$Q$2:$Q$11,$F367),_xlfn.MAXIFS($C$2:$C$1001,$A$2:$A$1001,$A367,$B$2:$B$1001,"&lt;"&amp;$B367)),MAX(INDEX(Accounts!$Q$2:$Q$11,$F367),_xlfn.MAXIFS($C$2:$C$1001,$A$2:$A$1001,$A367,$B$2:$B$1001,"&lt;"&amp;$B367),_xlfn.MAXIFS($D$2:$D$1001,$A$2:$A$1001,$A367,$B$2:$B$1001,"&lt;="&amp;$B367),$C367)))),"")</f>
        <v/>
      </c>
      <c r="H367" s="15">
        <f>IFERROR(IF(G367="","",IF(INDEX(Accounts!$P$2:$P$11,$F367)="static",INDEX(Accounts!$Q$2:$Q$11,$F367)-INDEX(Accounts!$R$2:$R$11,$F367),IF(INDEX(Accounts!$S$2:$S$11,$F367)="NONE",G367-INDEX(Accounts!$R$2:$R$11,$F367),MIN(G367-INDEX(Accounts!$R$2:$R$11,$F367),INDEX(Accounts!$Q$2:$Q$11,$F367)+INDEX(Accounts!$S$2:$S$11,$F367))))),"")</f>
        <v/>
      </c>
      <c r="I367" s="16">
        <f>IF(AND($A367="",$B367="",$C367="",$D367="",$E367=""),"",IF(OR($A367="",$F367=""),"UNKNOWN_ACCOUNT",IF(OR($B367="",$C367=""),"INCOMPLETE",IFERROR(IF(OR(NOT(ISNUMBER($B367)),NOT(ISNUMBER($C367)),IF(C367="",FALSE,IF(ISNUMBER(C367),OR(C367&lt;=0,C367&gt;100000000,ROUND(C367*100,6)&lt;&gt;INT(ROUND(C367*100,6))),TRUE)),IF(D367="",FALSE,IF(ISNUMBER(D367),OR(D367&lt;=0,D367&gt;100000000,ROUND(D367*100,6)&lt;&gt;INT(ROUND(D367*100,6))),TRUE)),IF(E367="",FALSE,IF(ISNUMBER(E367),OR(E367&lt;=0,E367&gt;100000000,ROUND(E367*100,6)&lt;&gt;INT(ROUND(E367*100,6))),TRUE)),AND($D367&lt;&gt;"",$D367&lt;MAX($C367,$E367)),AND($E367&lt;&gt;"",$E367&gt;MIN($C367,IF($D367="",$C367,$D367))),COUNTIFS($A$2:$A$1001,$A367,$B$2:$B$1001,$B367)&gt;1),"INVALID",IFERROR(IF(IF(INDEX(Accounts!$T$2:$T$11,$F367),ROUND(IF($E367="",$C367,MIN($C367,$E367))-(H367),6)&lt;=0,ROUND(IF($E367="",$C367,MIN($C367,$E367))-(H367),6)&lt;0),"BREACHED","OK"),"INCOMPLETE")),"INVALID"))))</f>
        <v/>
      </c>
      <c r="J367" s="33">
        <f>IF(OR(I367="OK",I367="BREACHED"),-INT(ROUND(-(H367)*100,6))/100,I367)</f>
        <v/>
      </c>
    </row>
    <row r="368" ht="18" customHeight="1">
      <c r="A368" s="9" t="n"/>
      <c r="B368" s="32" t="n"/>
      <c r="C368" s="12" t="n"/>
      <c r="D368" s="12" t="n"/>
      <c r="E368" s="12" t="n"/>
      <c r="F368" s="15">
        <f>IFERROR(MATCH($A368,Accounts!$A$2:$A$11,0),"")</f>
        <v/>
      </c>
      <c r="G368" s="14">
        <f>IFERROR(IF(OR($A368="",$F368=""),"",IF(INDEX(Accounts!$P$2:$P$11,$F368)="static",INDEX(Accounts!$Q$2:$Q$11,$F368),IF(INDEX(Accounts!$P$2:$P$11,$F368)="eod_trailing",MAX(INDEX(Accounts!$Q$2:$Q$11,$F368),_xlfn.MAXIFS($C$2:$C$1001,$A$2:$A$1001,$A368,$B$2:$B$1001,"&lt;"&amp;$B368)),MAX(INDEX(Accounts!$Q$2:$Q$11,$F368),_xlfn.MAXIFS($C$2:$C$1001,$A$2:$A$1001,$A368,$B$2:$B$1001,"&lt;"&amp;$B368),_xlfn.MAXIFS($D$2:$D$1001,$A$2:$A$1001,$A368,$B$2:$B$1001,"&lt;="&amp;$B368),$C368)))),"")</f>
        <v/>
      </c>
      <c r="H368" s="15">
        <f>IFERROR(IF(G368="","",IF(INDEX(Accounts!$P$2:$P$11,$F368)="static",INDEX(Accounts!$Q$2:$Q$11,$F368)-INDEX(Accounts!$R$2:$R$11,$F368),IF(INDEX(Accounts!$S$2:$S$11,$F368)="NONE",G368-INDEX(Accounts!$R$2:$R$11,$F368),MIN(G368-INDEX(Accounts!$R$2:$R$11,$F368),INDEX(Accounts!$Q$2:$Q$11,$F368)+INDEX(Accounts!$S$2:$S$11,$F368))))),"")</f>
        <v/>
      </c>
      <c r="I368" s="16">
        <f>IF(AND($A368="",$B368="",$C368="",$D368="",$E368=""),"",IF(OR($A368="",$F368=""),"UNKNOWN_ACCOUNT",IF(OR($B368="",$C368=""),"INCOMPLETE",IFERROR(IF(OR(NOT(ISNUMBER($B368)),NOT(ISNUMBER($C368)),IF(C368="",FALSE,IF(ISNUMBER(C368),OR(C368&lt;=0,C368&gt;100000000,ROUND(C368*100,6)&lt;&gt;INT(ROUND(C368*100,6))),TRUE)),IF(D368="",FALSE,IF(ISNUMBER(D368),OR(D368&lt;=0,D368&gt;100000000,ROUND(D368*100,6)&lt;&gt;INT(ROUND(D368*100,6))),TRUE)),IF(E368="",FALSE,IF(ISNUMBER(E368),OR(E368&lt;=0,E368&gt;100000000,ROUND(E368*100,6)&lt;&gt;INT(ROUND(E368*100,6))),TRUE)),AND($D368&lt;&gt;"",$D368&lt;MAX($C368,$E368)),AND($E368&lt;&gt;"",$E368&gt;MIN($C368,IF($D368="",$C368,$D368))),COUNTIFS($A$2:$A$1001,$A368,$B$2:$B$1001,$B368)&gt;1),"INVALID",IFERROR(IF(IF(INDEX(Accounts!$T$2:$T$11,$F368),ROUND(IF($E368="",$C368,MIN($C368,$E368))-(H368),6)&lt;=0,ROUND(IF($E368="",$C368,MIN($C368,$E368))-(H368),6)&lt;0),"BREACHED","OK"),"INCOMPLETE")),"INVALID"))))</f>
        <v/>
      </c>
      <c r="J368" s="33">
        <f>IF(OR(I368="OK",I368="BREACHED"),-INT(ROUND(-(H368)*100,6))/100,I368)</f>
        <v/>
      </c>
    </row>
    <row r="369" ht="18" customHeight="1">
      <c r="A369" s="9" t="n"/>
      <c r="B369" s="32" t="n"/>
      <c r="C369" s="12" t="n"/>
      <c r="D369" s="12" t="n"/>
      <c r="E369" s="12" t="n"/>
      <c r="F369" s="15">
        <f>IFERROR(MATCH($A369,Accounts!$A$2:$A$11,0),"")</f>
        <v/>
      </c>
      <c r="G369" s="14">
        <f>IFERROR(IF(OR($A369="",$F369=""),"",IF(INDEX(Accounts!$P$2:$P$11,$F369)="static",INDEX(Accounts!$Q$2:$Q$11,$F369),IF(INDEX(Accounts!$P$2:$P$11,$F369)="eod_trailing",MAX(INDEX(Accounts!$Q$2:$Q$11,$F369),_xlfn.MAXIFS($C$2:$C$1001,$A$2:$A$1001,$A369,$B$2:$B$1001,"&lt;"&amp;$B369)),MAX(INDEX(Accounts!$Q$2:$Q$11,$F369),_xlfn.MAXIFS($C$2:$C$1001,$A$2:$A$1001,$A369,$B$2:$B$1001,"&lt;"&amp;$B369),_xlfn.MAXIFS($D$2:$D$1001,$A$2:$A$1001,$A369,$B$2:$B$1001,"&lt;="&amp;$B369),$C369)))),"")</f>
        <v/>
      </c>
      <c r="H369" s="15">
        <f>IFERROR(IF(G369="","",IF(INDEX(Accounts!$P$2:$P$11,$F369)="static",INDEX(Accounts!$Q$2:$Q$11,$F369)-INDEX(Accounts!$R$2:$R$11,$F369),IF(INDEX(Accounts!$S$2:$S$11,$F369)="NONE",G369-INDEX(Accounts!$R$2:$R$11,$F369),MIN(G369-INDEX(Accounts!$R$2:$R$11,$F369),INDEX(Accounts!$Q$2:$Q$11,$F369)+INDEX(Accounts!$S$2:$S$11,$F369))))),"")</f>
        <v/>
      </c>
      <c r="I369" s="16">
        <f>IF(AND($A369="",$B369="",$C369="",$D369="",$E369=""),"",IF(OR($A369="",$F369=""),"UNKNOWN_ACCOUNT",IF(OR($B369="",$C369=""),"INCOMPLETE",IFERROR(IF(OR(NOT(ISNUMBER($B369)),NOT(ISNUMBER($C369)),IF(C369="",FALSE,IF(ISNUMBER(C369),OR(C369&lt;=0,C369&gt;100000000,ROUND(C369*100,6)&lt;&gt;INT(ROUND(C369*100,6))),TRUE)),IF(D369="",FALSE,IF(ISNUMBER(D369),OR(D369&lt;=0,D369&gt;100000000,ROUND(D369*100,6)&lt;&gt;INT(ROUND(D369*100,6))),TRUE)),IF(E369="",FALSE,IF(ISNUMBER(E369),OR(E369&lt;=0,E369&gt;100000000,ROUND(E369*100,6)&lt;&gt;INT(ROUND(E369*100,6))),TRUE)),AND($D369&lt;&gt;"",$D369&lt;MAX($C369,$E369)),AND($E369&lt;&gt;"",$E369&gt;MIN($C369,IF($D369="",$C369,$D369))),COUNTIFS($A$2:$A$1001,$A369,$B$2:$B$1001,$B369)&gt;1),"INVALID",IFERROR(IF(IF(INDEX(Accounts!$T$2:$T$11,$F369),ROUND(IF($E369="",$C369,MIN($C369,$E369))-(H369),6)&lt;=0,ROUND(IF($E369="",$C369,MIN($C369,$E369))-(H369),6)&lt;0),"BREACHED","OK"),"INCOMPLETE")),"INVALID"))))</f>
        <v/>
      </c>
      <c r="J369" s="33">
        <f>IF(OR(I369="OK",I369="BREACHED"),-INT(ROUND(-(H369)*100,6))/100,I369)</f>
        <v/>
      </c>
    </row>
    <row r="370" ht="18" customHeight="1">
      <c r="A370" s="9" t="n"/>
      <c r="B370" s="32" t="n"/>
      <c r="C370" s="12" t="n"/>
      <c r="D370" s="12" t="n"/>
      <c r="E370" s="12" t="n"/>
      <c r="F370" s="15">
        <f>IFERROR(MATCH($A370,Accounts!$A$2:$A$11,0),"")</f>
        <v/>
      </c>
      <c r="G370" s="14">
        <f>IFERROR(IF(OR($A370="",$F370=""),"",IF(INDEX(Accounts!$P$2:$P$11,$F370)="static",INDEX(Accounts!$Q$2:$Q$11,$F370),IF(INDEX(Accounts!$P$2:$P$11,$F370)="eod_trailing",MAX(INDEX(Accounts!$Q$2:$Q$11,$F370),_xlfn.MAXIFS($C$2:$C$1001,$A$2:$A$1001,$A370,$B$2:$B$1001,"&lt;"&amp;$B370)),MAX(INDEX(Accounts!$Q$2:$Q$11,$F370),_xlfn.MAXIFS($C$2:$C$1001,$A$2:$A$1001,$A370,$B$2:$B$1001,"&lt;"&amp;$B370),_xlfn.MAXIFS($D$2:$D$1001,$A$2:$A$1001,$A370,$B$2:$B$1001,"&lt;="&amp;$B370),$C370)))),"")</f>
        <v/>
      </c>
      <c r="H370" s="15">
        <f>IFERROR(IF(G370="","",IF(INDEX(Accounts!$P$2:$P$11,$F370)="static",INDEX(Accounts!$Q$2:$Q$11,$F370)-INDEX(Accounts!$R$2:$R$11,$F370),IF(INDEX(Accounts!$S$2:$S$11,$F370)="NONE",G370-INDEX(Accounts!$R$2:$R$11,$F370),MIN(G370-INDEX(Accounts!$R$2:$R$11,$F370),INDEX(Accounts!$Q$2:$Q$11,$F370)+INDEX(Accounts!$S$2:$S$11,$F370))))),"")</f>
        <v/>
      </c>
      <c r="I370" s="16">
        <f>IF(AND($A370="",$B370="",$C370="",$D370="",$E370=""),"",IF(OR($A370="",$F370=""),"UNKNOWN_ACCOUNT",IF(OR($B370="",$C370=""),"INCOMPLETE",IFERROR(IF(OR(NOT(ISNUMBER($B370)),NOT(ISNUMBER($C370)),IF(C370="",FALSE,IF(ISNUMBER(C370),OR(C370&lt;=0,C370&gt;100000000,ROUND(C370*100,6)&lt;&gt;INT(ROUND(C370*100,6))),TRUE)),IF(D370="",FALSE,IF(ISNUMBER(D370),OR(D370&lt;=0,D370&gt;100000000,ROUND(D370*100,6)&lt;&gt;INT(ROUND(D370*100,6))),TRUE)),IF(E370="",FALSE,IF(ISNUMBER(E370),OR(E370&lt;=0,E370&gt;100000000,ROUND(E370*100,6)&lt;&gt;INT(ROUND(E370*100,6))),TRUE)),AND($D370&lt;&gt;"",$D370&lt;MAX($C370,$E370)),AND($E370&lt;&gt;"",$E370&gt;MIN($C370,IF($D370="",$C370,$D370))),COUNTIFS($A$2:$A$1001,$A370,$B$2:$B$1001,$B370)&gt;1),"INVALID",IFERROR(IF(IF(INDEX(Accounts!$T$2:$T$11,$F370),ROUND(IF($E370="",$C370,MIN($C370,$E370))-(H370),6)&lt;=0,ROUND(IF($E370="",$C370,MIN($C370,$E370))-(H370),6)&lt;0),"BREACHED","OK"),"INCOMPLETE")),"INVALID"))))</f>
        <v/>
      </c>
      <c r="J370" s="33">
        <f>IF(OR(I370="OK",I370="BREACHED"),-INT(ROUND(-(H370)*100,6))/100,I370)</f>
        <v/>
      </c>
    </row>
    <row r="371" ht="18" customHeight="1">
      <c r="A371" s="9" t="n"/>
      <c r="B371" s="32" t="n"/>
      <c r="C371" s="12" t="n"/>
      <c r="D371" s="12" t="n"/>
      <c r="E371" s="12" t="n"/>
      <c r="F371" s="15">
        <f>IFERROR(MATCH($A371,Accounts!$A$2:$A$11,0),"")</f>
        <v/>
      </c>
      <c r="G371" s="14">
        <f>IFERROR(IF(OR($A371="",$F371=""),"",IF(INDEX(Accounts!$P$2:$P$11,$F371)="static",INDEX(Accounts!$Q$2:$Q$11,$F371),IF(INDEX(Accounts!$P$2:$P$11,$F371)="eod_trailing",MAX(INDEX(Accounts!$Q$2:$Q$11,$F371),_xlfn.MAXIFS($C$2:$C$1001,$A$2:$A$1001,$A371,$B$2:$B$1001,"&lt;"&amp;$B371)),MAX(INDEX(Accounts!$Q$2:$Q$11,$F371),_xlfn.MAXIFS($C$2:$C$1001,$A$2:$A$1001,$A371,$B$2:$B$1001,"&lt;"&amp;$B371),_xlfn.MAXIFS($D$2:$D$1001,$A$2:$A$1001,$A371,$B$2:$B$1001,"&lt;="&amp;$B371),$C371)))),"")</f>
        <v/>
      </c>
      <c r="H371" s="15">
        <f>IFERROR(IF(G371="","",IF(INDEX(Accounts!$P$2:$P$11,$F371)="static",INDEX(Accounts!$Q$2:$Q$11,$F371)-INDEX(Accounts!$R$2:$R$11,$F371),IF(INDEX(Accounts!$S$2:$S$11,$F371)="NONE",G371-INDEX(Accounts!$R$2:$R$11,$F371),MIN(G371-INDEX(Accounts!$R$2:$R$11,$F371),INDEX(Accounts!$Q$2:$Q$11,$F371)+INDEX(Accounts!$S$2:$S$11,$F371))))),"")</f>
        <v/>
      </c>
      <c r="I371" s="16">
        <f>IF(AND($A371="",$B371="",$C371="",$D371="",$E371=""),"",IF(OR($A371="",$F371=""),"UNKNOWN_ACCOUNT",IF(OR($B371="",$C371=""),"INCOMPLETE",IFERROR(IF(OR(NOT(ISNUMBER($B371)),NOT(ISNUMBER($C371)),IF(C371="",FALSE,IF(ISNUMBER(C371),OR(C371&lt;=0,C371&gt;100000000,ROUND(C371*100,6)&lt;&gt;INT(ROUND(C371*100,6))),TRUE)),IF(D371="",FALSE,IF(ISNUMBER(D371),OR(D371&lt;=0,D371&gt;100000000,ROUND(D371*100,6)&lt;&gt;INT(ROUND(D371*100,6))),TRUE)),IF(E371="",FALSE,IF(ISNUMBER(E371),OR(E371&lt;=0,E371&gt;100000000,ROUND(E371*100,6)&lt;&gt;INT(ROUND(E371*100,6))),TRUE)),AND($D371&lt;&gt;"",$D371&lt;MAX($C371,$E371)),AND($E371&lt;&gt;"",$E371&gt;MIN($C371,IF($D371="",$C371,$D371))),COUNTIFS($A$2:$A$1001,$A371,$B$2:$B$1001,$B371)&gt;1),"INVALID",IFERROR(IF(IF(INDEX(Accounts!$T$2:$T$11,$F371),ROUND(IF($E371="",$C371,MIN($C371,$E371))-(H371),6)&lt;=0,ROUND(IF($E371="",$C371,MIN($C371,$E371))-(H371),6)&lt;0),"BREACHED","OK"),"INCOMPLETE")),"INVALID"))))</f>
        <v/>
      </c>
      <c r="J371" s="33">
        <f>IF(OR(I371="OK",I371="BREACHED"),-INT(ROUND(-(H371)*100,6))/100,I371)</f>
        <v/>
      </c>
    </row>
    <row r="372" ht="18" customHeight="1">
      <c r="A372" s="9" t="n"/>
      <c r="B372" s="32" t="n"/>
      <c r="C372" s="12" t="n"/>
      <c r="D372" s="12" t="n"/>
      <c r="E372" s="12" t="n"/>
      <c r="F372" s="15">
        <f>IFERROR(MATCH($A372,Accounts!$A$2:$A$11,0),"")</f>
        <v/>
      </c>
      <c r="G372" s="14">
        <f>IFERROR(IF(OR($A372="",$F372=""),"",IF(INDEX(Accounts!$P$2:$P$11,$F372)="static",INDEX(Accounts!$Q$2:$Q$11,$F372),IF(INDEX(Accounts!$P$2:$P$11,$F372)="eod_trailing",MAX(INDEX(Accounts!$Q$2:$Q$11,$F372),_xlfn.MAXIFS($C$2:$C$1001,$A$2:$A$1001,$A372,$B$2:$B$1001,"&lt;"&amp;$B372)),MAX(INDEX(Accounts!$Q$2:$Q$11,$F372),_xlfn.MAXIFS($C$2:$C$1001,$A$2:$A$1001,$A372,$B$2:$B$1001,"&lt;"&amp;$B372),_xlfn.MAXIFS($D$2:$D$1001,$A$2:$A$1001,$A372,$B$2:$B$1001,"&lt;="&amp;$B372),$C372)))),"")</f>
        <v/>
      </c>
      <c r="H372" s="15">
        <f>IFERROR(IF(G372="","",IF(INDEX(Accounts!$P$2:$P$11,$F372)="static",INDEX(Accounts!$Q$2:$Q$11,$F372)-INDEX(Accounts!$R$2:$R$11,$F372),IF(INDEX(Accounts!$S$2:$S$11,$F372)="NONE",G372-INDEX(Accounts!$R$2:$R$11,$F372),MIN(G372-INDEX(Accounts!$R$2:$R$11,$F372),INDEX(Accounts!$Q$2:$Q$11,$F372)+INDEX(Accounts!$S$2:$S$11,$F372))))),"")</f>
        <v/>
      </c>
      <c r="I372" s="16">
        <f>IF(AND($A372="",$B372="",$C372="",$D372="",$E372=""),"",IF(OR($A372="",$F372=""),"UNKNOWN_ACCOUNT",IF(OR($B372="",$C372=""),"INCOMPLETE",IFERROR(IF(OR(NOT(ISNUMBER($B372)),NOT(ISNUMBER($C372)),IF(C372="",FALSE,IF(ISNUMBER(C372),OR(C372&lt;=0,C372&gt;100000000,ROUND(C372*100,6)&lt;&gt;INT(ROUND(C372*100,6))),TRUE)),IF(D372="",FALSE,IF(ISNUMBER(D372),OR(D372&lt;=0,D372&gt;100000000,ROUND(D372*100,6)&lt;&gt;INT(ROUND(D372*100,6))),TRUE)),IF(E372="",FALSE,IF(ISNUMBER(E372),OR(E372&lt;=0,E372&gt;100000000,ROUND(E372*100,6)&lt;&gt;INT(ROUND(E372*100,6))),TRUE)),AND($D372&lt;&gt;"",$D372&lt;MAX($C372,$E372)),AND($E372&lt;&gt;"",$E372&gt;MIN($C372,IF($D372="",$C372,$D372))),COUNTIFS($A$2:$A$1001,$A372,$B$2:$B$1001,$B372)&gt;1),"INVALID",IFERROR(IF(IF(INDEX(Accounts!$T$2:$T$11,$F372),ROUND(IF($E372="",$C372,MIN($C372,$E372))-(H372),6)&lt;=0,ROUND(IF($E372="",$C372,MIN($C372,$E372))-(H372),6)&lt;0),"BREACHED","OK"),"INCOMPLETE")),"INVALID"))))</f>
        <v/>
      </c>
      <c r="J372" s="33">
        <f>IF(OR(I372="OK",I372="BREACHED"),-INT(ROUND(-(H372)*100,6))/100,I372)</f>
        <v/>
      </c>
    </row>
    <row r="373" ht="18" customHeight="1">
      <c r="A373" s="9" t="n"/>
      <c r="B373" s="32" t="n"/>
      <c r="C373" s="12" t="n"/>
      <c r="D373" s="12" t="n"/>
      <c r="E373" s="12" t="n"/>
      <c r="F373" s="15">
        <f>IFERROR(MATCH($A373,Accounts!$A$2:$A$11,0),"")</f>
        <v/>
      </c>
      <c r="G373" s="14">
        <f>IFERROR(IF(OR($A373="",$F373=""),"",IF(INDEX(Accounts!$P$2:$P$11,$F373)="static",INDEX(Accounts!$Q$2:$Q$11,$F373),IF(INDEX(Accounts!$P$2:$P$11,$F373)="eod_trailing",MAX(INDEX(Accounts!$Q$2:$Q$11,$F373),_xlfn.MAXIFS($C$2:$C$1001,$A$2:$A$1001,$A373,$B$2:$B$1001,"&lt;"&amp;$B373)),MAX(INDEX(Accounts!$Q$2:$Q$11,$F373),_xlfn.MAXIFS($C$2:$C$1001,$A$2:$A$1001,$A373,$B$2:$B$1001,"&lt;"&amp;$B373),_xlfn.MAXIFS($D$2:$D$1001,$A$2:$A$1001,$A373,$B$2:$B$1001,"&lt;="&amp;$B373),$C373)))),"")</f>
        <v/>
      </c>
      <c r="H373" s="15">
        <f>IFERROR(IF(G373="","",IF(INDEX(Accounts!$P$2:$P$11,$F373)="static",INDEX(Accounts!$Q$2:$Q$11,$F373)-INDEX(Accounts!$R$2:$R$11,$F373),IF(INDEX(Accounts!$S$2:$S$11,$F373)="NONE",G373-INDEX(Accounts!$R$2:$R$11,$F373),MIN(G373-INDEX(Accounts!$R$2:$R$11,$F373),INDEX(Accounts!$Q$2:$Q$11,$F373)+INDEX(Accounts!$S$2:$S$11,$F373))))),"")</f>
        <v/>
      </c>
      <c r="I373" s="16">
        <f>IF(AND($A373="",$B373="",$C373="",$D373="",$E373=""),"",IF(OR($A373="",$F373=""),"UNKNOWN_ACCOUNT",IF(OR($B373="",$C373=""),"INCOMPLETE",IFERROR(IF(OR(NOT(ISNUMBER($B373)),NOT(ISNUMBER($C373)),IF(C373="",FALSE,IF(ISNUMBER(C373),OR(C373&lt;=0,C373&gt;100000000,ROUND(C373*100,6)&lt;&gt;INT(ROUND(C373*100,6))),TRUE)),IF(D373="",FALSE,IF(ISNUMBER(D373),OR(D373&lt;=0,D373&gt;100000000,ROUND(D373*100,6)&lt;&gt;INT(ROUND(D373*100,6))),TRUE)),IF(E373="",FALSE,IF(ISNUMBER(E373),OR(E373&lt;=0,E373&gt;100000000,ROUND(E373*100,6)&lt;&gt;INT(ROUND(E373*100,6))),TRUE)),AND($D373&lt;&gt;"",$D373&lt;MAX($C373,$E373)),AND($E373&lt;&gt;"",$E373&gt;MIN($C373,IF($D373="",$C373,$D373))),COUNTIFS($A$2:$A$1001,$A373,$B$2:$B$1001,$B373)&gt;1),"INVALID",IFERROR(IF(IF(INDEX(Accounts!$T$2:$T$11,$F373),ROUND(IF($E373="",$C373,MIN($C373,$E373))-(H373),6)&lt;=0,ROUND(IF($E373="",$C373,MIN($C373,$E373))-(H373),6)&lt;0),"BREACHED","OK"),"INCOMPLETE")),"INVALID"))))</f>
        <v/>
      </c>
      <c r="J373" s="33">
        <f>IF(OR(I373="OK",I373="BREACHED"),-INT(ROUND(-(H373)*100,6))/100,I373)</f>
        <v/>
      </c>
    </row>
    <row r="374" ht="18" customHeight="1">
      <c r="A374" s="9" t="n"/>
      <c r="B374" s="32" t="n"/>
      <c r="C374" s="12" t="n"/>
      <c r="D374" s="12" t="n"/>
      <c r="E374" s="12" t="n"/>
      <c r="F374" s="15">
        <f>IFERROR(MATCH($A374,Accounts!$A$2:$A$11,0),"")</f>
        <v/>
      </c>
      <c r="G374" s="14">
        <f>IFERROR(IF(OR($A374="",$F374=""),"",IF(INDEX(Accounts!$P$2:$P$11,$F374)="static",INDEX(Accounts!$Q$2:$Q$11,$F374),IF(INDEX(Accounts!$P$2:$P$11,$F374)="eod_trailing",MAX(INDEX(Accounts!$Q$2:$Q$11,$F374),_xlfn.MAXIFS($C$2:$C$1001,$A$2:$A$1001,$A374,$B$2:$B$1001,"&lt;"&amp;$B374)),MAX(INDEX(Accounts!$Q$2:$Q$11,$F374),_xlfn.MAXIFS($C$2:$C$1001,$A$2:$A$1001,$A374,$B$2:$B$1001,"&lt;"&amp;$B374),_xlfn.MAXIFS($D$2:$D$1001,$A$2:$A$1001,$A374,$B$2:$B$1001,"&lt;="&amp;$B374),$C374)))),"")</f>
        <v/>
      </c>
      <c r="H374" s="15">
        <f>IFERROR(IF(G374="","",IF(INDEX(Accounts!$P$2:$P$11,$F374)="static",INDEX(Accounts!$Q$2:$Q$11,$F374)-INDEX(Accounts!$R$2:$R$11,$F374),IF(INDEX(Accounts!$S$2:$S$11,$F374)="NONE",G374-INDEX(Accounts!$R$2:$R$11,$F374),MIN(G374-INDEX(Accounts!$R$2:$R$11,$F374),INDEX(Accounts!$Q$2:$Q$11,$F374)+INDEX(Accounts!$S$2:$S$11,$F374))))),"")</f>
        <v/>
      </c>
      <c r="I374" s="16">
        <f>IF(AND($A374="",$B374="",$C374="",$D374="",$E374=""),"",IF(OR($A374="",$F374=""),"UNKNOWN_ACCOUNT",IF(OR($B374="",$C374=""),"INCOMPLETE",IFERROR(IF(OR(NOT(ISNUMBER($B374)),NOT(ISNUMBER($C374)),IF(C374="",FALSE,IF(ISNUMBER(C374),OR(C374&lt;=0,C374&gt;100000000,ROUND(C374*100,6)&lt;&gt;INT(ROUND(C374*100,6))),TRUE)),IF(D374="",FALSE,IF(ISNUMBER(D374),OR(D374&lt;=0,D374&gt;100000000,ROUND(D374*100,6)&lt;&gt;INT(ROUND(D374*100,6))),TRUE)),IF(E374="",FALSE,IF(ISNUMBER(E374),OR(E374&lt;=0,E374&gt;100000000,ROUND(E374*100,6)&lt;&gt;INT(ROUND(E374*100,6))),TRUE)),AND($D374&lt;&gt;"",$D374&lt;MAX($C374,$E374)),AND($E374&lt;&gt;"",$E374&gt;MIN($C374,IF($D374="",$C374,$D374))),COUNTIFS($A$2:$A$1001,$A374,$B$2:$B$1001,$B374)&gt;1),"INVALID",IFERROR(IF(IF(INDEX(Accounts!$T$2:$T$11,$F374),ROUND(IF($E374="",$C374,MIN($C374,$E374))-(H374),6)&lt;=0,ROUND(IF($E374="",$C374,MIN($C374,$E374))-(H374),6)&lt;0),"BREACHED","OK"),"INCOMPLETE")),"INVALID"))))</f>
        <v/>
      </c>
      <c r="J374" s="33">
        <f>IF(OR(I374="OK",I374="BREACHED"),-INT(ROUND(-(H374)*100,6))/100,I374)</f>
        <v/>
      </c>
    </row>
    <row r="375" ht="18" customHeight="1">
      <c r="A375" s="9" t="n"/>
      <c r="B375" s="32" t="n"/>
      <c r="C375" s="12" t="n"/>
      <c r="D375" s="12" t="n"/>
      <c r="E375" s="12" t="n"/>
      <c r="F375" s="15">
        <f>IFERROR(MATCH($A375,Accounts!$A$2:$A$11,0),"")</f>
        <v/>
      </c>
      <c r="G375" s="14">
        <f>IFERROR(IF(OR($A375="",$F375=""),"",IF(INDEX(Accounts!$P$2:$P$11,$F375)="static",INDEX(Accounts!$Q$2:$Q$11,$F375),IF(INDEX(Accounts!$P$2:$P$11,$F375)="eod_trailing",MAX(INDEX(Accounts!$Q$2:$Q$11,$F375),_xlfn.MAXIFS($C$2:$C$1001,$A$2:$A$1001,$A375,$B$2:$B$1001,"&lt;"&amp;$B375)),MAX(INDEX(Accounts!$Q$2:$Q$11,$F375),_xlfn.MAXIFS($C$2:$C$1001,$A$2:$A$1001,$A375,$B$2:$B$1001,"&lt;"&amp;$B375),_xlfn.MAXIFS($D$2:$D$1001,$A$2:$A$1001,$A375,$B$2:$B$1001,"&lt;="&amp;$B375),$C375)))),"")</f>
        <v/>
      </c>
      <c r="H375" s="15">
        <f>IFERROR(IF(G375="","",IF(INDEX(Accounts!$P$2:$P$11,$F375)="static",INDEX(Accounts!$Q$2:$Q$11,$F375)-INDEX(Accounts!$R$2:$R$11,$F375),IF(INDEX(Accounts!$S$2:$S$11,$F375)="NONE",G375-INDEX(Accounts!$R$2:$R$11,$F375),MIN(G375-INDEX(Accounts!$R$2:$R$11,$F375),INDEX(Accounts!$Q$2:$Q$11,$F375)+INDEX(Accounts!$S$2:$S$11,$F375))))),"")</f>
        <v/>
      </c>
      <c r="I375" s="16">
        <f>IF(AND($A375="",$B375="",$C375="",$D375="",$E375=""),"",IF(OR($A375="",$F375=""),"UNKNOWN_ACCOUNT",IF(OR($B375="",$C375=""),"INCOMPLETE",IFERROR(IF(OR(NOT(ISNUMBER($B375)),NOT(ISNUMBER($C375)),IF(C375="",FALSE,IF(ISNUMBER(C375),OR(C375&lt;=0,C375&gt;100000000,ROUND(C375*100,6)&lt;&gt;INT(ROUND(C375*100,6))),TRUE)),IF(D375="",FALSE,IF(ISNUMBER(D375),OR(D375&lt;=0,D375&gt;100000000,ROUND(D375*100,6)&lt;&gt;INT(ROUND(D375*100,6))),TRUE)),IF(E375="",FALSE,IF(ISNUMBER(E375),OR(E375&lt;=0,E375&gt;100000000,ROUND(E375*100,6)&lt;&gt;INT(ROUND(E375*100,6))),TRUE)),AND($D375&lt;&gt;"",$D375&lt;MAX($C375,$E375)),AND($E375&lt;&gt;"",$E375&gt;MIN($C375,IF($D375="",$C375,$D375))),COUNTIFS($A$2:$A$1001,$A375,$B$2:$B$1001,$B375)&gt;1),"INVALID",IFERROR(IF(IF(INDEX(Accounts!$T$2:$T$11,$F375),ROUND(IF($E375="",$C375,MIN($C375,$E375))-(H375),6)&lt;=0,ROUND(IF($E375="",$C375,MIN($C375,$E375))-(H375),6)&lt;0),"BREACHED","OK"),"INCOMPLETE")),"INVALID"))))</f>
        <v/>
      </c>
      <c r="J375" s="33">
        <f>IF(OR(I375="OK",I375="BREACHED"),-INT(ROUND(-(H375)*100,6))/100,I375)</f>
        <v/>
      </c>
    </row>
    <row r="376" ht="18" customHeight="1">
      <c r="A376" s="9" t="n"/>
      <c r="B376" s="32" t="n"/>
      <c r="C376" s="12" t="n"/>
      <c r="D376" s="12" t="n"/>
      <c r="E376" s="12" t="n"/>
      <c r="F376" s="15">
        <f>IFERROR(MATCH($A376,Accounts!$A$2:$A$11,0),"")</f>
        <v/>
      </c>
      <c r="G376" s="14">
        <f>IFERROR(IF(OR($A376="",$F376=""),"",IF(INDEX(Accounts!$P$2:$P$11,$F376)="static",INDEX(Accounts!$Q$2:$Q$11,$F376),IF(INDEX(Accounts!$P$2:$P$11,$F376)="eod_trailing",MAX(INDEX(Accounts!$Q$2:$Q$11,$F376),_xlfn.MAXIFS($C$2:$C$1001,$A$2:$A$1001,$A376,$B$2:$B$1001,"&lt;"&amp;$B376)),MAX(INDEX(Accounts!$Q$2:$Q$11,$F376),_xlfn.MAXIFS($C$2:$C$1001,$A$2:$A$1001,$A376,$B$2:$B$1001,"&lt;"&amp;$B376),_xlfn.MAXIFS($D$2:$D$1001,$A$2:$A$1001,$A376,$B$2:$B$1001,"&lt;="&amp;$B376),$C376)))),"")</f>
        <v/>
      </c>
      <c r="H376" s="15">
        <f>IFERROR(IF(G376="","",IF(INDEX(Accounts!$P$2:$P$11,$F376)="static",INDEX(Accounts!$Q$2:$Q$11,$F376)-INDEX(Accounts!$R$2:$R$11,$F376),IF(INDEX(Accounts!$S$2:$S$11,$F376)="NONE",G376-INDEX(Accounts!$R$2:$R$11,$F376),MIN(G376-INDEX(Accounts!$R$2:$R$11,$F376),INDEX(Accounts!$Q$2:$Q$11,$F376)+INDEX(Accounts!$S$2:$S$11,$F376))))),"")</f>
        <v/>
      </c>
      <c r="I376" s="16">
        <f>IF(AND($A376="",$B376="",$C376="",$D376="",$E376=""),"",IF(OR($A376="",$F376=""),"UNKNOWN_ACCOUNT",IF(OR($B376="",$C376=""),"INCOMPLETE",IFERROR(IF(OR(NOT(ISNUMBER($B376)),NOT(ISNUMBER($C376)),IF(C376="",FALSE,IF(ISNUMBER(C376),OR(C376&lt;=0,C376&gt;100000000,ROUND(C376*100,6)&lt;&gt;INT(ROUND(C376*100,6))),TRUE)),IF(D376="",FALSE,IF(ISNUMBER(D376),OR(D376&lt;=0,D376&gt;100000000,ROUND(D376*100,6)&lt;&gt;INT(ROUND(D376*100,6))),TRUE)),IF(E376="",FALSE,IF(ISNUMBER(E376),OR(E376&lt;=0,E376&gt;100000000,ROUND(E376*100,6)&lt;&gt;INT(ROUND(E376*100,6))),TRUE)),AND($D376&lt;&gt;"",$D376&lt;MAX($C376,$E376)),AND($E376&lt;&gt;"",$E376&gt;MIN($C376,IF($D376="",$C376,$D376))),COUNTIFS($A$2:$A$1001,$A376,$B$2:$B$1001,$B376)&gt;1),"INVALID",IFERROR(IF(IF(INDEX(Accounts!$T$2:$T$11,$F376),ROUND(IF($E376="",$C376,MIN($C376,$E376))-(H376),6)&lt;=0,ROUND(IF($E376="",$C376,MIN($C376,$E376))-(H376),6)&lt;0),"BREACHED","OK"),"INCOMPLETE")),"INVALID"))))</f>
        <v/>
      </c>
      <c r="J376" s="33">
        <f>IF(OR(I376="OK",I376="BREACHED"),-INT(ROUND(-(H376)*100,6))/100,I376)</f>
        <v/>
      </c>
    </row>
    <row r="377" ht="18" customHeight="1">
      <c r="A377" s="9" t="n"/>
      <c r="B377" s="32" t="n"/>
      <c r="C377" s="12" t="n"/>
      <c r="D377" s="12" t="n"/>
      <c r="E377" s="12" t="n"/>
      <c r="F377" s="15">
        <f>IFERROR(MATCH($A377,Accounts!$A$2:$A$11,0),"")</f>
        <v/>
      </c>
      <c r="G377" s="14">
        <f>IFERROR(IF(OR($A377="",$F377=""),"",IF(INDEX(Accounts!$P$2:$P$11,$F377)="static",INDEX(Accounts!$Q$2:$Q$11,$F377),IF(INDEX(Accounts!$P$2:$P$11,$F377)="eod_trailing",MAX(INDEX(Accounts!$Q$2:$Q$11,$F377),_xlfn.MAXIFS($C$2:$C$1001,$A$2:$A$1001,$A377,$B$2:$B$1001,"&lt;"&amp;$B377)),MAX(INDEX(Accounts!$Q$2:$Q$11,$F377),_xlfn.MAXIFS($C$2:$C$1001,$A$2:$A$1001,$A377,$B$2:$B$1001,"&lt;"&amp;$B377),_xlfn.MAXIFS($D$2:$D$1001,$A$2:$A$1001,$A377,$B$2:$B$1001,"&lt;="&amp;$B377),$C377)))),"")</f>
        <v/>
      </c>
      <c r="H377" s="15">
        <f>IFERROR(IF(G377="","",IF(INDEX(Accounts!$P$2:$P$11,$F377)="static",INDEX(Accounts!$Q$2:$Q$11,$F377)-INDEX(Accounts!$R$2:$R$11,$F377),IF(INDEX(Accounts!$S$2:$S$11,$F377)="NONE",G377-INDEX(Accounts!$R$2:$R$11,$F377),MIN(G377-INDEX(Accounts!$R$2:$R$11,$F377),INDEX(Accounts!$Q$2:$Q$11,$F377)+INDEX(Accounts!$S$2:$S$11,$F377))))),"")</f>
        <v/>
      </c>
      <c r="I377" s="16">
        <f>IF(AND($A377="",$B377="",$C377="",$D377="",$E377=""),"",IF(OR($A377="",$F377=""),"UNKNOWN_ACCOUNT",IF(OR($B377="",$C377=""),"INCOMPLETE",IFERROR(IF(OR(NOT(ISNUMBER($B377)),NOT(ISNUMBER($C377)),IF(C377="",FALSE,IF(ISNUMBER(C377),OR(C377&lt;=0,C377&gt;100000000,ROUND(C377*100,6)&lt;&gt;INT(ROUND(C377*100,6))),TRUE)),IF(D377="",FALSE,IF(ISNUMBER(D377),OR(D377&lt;=0,D377&gt;100000000,ROUND(D377*100,6)&lt;&gt;INT(ROUND(D377*100,6))),TRUE)),IF(E377="",FALSE,IF(ISNUMBER(E377),OR(E377&lt;=0,E377&gt;100000000,ROUND(E377*100,6)&lt;&gt;INT(ROUND(E377*100,6))),TRUE)),AND($D377&lt;&gt;"",$D377&lt;MAX($C377,$E377)),AND($E377&lt;&gt;"",$E377&gt;MIN($C377,IF($D377="",$C377,$D377))),COUNTIFS($A$2:$A$1001,$A377,$B$2:$B$1001,$B377)&gt;1),"INVALID",IFERROR(IF(IF(INDEX(Accounts!$T$2:$T$11,$F377),ROUND(IF($E377="",$C377,MIN($C377,$E377))-(H377),6)&lt;=0,ROUND(IF($E377="",$C377,MIN($C377,$E377))-(H377),6)&lt;0),"BREACHED","OK"),"INCOMPLETE")),"INVALID"))))</f>
        <v/>
      </c>
      <c r="J377" s="33">
        <f>IF(OR(I377="OK",I377="BREACHED"),-INT(ROUND(-(H377)*100,6))/100,I377)</f>
        <v/>
      </c>
    </row>
    <row r="378" ht="18" customHeight="1">
      <c r="A378" s="9" t="n"/>
      <c r="B378" s="32" t="n"/>
      <c r="C378" s="12" t="n"/>
      <c r="D378" s="12" t="n"/>
      <c r="E378" s="12" t="n"/>
      <c r="F378" s="15">
        <f>IFERROR(MATCH($A378,Accounts!$A$2:$A$11,0),"")</f>
        <v/>
      </c>
      <c r="G378" s="14">
        <f>IFERROR(IF(OR($A378="",$F378=""),"",IF(INDEX(Accounts!$P$2:$P$11,$F378)="static",INDEX(Accounts!$Q$2:$Q$11,$F378),IF(INDEX(Accounts!$P$2:$P$11,$F378)="eod_trailing",MAX(INDEX(Accounts!$Q$2:$Q$11,$F378),_xlfn.MAXIFS($C$2:$C$1001,$A$2:$A$1001,$A378,$B$2:$B$1001,"&lt;"&amp;$B378)),MAX(INDEX(Accounts!$Q$2:$Q$11,$F378),_xlfn.MAXIFS($C$2:$C$1001,$A$2:$A$1001,$A378,$B$2:$B$1001,"&lt;"&amp;$B378),_xlfn.MAXIFS($D$2:$D$1001,$A$2:$A$1001,$A378,$B$2:$B$1001,"&lt;="&amp;$B378),$C378)))),"")</f>
        <v/>
      </c>
      <c r="H378" s="15">
        <f>IFERROR(IF(G378="","",IF(INDEX(Accounts!$P$2:$P$11,$F378)="static",INDEX(Accounts!$Q$2:$Q$11,$F378)-INDEX(Accounts!$R$2:$R$11,$F378),IF(INDEX(Accounts!$S$2:$S$11,$F378)="NONE",G378-INDEX(Accounts!$R$2:$R$11,$F378),MIN(G378-INDEX(Accounts!$R$2:$R$11,$F378),INDEX(Accounts!$Q$2:$Q$11,$F378)+INDEX(Accounts!$S$2:$S$11,$F378))))),"")</f>
        <v/>
      </c>
      <c r="I378" s="16">
        <f>IF(AND($A378="",$B378="",$C378="",$D378="",$E378=""),"",IF(OR($A378="",$F378=""),"UNKNOWN_ACCOUNT",IF(OR($B378="",$C378=""),"INCOMPLETE",IFERROR(IF(OR(NOT(ISNUMBER($B378)),NOT(ISNUMBER($C378)),IF(C378="",FALSE,IF(ISNUMBER(C378),OR(C378&lt;=0,C378&gt;100000000,ROUND(C378*100,6)&lt;&gt;INT(ROUND(C378*100,6))),TRUE)),IF(D378="",FALSE,IF(ISNUMBER(D378),OR(D378&lt;=0,D378&gt;100000000,ROUND(D378*100,6)&lt;&gt;INT(ROUND(D378*100,6))),TRUE)),IF(E378="",FALSE,IF(ISNUMBER(E378),OR(E378&lt;=0,E378&gt;100000000,ROUND(E378*100,6)&lt;&gt;INT(ROUND(E378*100,6))),TRUE)),AND($D378&lt;&gt;"",$D378&lt;MAX($C378,$E378)),AND($E378&lt;&gt;"",$E378&gt;MIN($C378,IF($D378="",$C378,$D378))),COUNTIFS($A$2:$A$1001,$A378,$B$2:$B$1001,$B378)&gt;1),"INVALID",IFERROR(IF(IF(INDEX(Accounts!$T$2:$T$11,$F378),ROUND(IF($E378="",$C378,MIN($C378,$E378))-(H378),6)&lt;=0,ROUND(IF($E378="",$C378,MIN($C378,$E378))-(H378),6)&lt;0),"BREACHED","OK"),"INCOMPLETE")),"INVALID"))))</f>
        <v/>
      </c>
      <c r="J378" s="33">
        <f>IF(OR(I378="OK",I378="BREACHED"),-INT(ROUND(-(H378)*100,6))/100,I378)</f>
        <v/>
      </c>
    </row>
    <row r="379" ht="18" customHeight="1">
      <c r="A379" s="9" t="n"/>
      <c r="B379" s="32" t="n"/>
      <c r="C379" s="12" t="n"/>
      <c r="D379" s="12" t="n"/>
      <c r="E379" s="12" t="n"/>
      <c r="F379" s="15">
        <f>IFERROR(MATCH($A379,Accounts!$A$2:$A$11,0),"")</f>
        <v/>
      </c>
      <c r="G379" s="14">
        <f>IFERROR(IF(OR($A379="",$F379=""),"",IF(INDEX(Accounts!$P$2:$P$11,$F379)="static",INDEX(Accounts!$Q$2:$Q$11,$F379),IF(INDEX(Accounts!$P$2:$P$11,$F379)="eod_trailing",MAX(INDEX(Accounts!$Q$2:$Q$11,$F379),_xlfn.MAXIFS($C$2:$C$1001,$A$2:$A$1001,$A379,$B$2:$B$1001,"&lt;"&amp;$B379)),MAX(INDEX(Accounts!$Q$2:$Q$11,$F379),_xlfn.MAXIFS($C$2:$C$1001,$A$2:$A$1001,$A379,$B$2:$B$1001,"&lt;"&amp;$B379),_xlfn.MAXIFS($D$2:$D$1001,$A$2:$A$1001,$A379,$B$2:$B$1001,"&lt;="&amp;$B379),$C379)))),"")</f>
        <v/>
      </c>
      <c r="H379" s="15">
        <f>IFERROR(IF(G379="","",IF(INDEX(Accounts!$P$2:$P$11,$F379)="static",INDEX(Accounts!$Q$2:$Q$11,$F379)-INDEX(Accounts!$R$2:$R$11,$F379),IF(INDEX(Accounts!$S$2:$S$11,$F379)="NONE",G379-INDEX(Accounts!$R$2:$R$11,$F379),MIN(G379-INDEX(Accounts!$R$2:$R$11,$F379),INDEX(Accounts!$Q$2:$Q$11,$F379)+INDEX(Accounts!$S$2:$S$11,$F379))))),"")</f>
        <v/>
      </c>
      <c r="I379" s="16">
        <f>IF(AND($A379="",$B379="",$C379="",$D379="",$E379=""),"",IF(OR($A379="",$F379=""),"UNKNOWN_ACCOUNT",IF(OR($B379="",$C379=""),"INCOMPLETE",IFERROR(IF(OR(NOT(ISNUMBER($B379)),NOT(ISNUMBER($C379)),IF(C379="",FALSE,IF(ISNUMBER(C379),OR(C379&lt;=0,C379&gt;100000000,ROUND(C379*100,6)&lt;&gt;INT(ROUND(C379*100,6))),TRUE)),IF(D379="",FALSE,IF(ISNUMBER(D379),OR(D379&lt;=0,D379&gt;100000000,ROUND(D379*100,6)&lt;&gt;INT(ROUND(D379*100,6))),TRUE)),IF(E379="",FALSE,IF(ISNUMBER(E379),OR(E379&lt;=0,E379&gt;100000000,ROUND(E379*100,6)&lt;&gt;INT(ROUND(E379*100,6))),TRUE)),AND($D379&lt;&gt;"",$D379&lt;MAX($C379,$E379)),AND($E379&lt;&gt;"",$E379&gt;MIN($C379,IF($D379="",$C379,$D379))),COUNTIFS($A$2:$A$1001,$A379,$B$2:$B$1001,$B379)&gt;1),"INVALID",IFERROR(IF(IF(INDEX(Accounts!$T$2:$T$11,$F379),ROUND(IF($E379="",$C379,MIN($C379,$E379))-(H379),6)&lt;=0,ROUND(IF($E379="",$C379,MIN($C379,$E379))-(H379),6)&lt;0),"BREACHED","OK"),"INCOMPLETE")),"INVALID"))))</f>
        <v/>
      </c>
      <c r="J379" s="33">
        <f>IF(OR(I379="OK",I379="BREACHED"),-INT(ROUND(-(H379)*100,6))/100,I379)</f>
        <v/>
      </c>
    </row>
    <row r="380" ht="18" customHeight="1">
      <c r="A380" s="9" t="n"/>
      <c r="B380" s="32" t="n"/>
      <c r="C380" s="12" t="n"/>
      <c r="D380" s="12" t="n"/>
      <c r="E380" s="12" t="n"/>
      <c r="F380" s="15">
        <f>IFERROR(MATCH($A380,Accounts!$A$2:$A$11,0),"")</f>
        <v/>
      </c>
      <c r="G380" s="14">
        <f>IFERROR(IF(OR($A380="",$F380=""),"",IF(INDEX(Accounts!$P$2:$P$11,$F380)="static",INDEX(Accounts!$Q$2:$Q$11,$F380),IF(INDEX(Accounts!$P$2:$P$11,$F380)="eod_trailing",MAX(INDEX(Accounts!$Q$2:$Q$11,$F380),_xlfn.MAXIFS($C$2:$C$1001,$A$2:$A$1001,$A380,$B$2:$B$1001,"&lt;"&amp;$B380)),MAX(INDEX(Accounts!$Q$2:$Q$11,$F380),_xlfn.MAXIFS($C$2:$C$1001,$A$2:$A$1001,$A380,$B$2:$B$1001,"&lt;"&amp;$B380),_xlfn.MAXIFS($D$2:$D$1001,$A$2:$A$1001,$A380,$B$2:$B$1001,"&lt;="&amp;$B380),$C380)))),"")</f>
        <v/>
      </c>
      <c r="H380" s="15">
        <f>IFERROR(IF(G380="","",IF(INDEX(Accounts!$P$2:$P$11,$F380)="static",INDEX(Accounts!$Q$2:$Q$11,$F380)-INDEX(Accounts!$R$2:$R$11,$F380),IF(INDEX(Accounts!$S$2:$S$11,$F380)="NONE",G380-INDEX(Accounts!$R$2:$R$11,$F380),MIN(G380-INDEX(Accounts!$R$2:$R$11,$F380),INDEX(Accounts!$Q$2:$Q$11,$F380)+INDEX(Accounts!$S$2:$S$11,$F380))))),"")</f>
        <v/>
      </c>
      <c r="I380" s="16">
        <f>IF(AND($A380="",$B380="",$C380="",$D380="",$E380=""),"",IF(OR($A380="",$F380=""),"UNKNOWN_ACCOUNT",IF(OR($B380="",$C380=""),"INCOMPLETE",IFERROR(IF(OR(NOT(ISNUMBER($B380)),NOT(ISNUMBER($C380)),IF(C380="",FALSE,IF(ISNUMBER(C380),OR(C380&lt;=0,C380&gt;100000000,ROUND(C380*100,6)&lt;&gt;INT(ROUND(C380*100,6))),TRUE)),IF(D380="",FALSE,IF(ISNUMBER(D380),OR(D380&lt;=0,D380&gt;100000000,ROUND(D380*100,6)&lt;&gt;INT(ROUND(D380*100,6))),TRUE)),IF(E380="",FALSE,IF(ISNUMBER(E380),OR(E380&lt;=0,E380&gt;100000000,ROUND(E380*100,6)&lt;&gt;INT(ROUND(E380*100,6))),TRUE)),AND($D380&lt;&gt;"",$D380&lt;MAX($C380,$E380)),AND($E380&lt;&gt;"",$E380&gt;MIN($C380,IF($D380="",$C380,$D380))),COUNTIFS($A$2:$A$1001,$A380,$B$2:$B$1001,$B380)&gt;1),"INVALID",IFERROR(IF(IF(INDEX(Accounts!$T$2:$T$11,$F380),ROUND(IF($E380="",$C380,MIN($C380,$E380))-(H380),6)&lt;=0,ROUND(IF($E380="",$C380,MIN($C380,$E380))-(H380),6)&lt;0),"BREACHED","OK"),"INCOMPLETE")),"INVALID"))))</f>
        <v/>
      </c>
      <c r="J380" s="33">
        <f>IF(OR(I380="OK",I380="BREACHED"),-INT(ROUND(-(H380)*100,6))/100,I380)</f>
        <v/>
      </c>
    </row>
    <row r="381" ht="18" customHeight="1">
      <c r="A381" s="9" t="n"/>
      <c r="B381" s="32" t="n"/>
      <c r="C381" s="12" t="n"/>
      <c r="D381" s="12" t="n"/>
      <c r="E381" s="12" t="n"/>
      <c r="F381" s="15">
        <f>IFERROR(MATCH($A381,Accounts!$A$2:$A$11,0),"")</f>
        <v/>
      </c>
      <c r="G381" s="14">
        <f>IFERROR(IF(OR($A381="",$F381=""),"",IF(INDEX(Accounts!$P$2:$P$11,$F381)="static",INDEX(Accounts!$Q$2:$Q$11,$F381),IF(INDEX(Accounts!$P$2:$P$11,$F381)="eod_trailing",MAX(INDEX(Accounts!$Q$2:$Q$11,$F381),_xlfn.MAXIFS($C$2:$C$1001,$A$2:$A$1001,$A381,$B$2:$B$1001,"&lt;"&amp;$B381)),MAX(INDEX(Accounts!$Q$2:$Q$11,$F381),_xlfn.MAXIFS($C$2:$C$1001,$A$2:$A$1001,$A381,$B$2:$B$1001,"&lt;"&amp;$B381),_xlfn.MAXIFS($D$2:$D$1001,$A$2:$A$1001,$A381,$B$2:$B$1001,"&lt;="&amp;$B381),$C381)))),"")</f>
        <v/>
      </c>
      <c r="H381" s="15">
        <f>IFERROR(IF(G381="","",IF(INDEX(Accounts!$P$2:$P$11,$F381)="static",INDEX(Accounts!$Q$2:$Q$11,$F381)-INDEX(Accounts!$R$2:$R$11,$F381),IF(INDEX(Accounts!$S$2:$S$11,$F381)="NONE",G381-INDEX(Accounts!$R$2:$R$11,$F381),MIN(G381-INDEX(Accounts!$R$2:$R$11,$F381),INDEX(Accounts!$Q$2:$Q$11,$F381)+INDEX(Accounts!$S$2:$S$11,$F381))))),"")</f>
        <v/>
      </c>
      <c r="I381" s="16">
        <f>IF(AND($A381="",$B381="",$C381="",$D381="",$E381=""),"",IF(OR($A381="",$F381=""),"UNKNOWN_ACCOUNT",IF(OR($B381="",$C381=""),"INCOMPLETE",IFERROR(IF(OR(NOT(ISNUMBER($B381)),NOT(ISNUMBER($C381)),IF(C381="",FALSE,IF(ISNUMBER(C381),OR(C381&lt;=0,C381&gt;100000000,ROUND(C381*100,6)&lt;&gt;INT(ROUND(C381*100,6))),TRUE)),IF(D381="",FALSE,IF(ISNUMBER(D381),OR(D381&lt;=0,D381&gt;100000000,ROUND(D381*100,6)&lt;&gt;INT(ROUND(D381*100,6))),TRUE)),IF(E381="",FALSE,IF(ISNUMBER(E381),OR(E381&lt;=0,E381&gt;100000000,ROUND(E381*100,6)&lt;&gt;INT(ROUND(E381*100,6))),TRUE)),AND($D381&lt;&gt;"",$D381&lt;MAX($C381,$E381)),AND($E381&lt;&gt;"",$E381&gt;MIN($C381,IF($D381="",$C381,$D381))),COUNTIFS($A$2:$A$1001,$A381,$B$2:$B$1001,$B381)&gt;1),"INVALID",IFERROR(IF(IF(INDEX(Accounts!$T$2:$T$11,$F381),ROUND(IF($E381="",$C381,MIN($C381,$E381))-(H381),6)&lt;=0,ROUND(IF($E381="",$C381,MIN($C381,$E381))-(H381),6)&lt;0),"BREACHED","OK"),"INCOMPLETE")),"INVALID"))))</f>
        <v/>
      </c>
      <c r="J381" s="33">
        <f>IF(OR(I381="OK",I381="BREACHED"),-INT(ROUND(-(H381)*100,6))/100,I381)</f>
        <v/>
      </c>
    </row>
    <row r="382" ht="18" customHeight="1">
      <c r="A382" s="9" t="n"/>
      <c r="B382" s="32" t="n"/>
      <c r="C382" s="12" t="n"/>
      <c r="D382" s="12" t="n"/>
      <c r="E382" s="12" t="n"/>
      <c r="F382" s="15">
        <f>IFERROR(MATCH($A382,Accounts!$A$2:$A$11,0),"")</f>
        <v/>
      </c>
      <c r="G382" s="14">
        <f>IFERROR(IF(OR($A382="",$F382=""),"",IF(INDEX(Accounts!$P$2:$P$11,$F382)="static",INDEX(Accounts!$Q$2:$Q$11,$F382),IF(INDEX(Accounts!$P$2:$P$11,$F382)="eod_trailing",MAX(INDEX(Accounts!$Q$2:$Q$11,$F382),_xlfn.MAXIFS($C$2:$C$1001,$A$2:$A$1001,$A382,$B$2:$B$1001,"&lt;"&amp;$B382)),MAX(INDEX(Accounts!$Q$2:$Q$11,$F382),_xlfn.MAXIFS($C$2:$C$1001,$A$2:$A$1001,$A382,$B$2:$B$1001,"&lt;"&amp;$B382),_xlfn.MAXIFS($D$2:$D$1001,$A$2:$A$1001,$A382,$B$2:$B$1001,"&lt;="&amp;$B382),$C382)))),"")</f>
        <v/>
      </c>
      <c r="H382" s="15">
        <f>IFERROR(IF(G382="","",IF(INDEX(Accounts!$P$2:$P$11,$F382)="static",INDEX(Accounts!$Q$2:$Q$11,$F382)-INDEX(Accounts!$R$2:$R$11,$F382),IF(INDEX(Accounts!$S$2:$S$11,$F382)="NONE",G382-INDEX(Accounts!$R$2:$R$11,$F382),MIN(G382-INDEX(Accounts!$R$2:$R$11,$F382),INDEX(Accounts!$Q$2:$Q$11,$F382)+INDEX(Accounts!$S$2:$S$11,$F382))))),"")</f>
        <v/>
      </c>
      <c r="I382" s="16">
        <f>IF(AND($A382="",$B382="",$C382="",$D382="",$E382=""),"",IF(OR($A382="",$F382=""),"UNKNOWN_ACCOUNT",IF(OR($B382="",$C382=""),"INCOMPLETE",IFERROR(IF(OR(NOT(ISNUMBER($B382)),NOT(ISNUMBER($C382)),IF(C382="",FALSE,IF(ISNUMBER(C382),OR(C382&lt;=0,C382&gt;100000000,ROUND(C382*100,6)&lt;&gt;INT(ROUND(C382*100,6))),TRUE)),IF(D382="",FALSE,IF(ISNUMBER(D382),OR(D382&lt;=0,D382&gt;100000000,ROUND(D382*100,6)&lt;&gt;INT(ROUND(D382*100,6))),TRUE)),IF(E382="",FALSE,IF(ISNUMBER(E382),OR(E382&lt;=0,E382&gt;100000000,ROUND(E382*100,6)&lt;&gt;INT(ROUND(E382*100,6))),TRUE)),AND($D382&lt;&gt;"",$D382&lt;MAX($C382,$E382)),AND($E382&lt;&gt;"",$E382&gt;MIN($C382,IF($D382="",$C382,$D382))),COUNTIFS($A$2:$A$1001,$A382,$B$2:$B$1001,$B382)&gt;1),"INVALID",IFERROR(IF(IF(INDEX(Accounts!$T$2:$T$11,$F382),ROUND(IF($E382="",$C382,MIN($C382,$E382))-(H382),6)&lt;=0,ROUND(IF($E382="",$C382,MIN($C382,$E382))-(H382),6)&lt;0),"BREACHED","OK"),"INCOMPLETE")),"INVALID"))))</f>
        <v/>
      </c>
      <c r="J382" s="33">
        <f>IF(OR(I382="OK",I382="BREACHED"),-INT(ROUND(-(H382)*100,6))/100,I382)</f>
        <v/>
      </c>
    </row>
    <row r="383" ht="18" customHeight="1">
      <c r="A383" s="9" t="n"/>
      <c r="B383" s="32" t="n"/>
      <c r="C383" s="12" t="n"/>
      <c r="D383" s="12" t="n"/>
      <c r="E383" s="12" t="n"/>
      <c r="F383" s="15">
        <f>IFERROR(MATCH($A383,Accounts!$A$2:$A$11,0),"")</f>
        <v/>
      </c>
      <c r="G383" s="14">
        <f>IFERROR(IF(OR($A383="",$F383=""),"",IF(INDEX(Accounts!$P$2:$P$11,$F383)="static",INDEX(Accounts!$Q$2:$Q$11,$F383),IF(INDEX(Accounts!$P$2:$P$11,$F383)="eod_trailing",MAX(INDEX(Accounts!$Q$2:$Q$11,$F383),_xlfn.MAXIFS($C$2:$C$1001,$A$2:$A$1001,$A383,$B$2:$B$1001,"&lt;"&amp;$B383)),MAX(INDEX(Accounts!$Q$2:$Q$11,$F383),_xlfn.MAXIFS($C$2:$C$1001,$A$2:$A$1001,$A383,$B$2:$B$1001,"&lt;"&amp;$B383),_xlfn.MAXIFS($D$2:$D$1001,$A$2:$A$1001,$A383,$B$2:$B$1001,"&lt;="&amp;$B383),$C383)))),"")</f>
        <v/>
      </c>
      <c r="H383" s="15">
        <f>IFERROR(IF(G383="","",IF(INDEX(Accounts!$P$2:$P$11,$F383)="static",INDEX(Accounts!$Q$2:$Q$11,$F383)-INDEX(Accounts!$R$2:$R$11,$F383),IF(INDEX(Accounts!$S$2:$S$11,$F383)="NONE",G383-INDEX(Accounts!$R$2:$R$11,$F383),MIN(G383-INDEX(Accounts!$R$2:$R$11,$F383),INDEX(Accounts!$Q$2:$Q$11,$F383)+INDEX(Accounts!$S$2:$S$11,$F383))))),"")</f>
        <v/>
      </c>
      <c r="I383" s="16">
        <f>IF(AND($A383="",$B383="",$C383="",$D383="",$E383=""),"",IF(OR($A383="",$F383=""),"UNKNOWN_ACCOUNT",IF(OR($B383="",$C383=""),"INCOMPLETE",IFERROR(IF(OR(NOT(ISNUMBER($B383)),NOT(ISNUMBER($C383)),IF(C383="",FALSE,IF(ISNUMBER(C383),OR(C383&lt;=0,C383&gt;100000000,ROUND(C383*100,6)&lt;&gt;INT(ROUND(C383*100,6))),TRUE)),IF(D383="",FALSE,IF(ISNUMBER(D383),OR(D383&lt;=0,D383&gt;100000000,ROUND(D383*100,6)&lt;&gt;INT(ROUND(D383*100,6))),TRUE)),IF(E383="",FALSE,IF(ISNUMBER(E383),OR(E383&lt;=0,E383&gt;100000000,ROUND(E383*100,6)&lt;&gt;INT(ROUND(E383*100,6))),TRUE)),AND($D383&lt;&gt;"",$D383&lt;MAX($C383,$E383)),AND($E383&lt;&gt;"",$E383&gt;MIN($C383,IF($D383="",$C383,$D383))),COUNTIFS($A$2:$A$1001,$A383,$B$2:$B$1001,$B383)&gt;1),"INVALID",IFERROR(IF(IF(INDEX(Accounts!$T$2:$T$11,$F383),ROUND(IF($E383="",$C383,MIN($C383,$E383))-(H383),6)&lt;=0,ROUND(IF($E383="",$C383,MIN($C383,$E383))-(H383),6)&lt;0),"BREACHED","OK"),"INCOMPLETE")),"INVALID"))))</f>
        <v/>
      </c>
      <c r="J383" s="33">
        <f>IF(OR(I383="OK",I383="BREACHED"),-INT(ROUND(-(H383)*100,6))/100,I383)</f>
        <v/>
      </c>
    </row>
    <row r="384" ht="18" customHeight="1">
      <c r="A384" s="9" t="n"/>
      <c r="B384" s="32" t="n"/>
      <c r="C384" s="12" t="n"/>
      <c r="D384" s="12" t="n"/>
      <c r="E384" s="12" t="n"/>
      <c r="F384" s="15">
        <f>IFERROR(MATCH($A384,Accounts!$A$2:$A$11,0),"")</f>
        <v/>
      </c>
      <c r="G384" s="14">
        <f>IFERROR(IF(OR($A384="",$F384=""),"",IF(INDEX(Accounts!$P$2:$P$11,$F384)="static",INDEX(Accounts!$Q$2:$Q$11,$F384),IF(INDEX(Accounts!$P$2:$P$11,$F384)="eod_trailing",MAX(INDEX(Accounts!$Q$2:$Q$11,$F384),_xlfn.MAXIFS($C$2:$C$1001,$A$2:$A$1001,$A384,$B$2:$B$1001,"&lt;"&amp;$B384)),MAX(INDEX(Accounts!$Q$2:$Q$11,$F384),_xlfn.MAXIFS($C$2:$C$1001,$A$2:$A$1001,$A384,$B$2:$B$1001,"&lt;"&amp;$B384),_xlfn.MAXIFS($D$2:$D$1001,$A$2:$A$1001,$A384,$B$2:$B$1001,"&lt;="&amp;$B384),$C384)))),"")</f>
        <v/>
      </c>
      <c r="H384" s="15">
        <f>IFERROR(IF(G384="","",IF(INDEX(Accounts!$P$2:$P$11,$F384)="static",INDEX(Accounts!$Q$2:$Q$11,$F384)-INDEX(Accounts!$R$2:$R$11,$F384),IF(INDEX(Accounts!$S$2:$S$11,$F384)="NONE",G384-INDEX(Accounts!$R$2:$R$11,$F384),MIN(G384-INDEX(Accounts!$R$2:$R$11,$F384),INDEX(Accounts!$Q$2:$Q$11,$F384)+INDEX(Accounts!$S$2:$S$11,$F384))))),"")</f>
        <v/>
      </c>
      <c r="I384" s="16">
        <f>IF(AND($A384="",$B384="",$C384="",$D384="",$E384=""),"",IF(OR($A384="",$F384=""),"UNKNOWN_ACCOUNT",IF(OR($B384="",$C384=""),"INCOMPLETE",IFERROR(IF(OR(NOT(ISNUMBER($B384)),NOT(ISNUMBER($C384)),IF(C384="",FALSE,IF(ISNUMBER(C384),OR(C384&lt;=0,C384&gt;100000000,ROUND(C384*100,6)&lt;&gt;INT(ROUND(C384*100,6))),TRUE)),IF(D384="",FALSE,IF(ISNUMBER(D384),OR(D384&lt;=0,D384&gt;100000000,ROUND(D384*100,6)&lt;&gt;INT(ROUND(D384*100,6))),TRUE)),IF(E384="",FALSE,IF(ISNUMBER(E384),OR(E384&lt;=0,E384&gt;100000000,ROUND(E384*100,6)&lt;&gt;INT(ROUND(E384*100,6))),TRUE)),AND($D384&lt;&gt;"",$D384&lt;MAX($C384,$E384)),AND($E384&lt;&gt;"",$E384&gt;MIN($C384,IF($D384="",$C384,$D384))),COUNTIFS($A$2:$A$1001,$A384,$B$2:$B$1001,$B384)&gt;1),"INVALID",IFERROR(IF(IF(INDEX(Accounts!$T$2:$T$11,$F384),ROUND(IF($E384="",$C384,MIN($C384,$E384))-(H384),6)&lt;=0,ROUND(IF($E384="",$C384,MIN($C384,$E384))-(H384),6)&lt;0),"BREACHED","OK"),"INCOMPLETE")),"INVALID"))))</f>
        <v/>
      </c>
      <c r="J384" s="33">
        <f>IF(OR(I384="OK",I384="BREACHED"),-INT(ROUND(-(H384)*100,6))/100,I384)</f>
        <v/>
      </c>
    </row>
    <row r="385" ht="18" customHeight="1">
      <c r="A385" s="9" t="n"/>
      <c r="B385" s="32" t="n"/>
      <c r="C385" s="12" t="n"/>
      <c r="D385" s="12" t="n"/>
      <c r="E385" s="12" t="n"/>
      <c r="F385" s="15">
        <f>IFERROR(MATCH($A385,Accounts!$A$2:$A$11,0),"")</f>
        <v/>
      </c>
      <c r="G385" s="14">
        <f>IFERROR(IF(OR($A385="",$F385=""),"",IF(INDEX(Accounts!$P$2:$P$11,$F385)="static",INDEX(Accounts!$Q$2:$Q$11,$F385),IF(INDEX(Accounts!$P$2:$P$11,$F385)="eod_trailing",MAX(INDEX(Accounts!$Q$2:$Q$11,$F385),_xlfn.MAXIFS($C$2:$C$1001,$A$2:$A$1001,$A385,$B$2:$B$1001,"&lt;"&amp;$B385)),MAX(INDEX(Accounts!$Q$2:$Q$11,$F385),_xlfn.MAXIFS($C$2:$C$1001,$A$2:$A$1001,$A385,$B$2:$B$1001,"&lt;"&amp;$B385),_xlfn.MAXIFS($D$2:$D$1001,$A$2:$A$1001,$A385,$B$2:$B$1001,"&lt;="&amp;$B385),$C385)))),"")</f>
        <v/>
      </c>
      <c r="H385" s="15">
        <f>IFERROR(IF(G385="","",IF(INDEX(Accounts!$P$2:$P$11,$F385)="static",INDEX(Accounts!$Q$2:$Q$11,$F385)-INDEX(Accounts!$R$2:$R$11,$F385),IF(INDEX(Accounts!$S$2:$S$11,$F385)="NONE",G385-INDEX(Accounts!$R$2:$R$11,$F385),MIN(G385-INDEX(Accounts!$R$2:$R$11,$F385),INDEX(Accounts!$Q$2:$Q$11,$F385)+INDEX(Accounts!$S$2:$S$11,$F385))))),"")</f>
        <v/>
      </c>
      <c r="I385" s="16">
        <f>IF(AND($A385="",$B385="",$C385="",$D385="",$E385=""),"",IF(OR($A385="",$F385=""),"UNKNOWN_ACCOUNT",IF(OR($B385="",$C385=""),"INCOMPLETE",IFERROR(IF(OR(NOT(ISNUMBER($B385)),NOT(ISNUMBER($C385)),IF(C385="",FALSE,IF(ISNUMBER(C385),OR(C385&lt;=0,C385&gt;100000000,ROUND(C385*100,6)&lt;&gt;INT(ROUND(C385*100,6))),TRUE)),IF(D385="",FALSE,IF(ISNUMBER(D385),OR(D385&lt;=0,D385&gt;100000000,ROUND(D385*100,6)&lt;&gt;INT(ROUND(D385*100,6))),TRUE)),IF(E385="",FALSE,IF(ISNUMBER(E385),OR(E385&lt;=0,E385&gt;100000000,ROUND(E385*100,6)&lt;&gt;INT(ROUND(E385*100,6))),TRUE)),AND($D385&lt;&gt;"",$D385&lt;MAX($C385,$E385)),AND($E385&lt;&gt;"",$E385&gt;MIN($C385,IF($D385="",$C385,$D385))),COUNTIFS($A$2:$A$1001,$A385,$B$2:$B$1001,$B385)&gt;1),"INVALID",IFERROR(IF(IF(INDEX(Accounts!$T$2:$T$11,$F385),ROUND(IF($E385="",$C385,MIN($C385,$E385))-(H385),6)&lt;=0,ROUND(IF($E385="",$C385,MIN($C385,$E385))-(H385),6)&lt;0),"BREACHED","OK"),"INCOMPLETE")),"INVALID"))))</f>
        <v/>
      </c>
      <c r="J385" s="33">
        <f>IF(OR(I385="OK",I385="BREACHED"),-INT(ROUND(-(H385)*100,6))/100,I385)</f>
        <v/>
      </c>
    </row>
    <row r="386" ht="18" customHeight="1">
      <c r="A386" s="9" t="n"/>
      <c r="B386" s="32" t="n"/>
      <c r="C386" s="12" t="n"/>
      <c r="D386" s="12" t="n"/>
      <c r="E386" s="12" t="n"/>
      <c r="F386" s="15">
        <f>IFERROR(MATCH($A386,Accounts!$A$2:$A$11,0),"")</f>
        <v/>
      </c>
      <c r="G386" s="14">
        <f>IFERROR(IF(OR($A386="",$F386=""),"",IF(INDEX(Accounts!$P$2:$P$11,$F386)="static",INDEX(Accounts!$Q$2:$Q$11,$F386),IF(INDEX(Accounts!$P$2:$P$11,$F386)="eod_trailing",MAX(INDEX(Accounts!$Q$2:$Q$11,$F386),_xlfn.MAXIFS($C$2:$C$1001,$A$2:$A$1001,$A386,$B$2:$B$1001,"&lt;"&amp;$B386)),MAX(INDEX(Accounts!$Q$2:$Q$11,$F386),_xlfn.MAXIFS($C$2:$C$1001,$A$2:$A$1001,$A386,$B$2:$B$1001,"&lt;"&amp;$B386),_xlfn.MAXIFS($D$2:$D$1001,$A$2:$A$1001,$A386,$B$2:$B$1001,"&lt;="&amp;$B386),$C386)))),"")</f>
        <v/>
      </c>
      <c r="H386" s="15">
        <f>IFERROR(IF(G386="","",IF(INDEX(Accounts!$P$2:$P$11,$F386)="static",INDEX(Accounts!$Q$2:$Q$11,$F386)-INDEX(Accounts!$R$2:$R$11,$F386),IF(INDEX(Accounts!$S$2:$S$11,$F386)="NONE",G386-INDEX(Accounts!$R$2:$R$11,$F386),MIN(G386-INDEX(Accounts!$R$2:$R$11,$F386),INDEX(Accounts!$Q$2:$Q$11,$F386)+INDEX(Accounts!$S$2:$S$11,$F386))))),"")</f>
        <v/>
      </c>
      <c r="I386" s="16">
        <f>IF(AND($A386="",$B386="",$C386="",$D386="",$E386=""),"",IF(OR($A386="",$F386=""),"UNKNOWN_ACCOUNT",IF(OR($B386="",$C386=""),"INCOMPLETE",IFERROR(IF(OR(NOT(ISNUMBER($B386)),NOT(ISNUMBER($C386)),IF(C386="",FALSE,IF(ISNUMBER(C386),OR(C386&lt;=0,C386&gt;100000000,ROUND(C386*100,6)&lt;&gt;INT(ROUND(C386*100,6))),TRUE)),IF(D386="",FALSE,IF(ISNUMBER(D386),OR(D386&lt;=0,D386&gt;100000000,ROUND(D386*100,6)&lt;&gt;INT(ROUND(D386*100,6))),TRUE)),IF(E386="",FALSE,IF(ISNUMBER(E386),OR(E386&lt;=0,E386&gt;100000000,ROUND(E386*100,6)&lt;&gt;INT(ROUND(E386*100,6))),TRUE)),AND($D386&lt;&gt;"",$D386&lt;MAX($C386,$E386)),AND($E386&lt;&gt;"",$E386&gt;MIN($C386,IF($D386="",$C386,$D386))),COUNTIFS($A$2:$A$1001,$A386,$B$2:$B$1001,$B386)&gt;1),"INVALID",IFERROR(IF(IF(INDEX(Accounts!$T$2:$T$11,$F386),ROUND(IF($E386="",$C386,MIN($C386,$E386))-(H386),6)&lt;=0,ROUND(IF($E386="",$C386,MIN($C386,$E386))-(H386),6)&lt;0),"BREACHED","OK"),"INCOMPLETE")),"INVALID"))))</f>
        <v/>
      </c>
      <c r="J386" s="33">
        <f>IF(OR(I386="OK",I386="BREACHED"),-INT(ROUND(-(H386)*100,6))/100,I386)</f>
        <v/>
      </c>
    </row>
    <row r="387" ht="18" customHeight="1">
      <c r="A387" s="9" t="n"/>
      <c r="B387" s="32" t="n"/>
      <c r="C387" s="12" t="n"/>
      <c r="D387" s="12" t="n"/>
      <c r="E387" s="12" t="n"/>
      <c r="F387" s="15">
        <f>IFERROR(MATCH($A387,Accounts!$A$2:$A$11,0),"")</f>
        <v/>
      </c>
      <c r="G387" s="14">
        <f>IFERROR(IF(OR($A387="",$F387=""),"",IF(INDEX(Accounts!$P$2:$P$11,$F387)="static",INDEX(Accounts!$Q$2:$Q$11,$F387),IF(INDEX(Accounts!$P$2:$P$11,$F387)="eod_trailing",MAX(INDEX(Accounts!$Q$2:$Q$11,$F387),_xlfn.MAXIFS($C$2:$C$1001,$A$2:$A$1001,$A387,$B$2:$B$1001,"&lt;"&amp;$B387)),MAX(INDEX(Accounts!$Q$2:$Q$11,$F387),_xlfn.MAXIFS($C$2:$C$1001,$A$2:$A$1001,$A387,$B$2:$B$1001,"&lt;"&amp;$B387),_xlfn.MAXIFS($D$2:$D$1001,$A$2:$A$1001,$A387,$B$2:$B$1001,"&lt;="&amp;$B387),$C387)))),"")</f>
        <v/>
      </c>
      <c r="H387" s="15">
        <f>IFERROR(IF(G387="","",IF(INDEX(Accounts!$P$2:$P$11,$F387)="static",INDEX(Accounts!$Q$2:$Q$11,$F387)-INDEX(Accounts!$R$2:$R$11,$F387),IF(INDEX(Accounts!$S$2:$S$11,$F387)="NONE",G387-INDEX(Accounts!$R$2:$R$11,$F387),MIN(G387-INDEX(Accounts!$R$2:$R$11,$F387),INDEX(Accounts!$Q$2:$Q$11,$F387)+INDEX(Accounts!$S$2:$S$11,$F387))))),"")</f>
        <v/>
      </c>
      <c r="I387" s="16">
        <f>IF(AND($A387="",$B387="",$C387="",$D387="",$E387=""),"",IF(OR($A387="",$F387=""),"UNKNOWN_ACCOUNT",IF(OR($B387="",$C387=""),"INCOMPLETE",IFERROR(IF(OR(NOT(ISNUMBER($B387)),NOT(ISNUMBER($C387)),IF(C387="",FALSE,IF(ISNUMBER(C387),OR(C387&lt;=0,C387&gt;100000000,ROUND(C387*100,6)&lt;&gt;INT(ROUND(C387*100,6))),TRUE)),IF(D387="",FALSE,IF(ISNUMBER(D387),OR(D387&lt;=0,D387&gt;100000000,ROUND(D387*100,6)&lt;&gt;INT(ROUND(D387*100,6))),TRUE)),IF(E387="",FALSE,IF(ISNUMBER(E387),OR(E387&lt;=0,E387&gt;100000000,ROUND(E387*100,6)&lt;&gt;INT(ROUND(E387*100,6))),TRUE)),AND($D387&lt;&gt;"",$D387&lt;MAX($C387,$E387)),AND($E387&lt;&gt;"",$E387&gt;MIN($C387,IF($D387="",$C387,$D387))),COUNTIFS($A$2:$A$1001,$A387,$B$2:$B$1001,$B387)&gt;1),"INVALID",IFERROR(IF(IF(INDEX(Accounts!$T$2:$T$11,$F387),ROUND(IF($E387="",$C387,MIN($C387,$E387))-(H387),6)&lt;=0,ROUND(IF($E387="",$C387,MIN($C387,$E387))-(H387),6)&lt;0),"BREACHED","OK"),"INCOMPLETE")),"INVALID"))))</f>
        <v/>
      </c>
      <c r="J387" s="33">
        <f>IF(OR(I387="OK",I387="BREACHED"),-INT(ROUND(-(H387)*100,6))/100,I387)</f>
        <v/>
      </c>
    </row>
    <row r="388" ht="18" customHeight="1">
      <c r="A388" s="9" t="n"/>
      <c r="B388" s="32" t="n"/>
      <c r="C388" s="12" t="n"/>
      <c r="D388" s="12" t="n"/>
      <c r="E388" s="12" t="n"/>
      <c r="F388" s="15">
        <f>IFERROR(MATCH($A388,Accounts!$A$2:$A$11,0),"")</f>
        <v/>
      </c>
      <c r="G388" s="14">
        <f>IFERROR(IF(OR($A388="",$F388=""),"",IF(INDEX(Accounts!$P$2:$P$11,$F388)="static",INDEX(Accounts!$Q$2:$Q$11,$F388),IF(INDEX(Accounts!$P$2:$P$11,$F388)="eod_trailing",MAX(INDEX(Accounts!$Q$2:$Q$11,$F388),_xlfn.MAXIFS($C$2:$C$1001,$A$2:$A$1001,$A388,$B$2:$B$1001,"&lt;"&amp;$B388)),MAX(INDEX(Accounts!$Q$2:$Q$11,$F388),_xlfn.MAXIFS($C$2:$C$1001,$A$2:$A$1001,$A388,$B$2:$B$1001,"&lt;"&amp;$B388),_xlfn.MAXIFS($D$2:$D$1001,$A$2:$A$1001,$A388,$B$2:$B$1001,"&lt;="&amp;$B388),$C388)))),"")</f>
        <v/>
      </c>
      <c r="H388" s="15">
        <f>IFERROR(IF(G388="","",IF(INDEX(Accounts!$P$2:$P$11,$F388)="static",INDEX(Accounts!$Q$2:$Q$11,$F388)-INDEX(Accounts!$R$2:$R$11,$F388),IF(INDEX(Accounts!$S$2:$S$11,$F388)="NONE",G388-INDEX(Accounts!$R$2:$R$11,$F388),MIN(G388-INDEX(Accounts!$R$2:$R$11,$F388),INDEX(Accounts!$Q$2:$Q$11,$F388)+INDEX(Accounts!$S$2:$S$11,$F388))))),"")</f>
        <v/>
      </c>
      <c r="I388" s="16">
        <f>IF(AND($A388="",$B388="",$C388="",$D388="",$E388=""),"",IF(OR($A388="",$F388=""),"UNKNOWN_ACCOUNT",IF(OR($B388="",$C388=""),"INCOMPLETE",IFERROR(IF(OR(NOT(ISNUMBER($B388)),NOT(ISNUMBER($C388)),IF(C388="",FALSE,IF(ISNUMBER(C388),OR(C388&lt;=0,C388&gt;100000000,ROUND(C388*100,6)&lt;&gt;INT(ROUND(C388*100,6))),TRUE)),IF(D388="",FALSE,IF(ISNUMBER(D388),OR(D388&lt;=0,D388&gt;100000000,ROUND(D388*100,6)&lt;&gt;INT(ROUND(D388*100,6))),TRUE)),IF(E388="",FALSE,IF(ISNUMBER(E388),OR(E388&lt;=0,E388&gt;100000000,ROUND(E388*100,6)&lt;&gt;INT(ROUND(E388*100,6))),TRUE)),AND($D388&lt;&gt;"",$D388&lt;MAX($C388,$E388)),AND($E388&lt;&gt;"",$E388&gt;MIN($C388,IF($D388="",$C388,$D388))),COUNTIFS($A$2:$A$1001,$A388,$B$2:$B$1001,$B388)&gt;1),"INVALID",IFERROR(IF(IF(INDEX(Accounts!$T$2:$T$11,$F388),ROUND(IF($E388="",$C388,MIN($C388,$E388))-(H388),6)&lt;=0,ROUND(IF($E388="",$C388,MIN($C388,$E388))-(H388),6)&lt;0),"BREACHED","OK"),"INCOMPLETE")),"INVALID"))))</f>
        <v/>
      </c>
      <c r="J388" s="33">
        <f>IF(OR(I388="OK",I388="BREACHED"),-INT(ROUND(-(H388)*100,6))/100,I388)</f>
        <v/>
      </c>
    </row>
    <row r="389" ht="18" customHeight="1">
      <c r="A389" s="9" t="n"/>
      <c r="B389" s="32" t="n"/>
      <c r="C389" s="12" t="n"/>
      <c r="D389" s="12" t="n"/>
      <c r="E389" s="12" t="n"/>
      <c r="F389" s="15">
        <f>IFERROR(MATCH($A389,Accounts!$A$2:$A$11,0),"")</f>
        <v/>
      </c>
      <c r="G389" s="14">
        <f>IFERROR(IF(OR($A389="",$F389=""),"",IF(INDEX(Accounts!$P$2:$P$11,$F389)="static",INDEX(Accounts!$Q$2:$Q$11,$F389),IF(INDEX(Accounts!$P$2:$P$11,$F389)="eod_trailing",MAX(INDEX(Accounts!$Q$2:$Q$11,$F389),_xlfn.MAXIFS($C$2:$C$1001,$A$2:$A$1001,$A389,$B$2:$B$1001,"&lt;"&amp;$B389)),MAX(INDEX(Accounts!$Q$2:$Q$11,$F389),_xlfn.MAXIFS($C$2:$C$1001,$A$2:$A$1001,$A389,$B$2:$B$1001,"&lt;"&amp;$B389),_xlfn.MAXIFS($D$2:$D$1001,$A$2:$A$1001,$A389,$B$2:$B$1001,"&lt;="&amp;$B389),$C389)))),"")</f>
        <v/>
      </c>
      <c r="H389" s="15">
        <f>IFERROR(IF(G389="","",IF(INDEX(Accounts!$P$2:$P$11,$F389)="static",INDEX(Accounts!$Q$2:$Q$11,$F389)-INDEX(Accounts!$R$2:$R$11,$F389),IF(INDEX(Accounts!$S$2:$S$11,$F389)="NONE",G389-INDEX(Accounts!$R$2:$R$11,$F389),MIN(G389-INDEX(Accounts!$R$2:$R$11,$F389),INDEX(Accounts!$Q$2:$Q$11,$F389)+INDEX(Accounts!$S$2:$S$11,$F389))))),"")</f>
        <v/>
      </c>
      <c r="I389" s="16">
        <f>IF(AND($A389="",$B389="",$C389="",$D389="",$E389=""),"",IF(OR($A389="",$F389=""),"UNKNOWN_ACCOUNT",IF(OR($B389="",$C389=""),"INCOMPLETE",IFERROR(IF(OR(NOT(ISNUMBER($B389)),NOT(ISNUMBER($C389)),IF(C389="",FALSE,IF(ISNUMBER(C389),OR(C389&lt;=0,C389&gt;100000000,ROUND(C389*100,6)&lt;&gt;INT(ROUND(C389*100,6))),TRUE)),IF(D389="",FALSE,IF(ISNUMBER(D389),OR(D389&lt;=0,D389&gt;100000000,ROUND(D389*100,6)&lt;&gt;INT(ROUND(D389*100,6))),TRUE)),IF(E389="",FALSE,IF(ISNUMBER(E389),OR(E389&lt;=0,E389&gt;100000000,ROUND(E389*100,6)&lt;&gt;INT(ROUND(E389*100,6))),TRUE)),AND($D389&lt;&gt;"",$D389&lt;MAX($C389,$E389)),AND($E389&lt;&gt;"",$E389&gt;MIN($C389,IF($D389="",$C389,$D389))),COUNTIFS($A$2:$A$1001,$A389,$B$2:$B$1001,$B389)&gt;1),"INVALID",IFERROR(IF(IF(INDEX(Accounts!$T$2:$T$11,$F389),ROUND(IF($E389="",$C389,MIN($C389,$E389))-(H389),6)&lt;=0,ROUND(IF($E389="",$C389,MIN($C389,$E389))-(H389),6)&lt;0),"BREACHED","OK"),"INCOMPLETE")),"INVALID"))))</f>
        <v/>
      </c>
      <c r="J389" s="33">
        <f>IF(OR(I389="OK",I389="BREACHED"),-INT(ROUND(-(H389)*100,6))/100,I389)</f>
        <v/>
      </c>
    </row>
    <row r="390" ht="18" customHeight="1">
      <c r="A390" s="9" t="n"/>
      <c r="B390" s="32" t="n"/>
      <c r="C390" s="12" t="n"/>
      <c r="D390" s="12" t="n"/>
      <c r="E390" s="12" t="n"/>
      <c r="F390" s="15">
        <f>IFERROR(MATCH($A390,Accounts!$A$2:$A$11,0),"")</f>
        <v/>
      </c>
      <c r="G390" s="14">
        <f>IFERROR(IF(OR($A390="",$F390=""),"",IF(INDEX(Accounts!$P$2:$P$11,$F390)="static",INDEX(Accounts!$Q$2:$Q$11,$F390),IF(INDEX(Accounts!$P$2:$P$11,$F390)="eod_trailing",MAX(INDEX(Accounts!$Q$2:$Q$11,$F390),_xlfn.MAXIFS($C$2:$C$1001,$A$2:$A$1001,$A390,$B$2:$B$1001,"&lt;"&amp;$B390)),MAX(INDEX(Accounts!$Q$2:$Q$11,$F390),_xlfn.MAXIFS($C$2:$C$1001,$A$2:$A$1001,$A390,$B$2:$B$1001,"&lt;"&amp;$B390),_xlfn.MAXIFS($D$2:$D$1001,$A$2:$A$1001,$A390,$B$2:$B$1001,"&lt;="&amp;$B390),$C390)))),"")</f>
        <v/>
      </c>
      <c r="H390" s="15">
        <f>IFERROR(IF(G390="","",IF(INDEX(Accounts!$P$2:$P$11,$F390)="static",INDEX(Accounts!$Q$2:$Q$11,$F390)-INDEX(Accounts!$R$2:$R$11,$F390),IF(INDEX(Accounts!$S$2:$S$11,$F390)="NONE",G390-INDEX(Accounts!$R$2:$R$11,$F390),MIN(G390-INDEX(Accounts!$R$2:$R$11,$F390),INDEX(Accounts!$Q$2:$Q$11,$F390)+INDEX(Accounts!$S$2:$S$11,$F390))))),"")</f>
        <v/>
      </c>
      <c r="I390" s="16">
        <f>IF(AND($A390="",$B390="",$C390="",$D390="",$E390=""),"",IF(OR($A390="",$F390=""),"UNKNOWN_ACCOUNT",IF(OR($B390="",$C390=""),"INCOMPLETE",IFERROR(IF(OR(NOT(ISNUMBER($B390)),NOT(ISNUMBER($C390)),IF(C390="",FALSE,IF(ISNUMBER(C390),OR(C390&lt;=0,C390&gt;100000000,ROUND(C390*100,6)&lt;&gt;INT(ROUND(C390*100,6))),TRUE)),IF(D390="",FALSE,IF(ISNUMBER(D390),OR(D390&lt;=0,D390&gt;100000000,ROUND(D390*100,6)&lt;&gt;INT(ROUND(D390*100,6))),TRUE)),IF(E390="",FALSE,IF(ISNUMBER(E390),OR(E390&lt;=0,E390&gt;100000000,ROUND(E390*100,6)&lt;&gt;INT(ROUND(E390*100,6))),TRUE)),AND($D390&lt;&gt;"",$D390&lt;MAX($C390,$E390)),AND($E390&lt;&gt;"",$E390&gt;MIN($C390,IF($D390="",$C390,$D390))),COUNTIFS($A$2:$A$1001,$A390,$B$2:$B$1001,$B390)&gt;1),"INVALID",IFERROR(IF(IF(INDEX(Accounts!$T$2:$T$11,$F390),ROUND(IF($E390="",$C390,MIN($C390,$E390))-(H390),6)&lt;=0,ROUND(IF($E390="",$C390,MIN($C390,$E390))-(H390),6)&lt;0),"BREACHED","OK"),"INCOMPLETE")),"INVALID"))))</f>
        <v/>
      </c>
      <c r="J390" s="33">
        <f>IF(OR(I390="OK",I390="BREACHED"),-INT(ROUND(-(H390)*100,6))/100,I390)</f>
        <v/>
      </c>
    </row>
    <row r="391" ht="18" customHeight="1">
      <c r="A391" s="9" t="n"/>
      <c r="B391" s="32" t="n"/>
      <c r="C391" s="12" t="n"/>
      <c r="D391" s="12" t="n"/>
      <c r="E391" s="12" t="n"/>
      <c r="F391" s="15">
        <f>IFERROR(MATCH($A391,Accounts!$A$2:$A$11,0),"")</f>
        <v/>
      </c>
      <c r="G391" s="14">
        <f>IFERROR(IF(OR($A391="",$F391=""),"",IF(INDEX(Accounts!$P$2:$P$11,$F391)="static",INDEX(Accounts!$Q$2:$Q$11,$F391),IF(INDEX(Accounts!$P$2:$P$11,$F391)="eod_trailing",MAX(INDEX(Accounts!$Q$2:$Q$11,$F391),_xlfn.MAXIFS($C$2:$C$1001,$A$2:$A$1001,$A391,$B$2:$B$1001,"&lt;"&amp;$B391)),MAX(INDEX(Accounts!$Q$2:$Q$11,$F391),_xlfn.MAXIFS($C$2:$C$1001,$A$2:$A$1001,$A391,$B$2:$B$1001,"&lt;"&amp;$B391),_xlfn.MAXIFS($D$2:$D$1001,$A$2:$A$1001,$A391,$B$2:$B$1001,"&lt;="&amp;$B391),$C391)))),"")</f>
        <v/>
      </c>
      <c r="H391" s="15">
        <f>IFERROR(IF(G391="","",IF(INDEX(Accounts!$P$2:$P$11,$F391)="static",INDEX(Accounts!$Q$2:$Q$11,$F391)-INDEX(Accounts!$R$2:$R$11,$F391),IF(INDEX(Accounts!$S$2:$S$11,$F391)="NONE",G391-INDEX(Accounts!$R$2:$R$11,$F391),MIN(G391-INDEX(Accounts!$R$2:$R$11,$F391),INDEX(Accounts!$Q$2:$Q$11,$F391)+INDEX(Accounts!$S$2:$S$11,$F391))))),"")</f>
        <v/>
      </c>
      <c r="I391" s="16">
        <f>IF(AND($A391="",$B391="",$C391="",$D391="",$E391=""),"",IF(OR($A391="",$F391=""),"UNKNOWN_ACCOUNT",IF(OR($B391="",$C391=""),"INCOMPLETE",IFERROR(IF(OR(NOT(ISNUMBER($B391)),NOT(ISNUMBER($C391)),IF(C391="",FALSE,IF(ISNUMBER(C391),OR(C391&lt;=0,C391&gt;100000000,ROUND(C391*100,6)&lt;&gt;INT(ROUND(C391*100,6))),TRUE)),IF(D391="",FALSE,IF(ISNUMBER(D391),OR(D391&lt;=0,D391&gt;100000000,ROUND(D391*100,6)&lt;&gt;INT(ROUND(D391*100,6))),TRUE)),IF(E391="",FALSE,IF(ISNUMBER(E391),OR(E391&lt;=0,E391&gt;100000000,ROUND(E391*100,6)&lt;&gt;INT(ROUND(E391*100,6))),TRUE)),AND($D391&lt;&gt;"",$D391&lt;MAX($C391,$E391)),AND($E391&lt;&gt;"",$E391&gt;MIN($C391,IF($D391="",$C391,$D391))),COUNTIFS($A$2:$A$1001,$A391,$B$2:$B$1001,$B391)&gt;1),"INVALID",IFERROR(IF(IF(INDEX(Accounts!$T$2:$T$11,$F391),ROUND(IF($E391="",$C391,MIN($C391,$E391))-(H391),6)&lt;=0,ROUND(IF($E391="",$C391,MIN($C391,$E391))-(H391),6)&lt;0),"BREACHED","OK"),"INCOMPLETE")),"INVALID"))))</f>
        <v/>
      </c>
      <c r="J391" s="33">
        <f>IF(OR(I391="OK",I391="BREACHED"),-INT(ROUND(-(H391)*100,6))/100,I391)</f>
        <v/>
      </c>
    </row>
    <row r="392" ht="18" customHeight="1">
      <c r="A392" s="9" t="n"/>
      <c r="B392" s="32" t="n"/>
      <c r="C392" s="12" t="n"/>
      <c r="D392" s="12" t="n"/>
      <c r="E392" s="12" t="n"/>
      <c r="F392" s="15">
        <f>IFERROR(MATCH($A392,Accounts!$A$2:$A$11,0),"")</f>
        <v/>
      </c>
      <c r="G392" s="14">
        <f>IFERROR(IF(OR($A392="",$F392=""),"",IF(INDEX(Accounts!$P$2:$P$11,$F392)="static",INDEX(Accounts!$Q$2:$Q$11,$F392),IF(INDEX(Accounts!$P$2:$P$11,$F392)="eod_trailing",MAX(INDEX(Accounts!$Q$2:$Q$11,$F392),_xlfn.MAXIFS($C$2:$C$1001,$A$2:$A$1001,$A392,$B$2:$B$1001,"&lt;"&amp;$B392)),MAX(INDEX(Accounts!$Q$2:$Q$11,$F392),_xlfn.MAXIFS($C$2:$C$1001,$A$2:$A$1001,$A392,$B$2:$B$1001,"&lt;"&amp;$B392),_xlfn.MAXIFS($D$2:$D$1001,$A$2:$A$1001,$A392,$B$2:$B$1001,"&lt;="&amp;$B392),$C392)))),"")</f>
        <v/>
      </c>
      <c r="H392" s="15">
        <f>IFERROR(IF(G392="","",IF(INDEX(Accounts!$P$2:$P$11,$F392)="static",INDEX(Accounts!$Q$2:$Q$11,$F392)-INDEX(Accounts!$R$2:$R$11,$F392),IF(INDEX(Accounts!$S$2:$S$11,$F392)="NONE",G392-INDEX(Accounts!$R$2:$R$11,$F392),MIN(G392-INDEX(Accounts!$R$2:$R$11,$F392),INDEX(Accounts!$Q$2:$Q$11,$F392)+INDEX(Accounts!$S$2:$S$11,$F392))))),"")</f>
        <v/>
      </c>
      <c r="I392" s="16">
        <f>IF(AND($A392="",$B392="",$C392="",$D392="",$E392=""),"",IF(OR($A392="",$F392=""),"UNKNOWN_ACCOUNT",IF(OR($B392="",$C392=""),"INCOMPLETE",IFERROR(IF(OR(NOT(ISNUMBER($B392)),NOT(ISNUMBER($C392)),IF(C392="",FALSE,IF(ISNUMBER(C392),OR(C392&lt;=0,C392&gt;100000000,ROUND(C392*100,6)&lt;&gt;INT(ROUND(C392*100,6))),TRUE)),IF(D392="",FALSE,IF(ISNUMBER(D392),OR(D392&lt;=0,D392&gt;100000000,ROUND(D392*100,6)&lt;&gt;INT(ROUND(D392*100,6))),TRUE)),IF(E392="",FALSE,IF(ISNUMBER(E392),OR(E392&lt;=0,E392&gt;100000000,ROUND(E392*100,6)&lt;&gt;INT(ROUND(E392*100,6))),TRUE)),AND($D392&lt;&gt;"",$D392&lt;MAX($C392,$E392)),AND($E392&lt;&gt;"",$E392&gt;MIN($C392,IF($D392="",$C392,$D392))),COUNTIFS($A$2:$A$1001,$A392,$B$2:$B$1001,$B392)&gt;1),"INVALID",IFERROR(IF(IF(INDEX(Accounts!$T$2:$T$11,$F392),ROUND(IF($E392="",$C392,MIN($C392,$E392))-(H392),6)&lt;=0,ROUND(IF($E392="",$C392,MIN($C392,$E392))-(H392),6)&lt;0),"BREACHED","OK"),"INCOMPLETE")),"INVALID"))))</f>
        <v/>
      </c>
      <c r="J392" s="33">
        <f>IF(OR(I392="OK",I392="BREACHED"),-INT(ROUND(-(H392)*100,6))/100,I392)</f>
        <v/>
      </c>
    </row>
    <row r="393" ht="18" customHeight="1">
      <c r="A393" s="9" t="n"/>
      <c r="B393" s="32" t="n"/>
      <c r="C393" s="12" t="n"/>
      <c r="D393" s="12" t="n"/>
      <c r="E393" s="12" t="n"/>
      <c r="F393" s="15">
        <f>IFERROR(MATCH($A393,Accounts!$A$2:$A$11,0),"")</f>
        <v/>
      </c>
      <c r="G393" s="14">
        <f>IFERROR(IF(OR($A393="",$F393=""),"",IF(INDEX(Accounts!$P$2:$P$11,$F393)="static",INDEX(Accounts!$Q$2:$Q$11,$F393),IF(INDEX(Accounts!$P$2:$P$11,$F393)="eod_trailing",MAX(INDEX(Accounts!$Q$2:$Q$11,$F393),_xlfn.MAXIFS($C$2:$C$1001,$A$2:$A$1001,$A393,$B$2:$B$1001,"&lt;"&amp;$B393)),MAX(INDEX(Accounts!$Q$2:$Q$11,$F393),_xlfn.MAXIFS($C$2:$C$1001,$A$2:$A$1001,$A393,$B$2:$B$1001,"&lt;"&amp;$B393),_xlfn.MAXIFS($D$2:$D$1001,$A$2:$A$1001,$A393,$B$2:$B$1001,"&lt;="&amp;$B393),$C393)))),"")</f>
        <v/>
      </c>
      <c r="H393" s="15">
        <f>IFERROR(IF(G393="","",IF(INDEX(Accounts!$P$2:$P$11,$F393)="static",INDEX(Accounts!$Q$2:$Q$11,$F393)-INDEX(Accounts!$R$2:$R$11,$F393),IF(INDEX(Accounts!$S$2:$S$11,$F393)="NONE",G393-INDEX(Accounts!$R$2:$R$11,$F393),MIN(G393-INDEX(Accounts!$R$2:$R$11,$F393),INDEX(Accounts!$Q$2:$Q$11,$F393)+INDEX(Accounts!$S$2:$S$11,$F393))))),"")</f>
        <v/>
      </c>
      <c r="I393" s="16">
        <f>IF(AND($A393="",$B393="",$C393="",$D393="",$E393=""),"",IF(OR($A393="",$F393=""),"UNKNOWN_ACCOUNT",IF(OR($B393="",$C393=""),"INCOMPLETE",IFERROR(IF(OR(NOT(ISNUMBER($B393)),NOT(ISNUMBER($C393)),IF(C393="",FALSE,IF(ISNUMBER(C393),OR(C393&lt;=0,C393&gt;100000000,ROUND(C393*100,6)&lt;&gt;INT(ROUND(C393*100,6))),TRUE)),IF(D393="",FALSE,IF(ISNUMBER(D393),OR(D393&lt;=0,D393&gt;100000000,ROUND(D393*100,6)&lt;&gt;INT(ROUND(D393*100,6))),TRUE)),IF(E393="",FALSE,IF(ISNUMBER(E393),OR(E393&lt;=0,E393&gt;100000000,ROUND(E393*100,6)&lt;&gt;INT(ROUND(E393*100,6))),TRUE)),AND($D393&lt;&gt;"",$D393&lt;MAX($C393,$E393)),AND($E393&lt;&gt;"",$E393&gt;MIN($C393,IF($D393="",$C393,$D393))),COUNTIFS($A$2:$A$1001,$A393,$B$2:$B$1001,$B393)&gt;1),"INVALID",IFERROR(IF(IF(INDEX(Accounts!$T$2:$T$11,$F393),ROUND(IF($E393="",$C393,MIN($C393,$E393))-(H393),6)&lt;=0,ROUND(IF($E393="",$C393,MIN($C393,$E393))-(H393),6)&lt;0),"BREACHED","OK"),"INCOMPLETE")),"INVALID"))))</f>
        <v/>
      </c>
      <c r="J393" s="33">
        <f>IF(OR(I393="OK",I393="BREACHED"),-INT(ROUND(-(H393)*100,6))/100,I393)</f>
        <v/>
      </c>
    </row>
    <row r="394" ht="18" customHeight="1">
      <c r="A394" s="9" t="n"/>
      <c r="B394" s="32" t="n"/>
      <c r="C394" s="12" t="n"/>
      <c r="D394" s="12" t="n"/>
      <c r="E394" s="12" t="n"/>
      <c r="F394" s="15">
        <f>IFERROR(MATCH($A394,Accounts!$A$2:$A$11,0),"")</f>
        <v/>
      </c>
      <c r="G394" s="14">
        <f>IFERROR(IF(OR($A394="",$F394=""),"",IF(INDEX(Accounts!$P$2:$P$11,$F394)="static",INDEX(Accounts!$Q$2:$Q$11,$F394),IF(INDEX(Accounts!$P$2:$P$11,$F394)="eod_trailing",MAX(INDEX(Accounts!$Q$2:$Q$11,$F394),_xlfn.MAXIFS($C$2:$C$1001,$A$2:$A$1001,$A394,$B$2:$B$1001,"&lt;"&amp;$B394)),MAX(INDEX(Accounts!$Q$2:$Q$11,$F394),_xlfn.MAXIFS($C$2:$C$1001,$A$2:$A$1001,$A394,$B$2:$B$1001,"&lt;"&amp;$B394),_xlfn.MAXIFS($D$2:$D$1001,$A$2:$A$1001,$A394,$B$2:$B$1001,"&lt;="&amp;$B394),$C394)))),"")</f>
        <v/>
      </c>
      <c r="H394" s="15">
        <f>IFERROR(IF(G394="","",IF(INDEX(Accounts!$P$2:$P$11,$F394)="static",INDEX(Accounts!$Q$2:$Q$11,$F394)-INDEX(Accounts!$R$2:$R$11,$F394),IF(INDEX(Accounts!$S$2:$S$11,$F394)="NONE",G394-INDEX(Accounts!$R$2:$R$11,$F394),MIN(G394-INDEX(Accounts!$R$2:$R$11,$F394),INDEX(Accounts!$Q$2:$Q$11,$F394)+INDEX(Accounts!$S$2:$S$11,$F394))))),"")</f>
        <v/>
      </c>
      <c r="I394" s="16">
        <f>IF(AND($A394="",$B394="",$C394="",$D394="",$E394=""),"",IF(OR($A394="",$F394=""),"UNKNOWN_ACCOUNT",IF(OR($B394="",$C394=""),"INCOMPLETE",IFERROR(IF(OR(NOT(ISNUMBER($B394)),NOT(ISNUMBER($C394)),IF(C394="",FALSE,IF(ISNUMBER(C394),OR(C394&lt;=0,C394&gt;100000000,ROUND(C394*100,6)&lt;&gt;INT(ROUND(C394*100,6))),TRUE)),IF(D394="",FALSE,IF(ISNUMBER(D394),OR(D394&lt;=0,D394&gt;100000000,ROUND(D394*100,6)&lt;&gt;INT(ROUND(D394*100,6))),TRUE)),IF(E394="",FALSE,IF(ISNUMBER(E394),OR(E394&lt;=0,E394&gt;100000000,ROUND(E394*100,6)&lt;&gt;INT(ROUND(E394*100,6))),TRUE)),AND($D394&lt;&gt;"",$D394&lt;MAX($C394,$E394)),AND($E394&lt;&gt;"",$E394&gt;MIN($C394,IF($D394="",$C394,$D394))),COUNTIFS($A$2:$A$1001,$A394,$B$2:$B$1001,$B394)&gt;1),"INVALID",IFERROR(IF(IF(INDEX(Accounts!$T$2:$T$11,$F394),ROUND(IF($E394="",$C394,MIN($C394,$E394))-(H394),6)&lt;=0,ROUND(IF($E394="",$C394,MIN($C394,$E394))-(H394),6)&lt;0),"BREACHED","OK"),"INCOMPLETE")),"INVALID"))))</f>
        <v/>
      </c>
      <c r="J394" s="33">
        <f>IF(OR(I394="OK",I394="BREACHED"),-INT(ROUND(-(H394)*100,6))/100,I394)</f>
        <v/>
      </c>
    </row>
    <row r="395" ht="18" customHeight="1">
      <c r="A395" s="9" t="n"/>
      <c r="B395" s="32" t="n"/>
      <c r="C395" s="12" t="n"/>
      <c r="D395" s="12" t="n"/>
      <c r="E395" s="12" t="n"/>
      <c r="F395" s="15">
        <f>IFERROR(MATCH($A395,Accounts!$A$2:$A$11,0),"")</f>
        <v/>
      </c>
      <c r="G395" s="14">
        <f>IFERROR(IF(OR($A395="",$F395=""),"",IF(INDEX(Accounts!$P$2:$P$11,$F395)="static",INDEX(Accounts!$Q$2:$Q$11,$F395),IF(INDEX(Accounts!$P$2:$P$11,$F395)="eod_trailing",MAX(INDEX(Accounts!$Q$2:$Q$11,$F395),_xlfn.MAXIFS($C$2:$C$1001,$A$2:$A$1001,$A395,$B$2:$B$1001,"&lt;"&amp;$B395)),MAX(INDEX(Accounts!$Q$2:$Q$11,$F395),_xlfn.MAXIFS($C$2:$C$1001,$A$2:$A$1001,$A395,$B$2:$B$1001,"&lt;"&amp;$B395),_xlfn.MAXIFS($D$2:$D$1001,$A$2:$A$1001,$A395,$B$2:$B$1001,"&lt;="&amp;$B395),$C395)))),"")</f>
        <v/>
      </c>
      <c r="H395" s="15">
        <f>IFERROR(IF(G395="","",IF(INDEX(Accounts!$P$2:$P$11,$F395)="static",INDEX(Accounts!$Q$2:$Q$11,$F395)-INDEX(Accounts!$R$2:$R$11,$F395),IF(INDEX(Accounts!$S$2:$S$11,$F395)="NONE",G395-INDEX(Accounts!$R$2:$R$11,$F395),MIN(G395-INDEX(Accounts!$R$2:$R$11,$F395),INDEX(Accounts!$Q$2:$Q$11,$F395)+INDEX(Accounts!$S$2:$S$11,$F395))))),"")</f>
        <v/>
      </c>
      <c r="I395" s="16">
        <f>IF(AND($A395="",$B395="",$C395="",$D395="",$E395=""),"",IF(OR($A395="",$F395=""),"UNKNOWN_ACCOUNT",IF(OR($B395="",$C395=""),"INCOMPLETE",IFERROR(IF(OR(NOT(ISNUMBER($B395)),NOT(ISNUMBER($C395)),IF(C395="",FALSE,IF(ISNUMBER(C395),OR(C395&lt;=0,C395&gt;100000000,ROUND(C395*100,6)&lt;&gt;INT(ROUND(C395*100,6))),TRUE)),IF(D395="",FALSE,IF(ISNUMBER(D395),OR(D395&lt;=0,D395&gt;100000000,ROUND(D395*100,6)&lt;&gt;INT(ROUND(D395*100,6))),TRUE)),IF(E395="",FALSE,IF(ISNUMBER(E395),OR(E395&lt;=0,E395&gt;100000000,ROUND(E395*100,6)&lt;&gt;INT(ROUND(E395*100,6))),TRUE)),AND($D395&lt;&gt;"",$D395&lt;MAX($C395,$E395)),AND($E395&lt;&gt;"",$E395&gt;MIN($C395,IF($D395="",$C395,$D395))),COUNTIFS($A$2:$A$1001,$A395,$B$2:$B$1001,$B395)&gt;1),"INVALID",IFERROR(IF(IF(INDEX(Accounts!$T$2:$T$11,$F395),ROUND(IF($E395="",$C395,MIN($C395,$E395))-(H395),6)&lt;=0,ROUND(IF($E395="",$C395,MIN($C395,$E395))-(H395),6)&lt;0),"BREACHED","OK"),"INCOMPLETE")),"INVALID"))))</f>
        <v/>
      </c>
      <c r="J395" s="33">
        <f>IF(OR(I395="OK",I395="BREACHED"),-INT(ROUND(-(H395)*100,6))/100,I395)</f>
        <v/>
      </c>
    </row>
    <row r="396" ht="18" customHeight="1">
      <c r="A396" s="9" t="n"/>
      <c r="B396" s="32" t="n"/>
      <c r="C396" s="12" t="n"/>
      <c r="D396" s="12" t="n"/>
      <c r="E396" s="12" t="n"/>
      <c r="F396" s="15">
        <f>IFERROR(MATCH($A396,Accounts!$A$2:$A$11,0),"")</f>
        <v/>
      </c>
      <c r="G396" s="14">
        <f>IFERROR(IF(OR($A396="",$F396=""),"",IF(INDEX(Accounts!$P$2:$P$11,$F396)="static",INDEX(Accounts!$Q$2:$Q$11,$F396),IF(INDEX(Accounts!$P$2:$P$11,$F396)="eod_trailing",MAX(INDEX(Accounts!$Q$2:$Q$11,$F396),_xlfn.MAXIFS($C$2:$C$1001,$A$2:$A$1001,$A396,$B$2:$B$1001,"&lt;"&amp;$B396)),MAX(INDEX(Accounts!$Q$2:$Q$11,$F396),_xlfn.MAXIFS($C$2:$C$1001,$A$2:$A$1001,$A396,$B$2:$B$1001,"&lt;"&amp;$B396),_xlfn.MAXIFS($D$2:$D$1001,$A$2:$A$1001,$A396,$B$2:$B$1001,"&lt;="&amp;$B396),$C396)))),"")</f>
        <v/>
      </c>
      <c r="H396" s="15">
        <f>IFERROR(IF(G396="","",IF(INDEX(Accounts!$P$2:$P$11,$F396)="static",INDEX(Accounts!$Q$2:$Q$11,$F396)-INDEX(Accounts!$R$2:$R$11,$F396),IF(INDEX(Accounts!$S$2:$S$11,$F396)="NONE",G396-INDEX(Accounts!$R$2:$R$11,$F396),MIN(G396-INDEX(Accounts!$R$2:$R$11,$F396),INDEX(Accounts!$Q$2:$Q$11,$F396)+INDEX(Accounts!$S$2:$S$11,$F396))))),"")</f>
        <v/>
      </c>
      <c r="I396" s="16">
        <f>IF(AND($A396="",$B396="",$C396="",$D396="",$E396=""),"",IF(OR($A396="",$F396=""),"UNKNOWN_ACCOUNT",IF(OR($B396="",$C396=""),"INCOMPLETE",IFERROR(IF(OR(NOT(ISNUMBER($B396)),NOT(ISNUMBER($C396)),IF(C396="",FALSE,IF(ISNUMBER(C396),OR(C396&lt;=0,C396&gt;100000000,ROUND(C396*100,6)&lt;&gt;INT(ROUND(C396*100,6))),TRUE)),IF(D396="",FALSE,IF(ISNUMBER(D396),OR(D396&lt;=0,D396&gt;100000000,ROUND(D396*100,6)&lt;&gt;INT(ROUND(D396*100,6))),TRUE)),IF(E396="",FALSE,IF(ISNUMBER(E396),OR(E396&lt;=0,E396&gt;100000000,ROUND(E396*100,6)&lt;&gt;INT(ROUND(E396*100,6))),TRUE)),AND($D396&lt;&gt;"",$D396&lt;MAX($C396,$E396)),AND($E396&lt;&gt;"",$E396&gt;MIN($C396,IF($D396="",$C396,$D396))),COUNTIFS($A$2:$A$1001,$A396,$B$2:$B$1001,$B396)&gt;1),"INVALID",IFERROR(IF(IF(INDEX(Accounts!$T$2:$T$11,$F396),ROUND(IF($E396="",$C396,MIN($C396,$E396))-(H396),6)&lt;=0,ROUND(IF($E396="",$C396,MIN($C396,$E396))-(H396),6)&lt;0),"BREACHED","OK"),"INCOMPLETE")),"INVALID"))))</f>
        <v/>
      </c>
      <c r="J396" s="33">
        <f>IF(OR(I396="OK",I396="BREACHED"),-INT(ROUND(-(H396)*100,6))/100,I396)</f>
        <v/>
      </c>
    </row>
    <row r="397" ht="18" customHeight="1">
      <c r="A397" s="9" t="n"/>
      <c r="B397" s="32" t="n"/>
      <c r="C397" s="12" t="n"/>
      <c r="D397" s="12" t="n"/>
      <c r="E397" s="12" t="n"/>
      <c r="F397" s="15">
        <f>IFERROR(MATCH($A397,Accounts!$A$2:$A$11,0),"")</f>
        <v/>
      </c>
      <c r="G397" s="14">
        <f>IFERROR(IF(OR($A397="",$F397=""),"",IF(INDEX(Accounts!$P$2:$P$11,$F397)="static",INDEX(Accounts!$Q$2:$Q$11,$F397),IF(INDEX(Accounts!$P$2:$P$11,$F397)="eod_trailing",MAX(INDEX(Accounts!$Q$2:$Q$11,$F397),_xlfn.MAXIFS($C$2:$C$1001,$A$2:$A$1001,$A397,$B$2:$B$1001,"&lt;"&amp;$B397)),MAX(INDEX(Accounts!$Q$2:$Q$11,$F397),_xlfn.MAXIFS($C$2:$C$1001,$A$2:$A$1001,$A397,$B$2:$B$1001,"&lt;"&amp;$B397),_xlfn.MAXIFS($D$2:$D$1001,$A$2:$A$1001,$A397,$B$2:$B$1001,"&lt;="&amp;$B397),$C397)))),"")</f>
        <v/>
      </c>
      <c r="H397" s="15">
        <f>IFERROR(IF(G397="","",IF(INDEX(Accounts!$P$2:$P$11,$F397)="static",INDEX(Accounts!$Q$2:$Q$11,$F397)-INDEX(Accounts!$R$2:$R$11,$F397),IF(INDEX(Accounts!$S$2:$S$11,$F397)="NONE",G397-INDEX(Accounts!$R$2:$R$11,$F397),MIN(G397-INDEX(Accounts!$R$2:$R$11,$F397),INDEX(Accounts!$Q$2:$Q$11,$F397)+INDEX(Accounts!$S$2:$S$11,$F397))))),"")</f>
        <v/>
      </c>
      <c r="I397" s="16">
        <f>IF(AND($A397="",$B397="",$C397="",$D397="",$E397=""),"",IF(OR($A397="",$F397=""),"UNKNOWN_ACCOUNT",IF(OR($B397="",$C397=""),"INCOMPLETE",IFERROR(IF(OR(NOT(ISNUMBER($B397)),NOT(ISNUMBER($C397)),IF(C397="",FALSE,IF(ISNUMBER(C397),OR(C397&lt;=0,C397&gt;100000000,ROUND(C397*100,6)&lt;&gt;INT(ROUND(C397*100,6))),TRUE)),IF(D397="",FALSE,IF(ISNUMBER(D397),OR(D397&lt;=0,D397&gt;100000000,ROUND(D397*100,6)&lt;&gt;INT(ROUND(D397*100,6))),TRUE)),IF(E397="",FALSE,IF(ISNUMBER(E397),OR(E397&lt;=0,E397&gt;100000000,ROUND(E397*100,6)&lt;&gt;INT(ROUND(E397*100,6))),TRUE)),AND($D397&lt;&gt;"",$D397&lt;MAX($C397,$E397)),AND($E397&lt;&gt;"",$E397&gt;MIN($C397,IF($D397="",$C397,$D397))),COUNTIFS($A$2:$A$1001,$A397,$B$2:$B$1001,$B397)&gt;1),"INVALID",IFERROR(IF(IF(INDEX(Accounts!$T$2:$T$11,$F397),ROUND(IF($E397="",$C397,MIN($C397,$E397))-(H397),6)&lt;=0,ROUND(IF($E397="",$C397,MIN($C397,$E397))-(H397),6)&lt;0),"BREACHED","OK"),"INCOMPLETE")),"INVALID"))))</f>
        <v/>
      </c>
      <c r="J397" s="33">
        <f>IF(OR(I397="OK",I397="BREACHED"),-INT(ROUND(-(H397)*100,6))/100,I397)</f>
        <v/>
      </c>
    </row>
    <row r="398" ht="18" customHeight="1">
      <c r="A398" s="9" t="n"/>
      <c r="B398" s="32" t="n"/>
      <c r="C398" s="12" t="n"/>
      <c r="D398" s="12" t="n"/>
      <c r="E398" s="12" t="n"/>
      <c r="F398" s="15">
        <f>IFERROR(MATCH($A398,Accounts!$A$2:$A$11,0),"")</f>
        <v/>
      </c>
      <c r="G398" s="14">
        <f>IFERROR(IF(OR($A398="",$F398=""),"",IF(INDEX(Accounts!$P$2:$P$11,$F398)="static",INDEX(Accounts!$Q$2:$Q$11,$F398),IF(INDEX(Accounts!$P$2:$P$11,$F398)="eod_trailing",MAX(INDEX(Accounts!$Q$2:$Q$11,$F398),_xlfn.MAXIFS($C$2:$C$1001,$A$2:$A$1001,$A398,$B$2:$B$1001,"&lt;"&amp;$B398)),MAX(INDEX(Accounts!$Q$2:$Q$11,$F398),_xlfn.MAXIFS($C$2:$C$1001,$A$2:$A$1001,$A398,$B$2:$B$1001,"&lt;"&amp;$B398),_xlfn.MAXIFS($D$2:$D$1001,$A$2:$A$1001,$A398,$B$2:$B$1001,"&lt;="&amp;$B398),$C398)))),"")</f>
        <v/>
      </c>
      <c r="H398" s="15">
        <f>IFERROR(IF(G398="","",IF(INDEX(Accounts!$P$2:$P$11,$F398)="static",INDEX(Accounts!$Q$2:$Q$11,$F398)-INDEX(Accounts!$R$2:$R$11,$F398),IF(INDEX(Accounts!$S$2:$S$11,$F398)="NONE",G398-INDEX(Accounts!$R$2:$R$11,$F398),MIN(G398-INDEX(Accounts!$R$2:$R$11,$F398),INDEX(Accounts!$Q$2:$Q$11,$F398)+INDEX(Accounts!$S$2:$S$11,$F398))))),"")</f>
        <v/>
      </c>
      <c r="I398" s="16">
        <f>IF(AND($A398="",$B398="",$C398="",$D398="",$E398=""),"",IF(OR($A398="",$F398=""),"UNKNOWN_ACCOUNT",IF(OR($B398="",$C398=""),"INCOMPLETE",IFERROR(IF(OR(NOT(ISNUMBER($B398)),NOT(ISNUMBER($C398)),IF(C398="",FALSE,IF(ISNUMBER(C398),OR(C398&lt;=0,C398&gt;100000000,ROUND(C398*100,6)&lt;&gt;INT(ROUND(C398*100,6))),TRUE)),IF(D398="",FALSE,IF(ISNUMBER(D398),OR(D398&lt;=0,D398&gt;100000000,ROUND(D398*100,6)&lt;&gt;INT(ROUND(D398*100,6))),TRUE)),IF(E398="",FALSE,IF(ISNUMBER(E398),OR(E398&lt;=0,E398&gt;100000000,ROUND(E398*100,6)&lt;&gt;INT(ROUND(E398*100,6))),TRUE)),AND($D398&lt;&gt;"",$D398&lt;MAX($C398,$E398)),AND($E398&lt;&gt;"",$E398&gt;MIN($C398,IF($D398="",$C398,$D398))),COUNTIFS($A$2:$A$1001,$A398,$B$2:$B$1001,$B398)&gt;1),"INVALID",IFERROR(IF(IF(INDEX(Accounts!$T$2:$T$11,$F398),ROUND(IF($E398="",$C398,MIN($C398,$E398))-(H398),6)&lt;=0,ROUND(IF($E398="",$C398,MIN($C398,$E398))-(H398),6)&lt;0),"BREACHED","OK"),"INCOMPLETE")),"INVALID"))))</f>
        <v/>
      </c>
      <c r="J398" s="33">
        <f>IF(OR(I398="OK",I398="BREACHED"),-INT(ROUND(-(H398)*100,6))/100,I398)</f>
        <v/>
      </c>
    </row>
    <row r="399" ht="18" customHeight="1">
      <c r="A399" s="9" t="n"/>
      <c r="B399" s="32" t="n"/>
      <c r="C399" s="12" t="n"/>
      <c r="D399" s="12" t="n"/>
      <c r="E399" s="12" t="n"/>
      <c r="F399" s="15">
        <f>IFERROR(MATCH($A399,Accounts!$A$2:$A$11,0),"")</f>
        <v/>
      </c>
      <c r="G399" s="14">
        <f>IFERROR(IF(OR($A399="",$F399=""),"",IF(INDEX(Accounts!$P$2:$P$11,$F399)="static",INDEX(Accounts!$Q$2:$Q$11,$F399),IF(INDEX(Accounts!$P$2:$P$11,$F399)="eod_trailing",MAX(INDEX(Accounts!$Q$2:$Q$11,$F399),_xlfn.MAXIFS($C$2:$C$1001,$A$2:$A$1001,$A399,$B$2:$B$1001,"&lt;"&amp;$B399)),MAX(INDEX(Accounts!$Q$2:$Q$11,$F399),_xlfn.MAXIFS($C$2:$C$1001,$A$2:$A$1001,$A399,$B$2:$B$1001,"&lt;"&amp;$B399),_xlfn.MAXIFS($D$2:$D$1001,$A$2:$A$1001,$A399,$B$2:$B$1001,"&lt;="&amp;$B399),$C399)))),"")</f>
        <v/>
      </c>
      <c r="H399" s="15">
        <f>IFERROR(IF(G399="","",IF(INDEX(Accounts!$P$2:$P$11,$F399)="static",INDEX(Accounts!$Q$2:$Q$11,$F399)-INDEX(Accounts!$R$2:$R$11,$F399),IF(INDEX(Accounts!$S$2:$S$11,$F399)="NONE",G399-INDEX(Accounts!$R$2:$R$11,$F399),MIN(G399-INDEX(Accounts!$R$2:$R$11,$F399),INDEX(Accounts!$Q$2:$Q$11,$F399)+INDEX(Accounts!$S$2:$S$11,$F399))))),"")</f>
        <v/>
      </c>
      <c r="I399" s="16">
        <f>IF(AND($A399="",$B399="",$C399="",$D399="",$E399=""),"",IF(OR($A399="",$F399=""),"UNKNOWN_ACCOUNT",IF(OR($B399="",$C399=""),"INCOMPLETE",IFERROR(IF(OR(NOT(ISNUMBER($B399)),NOT(ISNUMBER($C399)),IF(C399="",FALSE,IF(ISNUMBER(C399),OR(C399&lt;=0,C399&gt;100000000,ROUND(C399*100,6)&lt;&gt;INT(ROUND(C399*100,6))),TRUE)),IF(D399="",FALSE,IF(ISNUMBER(D399),OR(D399&lt;=0,D399&gt;100000000,ROUND(D399*100,6)&lt;&gt;INT(ROUND(D399*100,6))),TRUE)),IF(E399="",FALSE,IF(ISNUMBER(E399),OR(E399&lt;=0,E399&gt;100000000,ROUND(E399*100,6)&lt;&gt;INT(ROUND(E399*100,6))),TRUE)),AND($D399&lt;&gt;"",$D399&lt;MAX($C399,$E399)),AND($E399&lt;&gt;"",$E399&gt;MIN($C399,IF($D399="",$C399,$D399))),COUNTIFS($A$2:$A$1001,$A399,$B$2:$B$1001,$B399)&gt;1),"INVALID",IFERROR(IF(IF(INDEX(Accounts!$T$2:$T$11,$F399),ROUND(IF($E399="",$C399,MIN($C399,$E399))-(H399),6)&lt;=0,ROUND(IF($E399="",$C399,MIN($C399,$E399))-(H399),6)&lt;0),"BREACHED","OK"),"INCOMPLETE")),"INVALID"))))</f>
        <v/>
      </c>
      <c r="J399" s="33">
        <f>IF(OR(I399="OK",I399="BREACHED"),-INT(ROUND(-(H399)*100,6))/100,I399)</f>
        <v/>
      </c>
    </row>
    <row r="400" ht="18" customHeight="1">
      <c r="A400" s="9" t="n"/>
      <c r="B400" s="32" t="n"/>
      <c r="C400" s="12" t="n"/>
      <c r="D400" s="12" t="n"/>
      <c r="E400" s="12" t="n"/>
      <c r="F400" s="15">
        <f>IFERROR(MATCH($A400,Accounts!$A$2:$A$11,0),"")</f>
        <v/>
      </c>
      <c r="G400" s="14">
        <f>IFERROR(IF(OR($A400="",$F400=""),"",IF(INDEX(Accounts!$P$2:$P$11,$F400)="static",INDEX(Accounts!$Q$2:$Q$11,$F400),IF(INDEX(Accounts!$P$2:$P$11,$F400)="eod_trailing",MAX(INDEX(Accounts!$Q$2:$Q$11,$F400),_xlfn.MAXIFS($C$2:$C$1001,$A$2:$A$1001,$A400,$B$2:$B$1001,"&lt;"&amp;$B400)),MAX(INDEX(Accounts!$Q$2:$Q$11,$F400),_xlfn.MAXIFS($C$2:$C$1001,$A$2:$A$1001,$A400,$B$2:$B$1001,"&lt;"&amp;$B400),_xlfn.MAXIFS($D$2:$D$1001,$A$2:$A$1001,$A400,$B$2:$B$1001,"&lt;="&amp;$B400),$C400)))),"")</f>
        <v/>
      </c>
      <c r="H400" s="15">
        <f>IFERROR(IF(G400="","",IF(INDEX(Accounts!$P$2:$P$11,$F400)="static",INDEX(Accounts!$Q$2:$Q$11,$F400)-INDEX(Accounts!$R$2:$R$11,$F400),IF(INDEX(Accounts!$S$2:$S$11,$F400)="NONE",G400-INDEX(Accounts!$R$2:$R$11,$F400),MIN(G400-INDEX(Accounts!$R$2:$R$11,$F400),INDEX(Accounts!$Q$2:$Q$11,$F400)+INDEX(Accounts!$S$2:$S$11,$F400))))),"")</f>
        <v/>
      </c>
      <c r="I400" s="16">
        <f>IF(AND($A400="",$B400="",$C400="",$D400="",$E400=""),"",IF(OR($A400="",$F400=""),"UNKNOWN_ACCOUNT",IF(OR($B400="",$C400=""),"INCOMPLETE",IFERROR(IF(OR(NOT(ISNUMBER($B400)),NOT(ISNUMBER($C400)),IF(C400="",FALSE,IF(ISNUMBER(C400),OR(C400&lt;=0,C400&gt;100000000,ROUND(C400*100,6)&lt;&gt;INT(ROUND(C400*100,6))),TRUE)),IF(D400="",FALSE,IF(ISNUMBER(D400),OR(D400&lt;=0,D400&gt;100000000,ROUND(D400*100,6)&lt;&gt;INT(ROUND(D400*100,6))),TRUE)),IF(E400="",FALSE,IF(ISNUMBER(E400),OR(E400&lt;=0,E400&gt;100000000,ROUND(E400*100,6)&lt;&gt;INT(ROUND(E400*100,6))),TRUE)),AND($D400&lt;&gt;"",$D400&lt;MAX($C400,$E400)),AND($E400&lt;&gt;"",$E400&gt;MIN($C400,IF($D400="",$C400,$D400))),COUNTIFS($A$2:$A$1001,$A400,$B$2:$B$1001,$B400)&gt;1),"INVALID",IFERROR(IF(IF(INDEX(Accounts!$T$2:$T$11,$F400),ROUND(IF($E400="",$C400,MIN($C400,$E400))-(H400),6)&lt;=0,ROUND(IF($E400="",$C400,MIN($C400,$E400))-(H400),6)&lt;0),"BREACHED","OK"),"INCOMPLETE")),"INVALID"))))</f>
        <v/>
      </c>
      <c r="J400" s="33">
        <f>IF(OR(I400="OK",I400="BREACHED"),-INT(ROUND(-(H400)*100,6))/100,I400)</f>
        <v/>
      </c>
    </row>
    <row r="401" ht="18" customHeight="1">
      <c r="A401" s="9" t="n"/>
      <c r="B401" s="32" t="n"/>
      <c r="C401" s="12" t="n"/>
      <c r="D401" s="12" t="n"/>
      <c r="E401" s="12" t="n"/>
      <c r="F401" s="15">
        <f>IFERROR(MATCH($A401,Accounts!$A$2:$A$11,0),"")</f>
        <v/>
      </c>
      <c r="G401" s="14">
        <f>IFERROR(IF(OR($A401="",$F401=""),"",IF(INDEX(Accounts!$P$2:$P$11,$F401)="static",INDEX(Accounts!$Q$2:$Q$11,$F401),IF(INDEX(Accounts!$P$2:$P$11,$F401)="eod_trailing",MAX(INDEX(Accounts!$Q$2:$Q$11,$F401),_xlfn.MAXIFS($C$2:$C$1001,$A$2:$A$1001,$A401,$B$2:$B$1001,"&lt;"&amp;$B401)),MAX(INDEX(Accounts!$Q$2:$Q$11,$F401),_xlfn.MAXIFS($C$2:$C$1001,$A$2:$A$1001,$A401,$B$2:$B$1001,"&lt;"&amp;$B401),_xlfn.MAXIFS($D$2:$D$1001,$A$2:$A$1001,$A401,$B$2:$B$1001,"&lt;="&amp;$B401),$C401)))),"")</f>
        <v/>
      </c>
      <c r="H401" s="15">
        <f>IFERROR(IF(G401="","",IF(INDEX(Accounts!$P$2:$P$11,$F401)="static",INDEX(Accounts!$Q$2:$Q$11,$F401)-INDEX(Accounts!$R$2:$R$11,$F401),IF(INDEX(Accounts!$S$2:$S$11,$F401)="NONE",G401-INDEX(Accounts!$R$2:$R$11,$F401),MIN(G401-INDEX(Accounts!$R$2:$R$11,$F401),INDEX(Accounts!$Q$2:$Q$11,$F401)+INDEX(Accounts!$S$2:$S$11,$F401))))),"")</f>
        <v/>
      </c>
      <c r="I401" s="16">
        <f>IF(AND($A401="",$B401="",$C401="",$D401="",$E401=""),"",IF(OR($A401="",$F401=""),"UNKNOWN_ACCOUNT",IF(OR($B401="",$C401=""),"INCOMPLETE",IFERROR(IF(OR(NOT(ISNUMBER($B401)),NOT(ISNUMBER($C401)),IF(C401="",FALSE,IF(ISNUMBER(C401),OR(C401&lt;=0,C401&gt;100000000,ROUND(C401*100,6)&lt;&gt;INT(ROUND(C401*100,6))),TRUE)),IF(D401="",FALSE,IF(ISNUMBER(D401),OR(D401&lt;=0,D401&gt;100000000,ROUND(D401*100,6)&lt;&gt;INT(ROUND(D401*100,6))),TRUE)),IF(E401="",FALSE,IF(ISNUMBER(E401),OR(E401&lt;=0,E401&gt;100000000,ROUND(E401*100,6)&lt;&gt;INT(ROUND(E401*100,6))),TRUE)),AND($D401&lt;&gt;"",$D401&lt;MAX($C401,$E401)),AND($E401&lt;&gt;"",$E401&gt;MIN($C401,IF($D401="",$C401,$D401))),COUNTIFS($A$2:$A$1001,$A401,$B$2:$B$1001,$B401)&gt;1),"INVALID",IFERROR(IF(IF(INDEX(Accounts!$T$2:$T$11,$F401),ROUND(IF($E401="",$C401,MIN($C401,$E401))-(H401),6)&lt;=0,ROUND(IF($E401="",$C401,MIN($C401,$E401))-(H401),6)&lt;0),"BREACHED","OK"),"INCOMPLETE")),"INVALID"))))</f>
        <v/>
      </c>
      <c r="J401" s="33">
        <f>IF(OR(I401="OK",I401="BREACHED"),-INT(ROUND(-(H401)*100,6))/100,I401)</f>
        <v/>
      </c>
    </row>
    <row r="402" ht="18" customHeight="1">
      <c r="A402" s="9" t="n"/>
      <c r="B402" s="32" t="n"/>
      <c r="C402" s="12" t="n"/>
      <c r="D402" s="12" t="n"/>
      <c r="E402" s="12" t="n"/>
      <c r="F402" s="15">
        <f>IFERROR(MATCH($A402,Accounts!$A$2:$A$11,0),"")</f>
        <v/>
      </c>
      <c r="G402" s="14">
        <f>IFERROR(IF(OR($A402="",$F402=""),"",IF(INDEX(Accounts!$P$2:$P$11,$F402)="static",INDEX(Accounts!$Q$2:$Q$11,$F402),IF(INDEX(Accounts!$P$2:$P$11,$F402)="eod_trailing",MAX(INDEX(Accounts!$Q$2:$Q$11,$F402),_xlfn.MAXIFS($C$2:$C$1001,$A$2:$A$1001,$A402,$B$2:$B$1001,"&lt;"&amp;$B402)),MAX(INDEX(Accounts!$Q$2:$Q$11,$F402),_xlfn.MAXIFS($C$2:$C$1001,$A$2:$A$1001,$A402,$B$2:$B$1001,"&lt;"&amp;$B402),_xlfn.MAXIFS($D$2:$D$1001,$A$2:$A$1001,$A402,$B$2:$B$1001,"&lt;="&amp;$B402),$C402)))),"")</f>
        <v/>
      </c>
      <c r="H402" s="15">
        <f>IFERROR(IF(G402="","",IF(INDEX(Accounts!$P$2:$P$11,$F402)="static",INDEX(Accounts!$Q$2:$Q$11,$F402)-INDEX(Accounts!$R$2:$R$11,$F402),IF(INDEX(Accounts!$S$2:$S$11,$F402)="NONE",G402-INDEX(Accounts!$R$2:$R$11,$F402),MIN(G402-INDEX(Accounts!$R$2:$R$11,$F402),INDEX(Accounts!$Q$2:$Q$11,$F402)+INDEX(Accounts!$S$2:$S$11,$F402))))),"")</f>
        <v/>
      </c>
      <c r="I402" s="16">
        <f>IF(AND($A402="",$B402="",$C402="",$D402="",$E402=""),"",IF(OR($A402="",$F402=""),"UNKNOWN_ACCOUNT",IF(OR($B402="",$C402=""),"INCOMPLETE",IFERROR(IF(OR(NOT(ISNUMBER($B402)),NOT(ISNUMBER($C402)),IF(C402="",FALSE,IF(ISNUMBER(C402),OR(C402&lt;=0,C402&gt;100000000,ROUND(C402*100,6)&lt;&gt;INT(ROUND(C402*100,6))),TRUE)),IF(D402="",FALSE,IF(ISNUMBER(D402),OR(D402&lt;=0,D402&gt;100000000,ROUND(D402*100,6)&lt;&gt;INT(ROUND(D402*100,6))),TRUE)),IF(E402="",FALSE,IF(ISNUMBER(E402),OR(E402&lt;=0,E402&gt;100000000,ROUND(E402*100,6)&lt;&gt;INT(ROUND(E402*100,6))),TRUE)),AND($D402&lt;&gt;"",$D402&lt;MAX($C402,$E402)),AND($E402&lt;&gt;"",$E402&gt;MIN($C402,IF($D402="",$C402,$D402))),COUNTIFS($A$2:$A$1001,$A402,$B$2:$B$1001,$B402)&gt;1),"INVALID",IFERROR(IF(IF(INDEX(Accounts!$T$2:$T$11,$F402),ROUND(IF($E402="",$C402,MIN($C402,$E402))-(H402),6)&lt;=0,ROUND(IF($E402="",$C402,MIN($C402,$E402))-(H402),6)&lt;0),"BREACHED","OK"),"INCOMPLETE")),"INVALID"))))</f>
        <v/>
      </c>
      <c r="J402" s="33">
        <f>IF(OR(I402="OK",I402="BREACHED"),-INT(ROUND(-(H402)*100,6))/100,I402)</f>
        <v/>
      </c>
    </row>
    <row r="403" ht="18" customHeight="1">
      <c r="A403" s="9" t="n"/>
      <c r="B403" s="32" t="n"/>
      <c r="C403" s="12" t="n"/>
      <c r="D403" s="12" t="n"/>
      <c r="E403" s="12" t="n"/>
      <c r="F403" s="15">
        <f>IFERROR(MATCH($A403,Accounts!$A$2:$A$11,0),"")</f>
        <v/>
      </c>
      <c r="G403" s="14">
        <f>IFERROR(IF(OR($A403="",$F403=""),"",IF(INDEX(Accounts!$P$2:$P$11,$F403)="static",INDEX(Accounts!$Q$2:$Q$11,$F403),IF(INDEX(Accounts!$P$2:$P$11,$F403)="eod_trailing",MAX(INDEX(Accounts!$Q$2:$Q$11,$F403),_xlfn.MAXIFS($C$2:$C$1001,$A$2:$A$1001,$A403,$B$2:$B$1001,"&lt;"&amp;$B403)),MAX(INDEX(Accounts!$Q$2:$Q$11,$F403),_xlfn.MAXIFS($C$2:$C$1001,$A$2:$A$1001,$A403,$B$2:$B$1001,"&lt;"&amp;$B403),_xlfn.MAXIFS($D$2:$D$1001,$A$2:$A$1001,$A403,$B$2:$B$1001,"&lt;="&amp;$B403),$C403)))),"")</f>
        <v/>
      </c>
      <c r="H403" s="15">
        <f>IFERROR(IF(G403="","",IF(INDEX(Accounts!$P$2:$P$11,$F403)="static",INDEX(Accounts!$Q$2:$Q$11,$F403)-INDEX(Accounts!$R$2:$R$11,$F403),IF(INDEX(Accounts!$S$2:$S$11,$F403)="NONE",G403-INDEX(Accounts!$R$2:$R$11,$F403),MIN(G403-INDEX(Accounts!$R$2:$R$11,$F403),INDEX(Accounts!$Q$2:$Q$11,$F403)+INDEX(Accounts!$S$2:$S$11,$F403))))),"")</f>
        <v/>
      </c>
      <c r="I403" s="16">
        <f>IF(AND($A403="",$B403="",$C403="",$D403="",$E403=""),"",IF(OR($A403="",$F403=""),"UNKNOWN_ACCOUNT",IF(OR($B403="",$C403=""),"INCOMPLETE",IFERROR(IF(OR(NOT(ISNUMBER($B403)),NOT(ISNUMBER($C403)),IF(C403="",FALSE,IF(ISNUMBER(C403),OR(C403&lt;=0,C403&gt;100000000,ROUND(C403*100,6)&lt;&gt;INT(ROUND(C403*100,6))),TRUE)),IF(D403="",FALSE,IF(ISNUMBER(D403),OR(D403&lt;=0,D403&gt;100000000,ROUND(D403*100,6)&lt;&gt;INT(ROUND(D403*100,6))),TRUE)),IF(E403="",FALSE,IF(ISNUMBER(E403),OR(E403&lt;=0,E403&gt;100000000,ROUND(E403*100,6)&lt;&gt;INT(ROUND(E403*100,6))),TRUE)),AND($D403&lt;&gt;"",$D403&lt;MAX($C403,$E403)),AND($E403&lt;&gt;"",$E403&gt;MIN($C403,IF($D403="",$C403,$D403))),COUNTIFS($A$2:$A$1001,$A403,$B$2:$B$1001,$B403)&gt;1),"INVALID",IFERROR(IF(IF(INDEX(Accounts!$T$2:$T$11,$F403),ROUND(IF($E403="",$C403,MIN($C403,$E403))-(H403),6)&lt;=0,ROUND(IF($E403="",$C403,MIN($C403,$E403))-(H403),6)&lt;0),"BREACHED","OK"),"INCOMPLETE")),"INVALID"))))</f>
        <v/>
      </c>
      <c r="J403" s="33">
        <f>IF(OR(I403="OK",I403="BREACHED"),-INT(ROUND(-(H403)*100,6))/100,I403)</f>
        <v/>
      </c>
    </row>
    <row r="404" ht="18" customHeight="1">
      <c r="A404" s="9" t="n"/>
      <c r="B404" s="32" t="n"/>
      <c r="C404" s="12" t="n"/>
      <c r="D404" s="12" t="n"/>
      <c r="E404" s="12" t="n"/>
      <c r="F404" s="15">
        <f>IFERROR(MATCH($A404,Accounts!$A$2:$A$11,0),"")</f>
        <v/>
      </c>
      <c r="G404" s="14">
        <f>IFERROR(IF(OR($A404="",$F404=""),"",IF(INDEX(Accounts!$P$2:$P$11,$F404)="static",INDEX(Accounts!$Q$2:$Q$11,$F404),IF(INDEX(Accounts!$P$2:$P$11,$F404)="eod_trailing",MAX(INDEX(Accounts!$Q$2:$Q$11,$F404),_xlfn.MAXIFS($C$2:$C$1001,$A$2:$A$1001,$A404,$B$2:$B$1001,"&lt;"&amp;$B404)),MAX(INDEX(Accounts!$Q$2:$Q$11,$F404),_xlfn.MAXIFS($C$2:$C$1001,$A$2:$A$1001,$A404,$B$2:$B$1001,"&lt;"&amp;$B404),_xlfn.MAXIFS($D$2:$D$1001,$A$2:$A$1001,$A404,$B$2:$B$1001,"&lt;="&amp;$B404),$C404)))),"")</f>
        <v/>
      </c>
      <c r="H404" s="15">
        <f>IFERROR(IF(G404="","",IF(INDEX(Accounts!$P$2:$P$11,$F404)="static",INDEX(Accounts!$Q$2:$Q$11,$F404)-INDEX(Accounts!$R$2:$R$11,$F404),IF(INDEX(Accounts!$S$2:$S$11,$F404)="NONE",G404-INDEX(Accounts!$R$2:$R$11,$F404),MIN(G404-INDEX(Accounts!$R$2:$R$11,$F404),INDEX(Accounts!$Q$2:$Q$11,$F404)+INDEX(Accounts!$S$2:$S$11,$F404))))),"")</f>
        <v/>
      </c>
      <c r="I404" s="16">
        <f>IF(AND($A404="",$B404="",$C404="",$D404="",$E404=""),"",IF(OR($A404="",$F404=""),"UNKNOWN_ACCOUNT",IF(OR($B404="",$C404=""),"INCOMPLETE",IFERROR(IF(OR(NOT(ISNUMBER($B404)),NOT(ISNUMBER($C404)),IF(C404="",FALSE,IF(ISNUMBER(C404),OR(C404&lt;=0,C404&gt;100000000,ROUND(C404*100,6)&lt;&gt;INT(ROUND(C404*100,6))),TRUE)),IF(D404="",FALSE,IF(ISNUMBER(D404),OR(D404&lt;=0,D404&gt;100000000,ROUND(D404*100,6)&lt;&gt;INT(ROUND(D404*100,6))),TRUE)),IF(E404="",FALSE,IF(ISNUMBER(E404),OR(E404&lt;=0,E404&gt;100000000,ROUND(E404*100,6)&lt;&gt;INT(ROUND(E404*100,6))),TRUE)),AND($D404&lt;&gt;"",$D404&lt;MAX($C404,$E404)),AND($E404&lt;&gt;"",$E404&gt;MIN($C404,IF($D404="",$C404,$D404))),COUNTIFS($A$2:$A$1001,$A404,$B$2:$B$1001,$B404)&gt;1),"INVALID",IFERROR(IF(IF(INDEX(Accounts!$T$2:$T$11,$F404),ROUND(IF($E404="",$C404,MIN($C404,$E404))-(H404),6)&lt;=0,ROUND(IF($E404="",$C404,MIN($C404,$E404))-(H404),6)&lt;0),"BREACHED","OK"),"INCOMPLETE")),"INVALID"))))</f>
        <v/>
      </c>
      <c r="J404" s="33">
        <f>IF(OR(I404="OK",I404="BREACHED"),-INT(ROUND(-(H404)*100,6))/100,I404)</f>
        <v/>
      </c>
    </row>
    <row r="405" ht="18" customHeight="1">
      <c r="A405" s="9" t="n"/>
      <c r="B405" s="32" t="n"/>
      <c r="C405" s="12" t="n"/>
      <c r="D405" s="12" t="n"/>
      <c r="E405" s="12" t="n"/>
      <c r="F405" s="15">
        <f>IFERROR(MATCH($A405,Accounts!$A$2:$A$11,0),"")</f>
        <v/>
      </c>
      <c r="G405" s="14">
        <f>IFERROR(IF(OR($A405="",$F405=""),"",IF(INDEX(Accounts!$P$2:$P$11,$F405)="static",INDEX(Accounts!$Q$2:$Q$11,$F405),IF(INDEX(Accounts!$P$2:$P$11,$F405)="eod_trailing",MAX(INDEX(Accounts!$Q$2:$Q$11,$F405),_xlfn.MAXIFS($C$2:$C$1001,$A$2:$A$1001,$A405,$B$2:$B$1001,"&lt;"&amp;$B405)),MAX(INDEX(Accounts!$Q$2:$Q$11,$F405),_xlfn.MAXIFS($C$2:$C$1001,$A$2:$A$1001,$A405,$B$2:$B$1001,"&lt;"&amp;$B405),_xlfn.MAXIFS($D$2:$D$1001,$A$2:$A$1001,$A405,$B$2:$B$1001,"&lt;="&amp;$B405),$C405)))),"")</f>
        <v/>
      </c>
      <c r="H405" s="15">
        <f>IFERROR(IF(G405="","",IF(INDEX(Accounts!$P$2:$P$11,$F405)="static",INDEX(Accounts!$Q$2:$Q$11,$F405)-INDEX(Accounts!$R$2:$R$11,$F405),IF(INDEX(Accounts!$S$2:$S$11,$F405)="NONE",G405-INDEX(Accounts!$R$2:$R$11,$F405),MIN(G405-INDEX(Accounts!$R$2:$R$11,$F405),INDEX(Accounts!$Q$2:$Q$11,$F405)+INDEX(Accounts!$S$2:$S$11,$F405))))),"")</f>
        <v/>
      </c>
      <c r="I405" s="16">
        <f>IF(AND($A405="",$B405="",$C405="",$D405="",$E405=""),"",IF(OR($A405="",$F405=""),"UNKNOWN_ACCOUNT",IF(OR($B405="",$C405=""),"INCOMPLETE",IFERROR(IF(OR(NOT(ISNUMBER($B405)),NOT(ISNUMBER($C405)),IF(C405="",FALSE,IF(ISNUMBER(C405),OR(C405&lt;=0,C405&gt;100000000,ROUND(C405*100,6)&lt;&gt;INT(ROUND(C405*100,6))),TRUE)),IF(D405="",FALSE,IF(ISNUMBER(D405),OR(D405&lt;=0,D405&gt;100000000,ROUND(D405*100,6)&lt;&gt;INT(ROUND(D405*100,6))),TRUE)),IF(E405="",FALSE,IF(ISNUMBER(E405),OR(E405&lt;=0,E405&gt;100000000,ROUND(E405*100,6)&lt;&gt;INT(ROUND(E405*100,6))),TRUE)),AND($D405&lt;&gt;"",$D405&lt;MAX($C405,$E405)),AND($E405&lt;&gt;"",$E405&gt;MIN($C405,IF($D405="",$C405,$D405))),COUNTIFS($A$2:$A$1001,$A405,$B$2:$B$1001,$B405)&gt;1),"INVALID",IFERROR(IF(IF(INDEX(Accounts!$T$2:$T$11,$F405),ROUND(IF($E405="",$C405,MIN($C405,$E405))-(H405),6)&lt;=0,ROUND(IF($E405="",$C405,MIN($C405,$E405))-(H405),6)&lt;0),"BREACHED","OK"),"INCOMPLETE")),"INVALID"))))</f>
        <v/>
      </c>
      <c r="J405" s="33">
        <f>IF(OR(I405="OK",I405="BREACHED"),-INT(ROUND(-(H405)*100,6))/100,I405)</f>
        <v/>
      </c>
    </row>
    <row r="406" ht="18" customHeight="1">
      <c r="A406" s="9" t="n"/>
      <c r="B406" s="32" t="n"/>
      <c r="C406" s="12" t="n"/>
      <c r="D406" s="12" t="n"/>
      <c r="E406" s="12" t="n"/>
      <c r="F406" s="15">
        <f>IFERROR(MATCH($A406,Accounts!$A$2:$A$11,0),"")</f>
        <v/>
      </c>
      <c r="G406" s="14">
        <f>IFERROR(IF(OR($A406="",$F406=""),"",IF(INDEX(Accounts!$P$2:$P$11,$F406)="static",INDEX(Accounts!$Q$2:$Q$11,$F406),IF(INDEX(Accounts!$P$2:$P$11,$F406)="eod_trailing",MAX(INDEX(Accounts!$Q$2:$Q$11,$F406),_xlfn.MAXIFS($C$2:$C$1001,$A$2:$A$1001,$A406,$B$2:$B$1001,"&lt;"&amp;$B406)),MAX(INDEX(Accounts!$Q$2:$Q$11,$F406),_xlfn.MAXIFS($C$2:$C$1001,$A$2:$A$1001,$A406,$B$2:$B$1001,"&lt;"&amp;$B406),_xlfn.MAXIFS($D$2:$D$1001,$A$2:$A$1001,$A406,$B$2:$B$1001,"&lt;="&amp;$B406),$C406)))),"")</f>
        <v/>
      </c>
      <c r="H406" s="15">
        <f>IFERROR(IF(G406="","",IF(INDEX(Accounts!$P$2:$P$11,$F406)="static",INDEX(Accounts!$Q$2:$Q$11,$F406)-INDEX(Accounts!$R$2:$R$11,$F406),IF(INDEX(Accounts!$S$2:$S$11,$F406)="NONE",G406-INDEX(Accounts!$R$2:$R$11,$F406),MIN(G406-INDEX(Accounts!$R$2:$R$11,$F406),INDEX(Accounts!$Q$2:$Q$11,$F406)+INDEX(Accounts!$S$2:$S$11,$F406))))),"")</f>
        <v/>
      </c>
      <c r="I406" s="16">
        <f>IF(AND($A406="",$B406="",$C406="",$D406="",$E406=""),"",IF(OR($A406="",$F406=""),"UNKNOWN_ACCOUNT",IF(OR($B406="",$C406=""),"INCOMPLETE",IFERROR(IF(OR(NOT(ISNUMBER($B406)),NOT(ISNUMBER($C406)),IF(C406="",FALSE,IF(ISNUMBER(C406),OR(C406&lt;=0,C406&gt;100000000,ROUND(C406*100,6)&lt;&gt;INT(ROUND(C406*100,6))),TRUE)),IF(D406="",FALSE,IF(ISNUMBER(D406),OR(D406&lt;=0,D406&gt;100000000,ROUND(D406*100,6)&lt;&gt;INT(ROUND(D406*100,6))),TRUE)),IF(E406="",FALSE,IF(ISNUMBER(E406),OR(E406&lt;=0,E406&gt;100000000,ROUND(E406*100,6)&lt;&gt;INT(ROUND(E406*100,6))),TRUE)),AND($D406&lt;&gt;"",$D406&lt;MAX($C406,$E406)),AND($E406&lt;&gt;"",$E406&gt;MIN($C406,IF($D406="",$C406,$D406))),COUNTIFS($A$2:$A$1001,$A406,$B$2:$B$1001,$B406)&gt;1),"INVALID",IFERROR(IF(IF(INDEX(Accounts!$T$2:$T$11,$F406),ROUND(IF($E406="",$C406,MIN($C406,$E406))-(H406),6)&lt;=0,ROUND(IF($E406="",$C406,MIN($C406,$E406))-(H406),6)&lt;0),"BREACHED","OK"),"INCOMPLETE")),"INVALID"))))</f>
        <v/>
      </c>
      <c r="J406" s="33">
        <f>IF(OR(I406="OK",I406="BREACHED"),-INT(ROUND(-(H406)*100,6))/100,I406)</f>
        <v/>
      </c>
    </row>
    <row r="407" ht="18" customHeight="1">
      <c r="A407" s="9" t="n"/>
      <c r="B407" s="32" t="n"/>
      <c r="C407" s="12" t="n"/>
      <c r="D407" s="12" t="n"/>
      <c r="E407" s="12" t="n"/>
      <c r="F407" s="15">
        <f>IFERROR(MATCH($A407,Accounts!$A$2:$A$11,0),"")</f>
        <v/>
      </c>
      <c r="G407" s="14">
        <f>IFERROR(IF(OR($A407="",$F407=""),"",IF(INDEX(Accounts!$P$2:$P$11,$F407)="static",INDEX(Accounts!$Q$2:$Q$11,$F407),IF(INDEX(Accounts!$P$2:$P$11,$F407)="eod_trailing",MAX(INDEX(Accounts!$Q$2:$Q$11,$F407),_xlfn.MAXIFS($C$2:$C$1001,$A$2:$A$1001,$A407,$B$2:$B$1001,"&lt;"&amp;$B407)),MAX(INDEX(Accounts!$Q$2:$Q$11,$F407),_xlfn.MAXIFS($C$2:$C$1001,$A$2:$A$1001,$A407,$B$2:$B$1001,"&lt;"&amp;$B407),_xlfn.MAXIFS($D$2:$D$1001,$A$2:$A$1001,$A407,$B$2:$B$1001,"&lt;="&amp;$B407),$C407)))),"")</f>
        <v/>
      </c>
      <c r="H407" s="15">
        <f>IFERROR(IF(G407="","",IF(INDEX(Accounts!$P$2:$P$11,$F407)="static",INDEX(Accounts!$Q$2:$Q$11,$F407)-INDEX(Accounts!$R$2:$R$11,$F407),IF(INDEX(Accounts!$S$2:$S$11,$F407)="NONE",G407-INDEX(Accounts!$R$2:$R$11,$F407),MIN(G407-INDEX(Accounts!$R$2:$R$11,$F407),INDEX(Accounts!$Q$2:$Q$11,$F407)+INDEX(Accounts!$S$2:$S$11,$F407))))),"")</f>
        <v/>
      </c>
      <c r="I407" s="16">
        <f>IF(AND($A407="",$B407="",$C407="",$D407="",$E407=""),"",IF(OR($A407="",$F407=""),"UNKNOWN_ACCOUNT",IF(OR($B407="",$C407=""),"INCOMPLETE",IFERROR(IF(OR(NOT(ISNUMBER($B407)),NOT(ISNUMBER($C407)),IF(C407="",FALSE,IF(ISNUMBER(C407),OR(C407&lt;=0,C407&gt;100000000,ROUND(C407*100,6)&lt;&gt;INT(ROUND(C407*100,6))),TRUE)),IF(D407="",FALSE,IF(ISNUMBER(D407),OR(D407&lt;=0,D407&gt;100000000,ROUND(D407*100,6)&lt;&gt;INT(ROUND(D407*100,6))),TRUE)),IF(E407="",FALSE,IF(ISNUMBER(E407),OR(E407&lt;=0,E407&gt;100000000,ROUND(E407*100,6)&lt;&gt;INT(ROUND(E407*100,6))),TRUE)),AND($D407&lt;&gt;"",$D407&lt;MAX($C407,$E407)),AND($E407&lt;&gt;"",$E407&gt;MIN($C407,IF($D407="",$C407,$D407))),COUNTIFS($A$2:$A$1001,$A407,$B$2:$B$1001,$B407)&gt;1),"INVALID",IFERROR(IF(IF(INDEX(Accounts!$T$2:$T$11,$F407),ROUND(IF($E407="",$C407,MIN($C407,$E407))-(H407),6)&lt;=0,ROUND(IF($E407="",$C407,MIN($C407,$E407))-(H407),6)&lt;0),"BREACHED","OK"),"INCOMPLETE")),"INVALID"))))</f>
        <v/>
      </c>
      <c r="J407" s="33">
        <f>IF(OR(I407="OK",I407="BREACHED"),-INT(ROUND(-(H407)*100,6))/100,I407)</f>
        <v/>
      </c>
    </row>
    <row r="408" ht="18" customHeight="1">
      <c r="A408" s="9" t="n"/>
      <c r="B408" s="32" t="n"/>
      <c r="C408" s="12" t="n"/>
      <c r="D408" s="12" t="n"/>
      <c r="E408" s="12" t="n"/>
      <c r="F408" s="15">
        <f>IFERROR(MATCH($A408,Accounts!$A$2:$A$11,0),"")</f>
        <v/>
      </c>
      <c r="G408" s="14">
        <f>IFERROR(IF(OR($A408="",$F408=""),"",IF(INDEX(Accounts!$P$2:$P$11,$F408)="static",INDEX(Accounts!$Q$2:$Q$11,$F408),IF(INDEX(Accounts!$P$2:$P$11,$F408)="eod_trailing",MAX(INDEX(Accounts!$Q$2:$Q$11,$F408),_xlfn.MAXIFS($C$2:$C$1001,$A$2:$A$1001,$A408,$B$2:$B$1001,"&lt;"&amp;$B408)),MAX(INDEX(Accounts!$Q$2:$Q$11,$F408),_xlfn.MAXIFS($C$2:$C$1001,$A$2:$A$1001,$A408,$B$2:$B$1001,"&lt;"&amp;$B408),_xlfn.MAXIFS($D$2:$D$1001,$A$2:$A$1001,$A408,$B$2:$B$1001,"&lt;="&amp;$B408),$C408)))),"")</f>
        <v/>
      </c>
      <c r="H408" s="15">
        <f>IFERROR(IF(G408="","",IF(INDEX(Accounts!$P$2:$P$11,$F408)="static",INDEX(Accounts!$Q$2:$Q$11,$F408)-INDEX(Accounts!$R$2:$R$11,$F408),IF(INDEX(Accounts!$S$2:$S$11,$F408)="NONE",G408-INDEX(Accounts!$R$2:$R$11,$F408),MIN(G408-INDEX(Accounts!$R$2:$R$11,$F408),INDEX(Accounts!$Q$2:$Q$11,$F408)+INDEX(Accounts!$S$2:$S$11,$F408))))),"")</f>
        <v/>
      </c>
      <c r="I408" s="16">
        <f>IF(AND($A408="",$B408="",$C408="",$D408="",$E408=""),"",IF(OR($A408="",$F408=""),"UNKNOWN_ACCOUNT",IF(OR($B408="",$C408=""),"INCOMPLETE",IFERROR(IF(OR(NOT(ISNUMBER($B408)),NOT(ISNUMBER($C408)),IF(C408="",FALSE,IF(ISNUMBER(C408),OR(C408&lt;=0,C408&gt;100000000,ROUND(C408*100,6)&lt;&gt;INT(ROUND(C408*100,6))),TRUE)),IF(D408="",FALSE,IF(ISNUMBER(D408),OR(D408&lt;=0,D408&gt;100000000,ROUND(D408*100,6)&lt;&gt;INT(ROUND(D408*100,6))),TRUE)),IF(E408="",FALSE,IF(ISNUMBER(E408),OR(E408&lt;=0,E408&gt;100000000,ROUND(E408*100,6)&lt;&gt;INT(ROUND(E408*100,6))),TRUE)),AND($D408&lt;&gt;"",$D408&lt;MAX($C408,$E408)),AND($E408&lt;&gt;"",$E408&gt;MIN($C408,IF($D408="",$C408,$D408))),COUNTIFS($A$2:$A$1001,$A408,$B$2:$B$1001,$B408)&gt;1),"INVALID",IFERROR(IF(IF(INDEX(Accounts!$T$2:$T$11,$F408),ROUND(IF($E408="",$C408,MIN($C408,$E408))-(H408),6)&lt;=0,ROUND(IF($E408="",$C408,MIN($C408,$E408))-(H408),6)&lt;0),"BREACHED","OK"),"INCOMPLETE")),"INVALID"))))</f>
        <v/>
      </c>
      <c r="J408" s="33">
        <f>IF(OR(I408="OK",I408="BREACHED"),-INT(ROUND(-(H408)*100,6))/100,I408)</f>
        <v/>
      </c>
    </row>
    <row r="409" ht="18" customHeight="1">
      <c r="A409" s="9" t="n"/>
      <c r="B409" s="32" t="n"/>
      <c r="C409" s="12" t="n"/>
      <c r="D409" s="12" t="n"/>
      <c r="E409" s="12" t="n"/>
      <c r="F409" s="15">
        <f>IFERROR(MATCH($A409,Accounts!$A$2:$A$11,0),"")</f>
        <v/>
      </c>
      <c r="G409" s="14">
        <f>IFERROR(IF(OR($A409="",$F409=""),"",IF(INDEX(Accounts!$P$2:$P$11,$F409)="static",INDEX(Accounts!$Q$2:$Q$11,$F409),IF(INDEX(Accounts!$P$2:$P$11,$F409)="eod_trailing",MAX(INDEX(Accounts!$Q$2:$Q$11,$F409),_xlfn.MAXIFS($C$2:$C$1001,$A$2:$A$1001,$A409,$B$2:$B$1001,"&lt;"&amp;$B409)),MAX(INDEX(Accounts!$Q$2:$Q$11,$F409),_xlfn.MAXIFS($C$2:$C$1001,$A$2:$A$1001,$A409,$B$2:$B$1001,"&lt;"&amp;$B409),_xlfn.MAXIFS($D$2:$D$1001,$A$2:$A$1001,$A409,$B$2:$B$1001,"&lt;="&amp;$B409),$C409)))),"")</f>
        <v/>
      </c>
      <c r="H409" s="15">
        <f>IFERROR(IF(G409="","",IF(INDEX(Accounts!$P$2:$P$11,$F409)="static",INDEX(Accounts!$Q$2:$Q$11,$F409)-INDEX(Accounts!$R$2:$R$11,$F409),IF(INDEX(Accounts!$S$2:$S$11,$F409)="NONE",G409-INDEX(Accounts!$R$2:$R$11,$F409),MIN(G409-INDEX(Accounts!$R$2:$R$11,$F409),INDEX(Accounts!$Q$2:$Q$11,$F409)+INDEX(Accounts!$S$2:$S$11,$F409))))),"")</f>
        <v/>
      </c>
      <c r="I409" s="16">
        <f>IF(AND($A409="",$B409="",$C409="",$D409="",$E409=""),"",IF(OR($A409="",$F409=""),"UNKNOWN_ACCOUNT",IF(OR($B409="",$C409=""),"INCOMPLETE",IFERROR(IF(OR(NOT(ISNUMBER($B409)),NOT(ISNUMBER($C409)),IF(C409="",FALSE,IF(ISNUMBER(C409),OR(C409&lt;=0,C409&gt;100000000,ROUND(C409*100,6)&lt;&gt;INT(ROUND(C409*100,6))),TRUE)),IF(D409="",FALSE,IF(ISNUMBER(D409),OR(D409&lt;=0,D409&gt;100000000,ROUND(D409*100,6)&lt;&gt;INT(ROUND(D409*100,6))),TRUE)),IF(E409="",FALSE,IF(ISNUMBER(E409),OR(E409&lt;=0,E409&gt;100000000,ROUND(E409*100,6)&lt;&gt;INT(ROUND(E409*100,6))),TRUE)),AND($D409&lt;&gt;"",$D409&lt;MAX($C409,$E409)),AND($E409&lt;&gt;"",$E409&gt;MIN($C409,IF($D409="",$C409,$D409))),COUNTIFS($A$2:$A$1001,$A409,$B$2:$B$1001,$B409)&gt;1),"INVALID",IFERROR(IF(IF(INDEX(Accounts!$T$2:$T$11,$F409),ROUND(IF($E409="",$C409,MIN($C409,$E409))-(H409),6)&lt;=0,ROUND(IF($E409="",$C409,MIN($C409,$E409))-(H409),6)&lt;0),"BREACHED","OK"),"INCOMPLETE")),"INVALID"))))</f>
        <v/>
      </c>
      <c r="J409" s="33">
        <f>IF(OR(I409="OK",I409="BREACHED"),-INT(ROUND(-(H409)*100,6))/100,I409)</f>
        <v/>
      </c>
    </row>
    <row r="410" ht="18" customHeight="1">
      <c r="A410" s="9" t="n"/>
      <c r="B410" s="32" t="n"/>
      <c r="C410" s="12" t="n"/>
      <c r="D410" s="12" t="n"/>
      <c r="E410" s="12" t="n"/>
      <c r="F410" s="15">
        <f>IFERROR(MATCH($A410,Accounts!$A$2:$A$11,0),"")</f>
        <v/>
      </c>
      <c r="G410" s="14">
        <f>IFERROR(IF(OR($A410="",$F410=""),"",IF(INDEX(Accounts!$P$2:$P$11,$F410)="static",INDEX(Accounts!$Q$2:$Q$11,$F410),IF(INDEX(Accounts!$P$2:$P$11,$F410)="eod_trailing",MAX(INDEX(Accounts!$Q$2:$Q$11,$F410),_xlfn.MAXIFS($C$2:$C$1001,$A$2:$A$1001,$A410,$B$2:$B$1001,"&lt;"&amp;$B410)),MAX(INDEX(Accounts!$Q$2:$Q$11,$F410),_xlfn.MAXIFS($C$2:$C$1001,$A$2:$A$1001,$A410,$B$2:$B$1001,"&lt;"&amp;$B410),_xlfn.MAXIFS($D$2:$D$1001,$A$2:$A$1001,$A410,$B$2:$B$1001,"&lt;="&amp;$B410),$C410)))),"")</f>
        <v/>
      </c>
      <c r="H410" s="15">
        <f>IFERROR(IF(G410="","",IF(INDEX(Accounts!$P$2:$P$11,$F410)="static",INDEX(Accounts!$Q$2:$Q$11,$F410)-INDEX(Accounts!$R$2:$R$11,$F410),IF(INDEX(Accounts!$S$2:$S$11,$F410)="NONE",G410-INDEX(Accounts!$R$2:$R$11,$F410),MIN(G410-INDEX(Accounts!$R$2:$R$11,$F410),INDEX(Accounts!$Q$2:$Q$11,$F410)+INDEX(Accounts!$S$2:$S$11,$F410))))),"")</f>
        <v/>
      </c>
      <c r="I410" s="16">
        <f>IF(AND($A410="",$B410="",$C410="",$D410="",$E410=""),"",IF(OR($A410="",$F410=""),"UNKNOWN_ACCOUNT",IF(OR($B410="",$C410=""),"INCOMPLETE",IFERROR(IF(OR(NOT(ISNUMBER($B410)),NOT(ISNUMBER($C410)),IF(C410="",FALSE,IF(ISNUMBER(C410),OR(C410&lt;=0,C410&gt;100000000,ROUND(C410*100,6)&lt;&gt;INT(ROUND(C410*100,6))),TRUE)),IF(D410="",FALSE,IF(ISNUMBER(D410),OR(D410&lt;=0,D410&gt;100000000,ROUND(D410*100,6)&lt;&gt;INT(ROUND(D410*100,6))),TRUE)),IF(E410="",FALSE,IF(ISNUMBER(E410),OR(E410&lt;=0,E410&gt;100000000,ROUND(E410*100,6)&lt;&gt;INT(ROUND(E410*100,6))),TRUE)),AND($D410&lt;&gt;"",$D410&lt;MAX($C410,$E410)),AND($E410&lt;&gt;"",$E410&gt;MIN($C410,IF($D410="",$C410,$D410))),COUNTIFS($A$2:$A$1001,$A410,$B$2:$B$1001,$B410)&gt;1),"INVALID",IFERROR(IF(IF(INDEX(Accounts!$T$2:$T$11,$F410),ROUND(IF($E410="",$C410,MIN($C410,$E410))-(H410),6)&lt;=0,ROUND(IF($E410="",$C410,MIN($C410,$E410))-(H410),6)&lt;0),"BREACHED","OK"),"INCOMPLETE")),"INVALID"))))</f>
        <v/>
      </c>
      <c r="J410" s="33">
        <f>IF(OR(I410="OK",I410="BREACHED"),-INT(ROUND(-(H410)*100,6))/100,I410)</f>
        <v/>
      </c>
    </row>
    <row r="411" ht="18" customHeight="1">
      <c r="A411" s="9" t="n"/>
      <c r="B411" s="32" t="n"/>
      <c r="C411" s="12" t="n"/>
      <c r="D411" s="12" t="n"/>
      <c r="E411" s="12" t="n"/>
      <c r="F411" s="15">
        <f>IFERROR(MATCH($A411,Accounts!$A$2:$A$11,0),"")</f>
        <v/>
      </c>
      <c r="G411" s="14">
        <f>IFERROR(IF(OR($A411="",$F411=""),"",IF(INDEX(Accounts!$P$2:$P$11,$F411)="static",INDEX(Accounts!$Q$2:$Q$11,$F411),IF(INDEX(Accounts!$P$2:$P$11,$F411)="eod_trailing",MAX(INDEX(Accounts!$Q$2:$Q$11,$F411),_xlfn.MAXIFS($C$2:$C$1001,$A$2:$A$1001,$A411,$B$2:$B$1001,"&lt;"&amp;$B411)),MAX(INDEX(Accounts!$Q$2:$Q$11,$F411),_xlfn.MAXIFS($C$2:$C$1001,$A$2:$A$1001,$A411,$B$2:$B$1001,"&lt;"&amp;$B411),_xlfn.MAXIFS($D$2:$D$1001,$A$2:$A$1001,$A411,$B$2:$B$1001,"&lt;="&amp;$B411),$C411)))),"")</f>
        <v/>
      </c>
      <c r="H411" s="15">
        <f>IFERROR(IF(G411="","",IF(INDEX(Accounts!$P$2:$P$11,$F411)="static",INDEX(Accounts!$Q$2:$Q$11,$F411)-INDEX(Accounts!$R$2:$R$11,$F411),IF(INDEX(Accounts!$S$2:$S$11,$F411)="NONE",G411-INDEX(Accounts!$R$2:$R$11,$F411),MIN(G411-INDEX(Accounts!$R$2:$R$11,$F411),INDEX(Accounts!$Q$2:$Q$11,$F411)+INDEX(Accounts!$S$2:$S$11,$F411))))),"")</f>
        <v/>
      </c>
      <c r="I411" s="16">
        <f>IF(AND($A411="",$B411="",$C411="",$D411="",$E411=""),"",IF(OR($A411="",$F411=""),"UNKNOWN_ACCOUNT",IF(OR($B411="",$C411=""),"INCOMPLETE",IFERROR(IF(OR(NOT(ISNUMBER($B411)),NOT(ISNUMBER($C411)),IF(C411="",FALSE,IF(ISNUMBER(C411),OR(C411&lt;=0,C411&gt;100000000,ROUND(C411*100,6)&lt;&gt;INT(ROUND(C411*100,6))),TRUE)),IF(D411="",FALSE,IF(ISNUMBER(D411),OR(D411&lt;=0,D411&gt;100000000,ROUND(D411*100,6)&lt;&gt;INT(ROUND(D411*100,6))),TRUE)),IF(E411="",FALSE,IF(ISNUMBER(E411),OR(E411&lt;=0,E411&gt;100000000,ROUND(E411*100,6)&lt;&gt;INT(ROUND(E411*100,6))),TRUE)),AND($D411&lt;&gt;"",$D411&lt;MAX($C411,$E411)),AND($E411&lt;&gt;"",$E411&gt;MIN($C411,IF($D411="",$C411,$D411))),COUNTIFS($A$2:$A$1001,$A411,$B$2:$B$1001,$B411)&gt;1),"INVALID",IFERROR(IF(IF(INDEX(Accounts!$T$2:$T$11,$F411),ROUND(IF($E411="",$C411,MIN($C411,$E411))-(H411),6)&lt;=0,ROUND(IF($E411="",$C411,MIN($C411,$E411))-(H411),6)&lt;0),"BREACHED","OK"),"INCOMPLETE")),"INVALID"))))</f>
        <v/>
      </c>
      <c r="J411" s="33">
        <f>IF(OR(I411="OK",I411="BREACHED"),-INT(ROUND(-(H411)*100,6))/100,I411)</f>
        <v/>
      </c>
    </row>
    <row r="412" ht="18" customHeight="1">
      <c r="A412" s="9" t="n"/>
      <c r="B412" s="32" t="n"/>
      <c r="C412" s="12" t="n"/>
      <c r="D412" s="12" t="n"/>
      <c r="E412" s="12" t="n"/>
      <c r="F412" s="15">
        <f>IFERROR(MATCH($A412,Accounts!$A$2:$A$11,0),"")</f>
        <v/>
      </c>
      <c r="G412" s="14">
        <f>IFERROR(IF(OR($A412="",$F412=""),"",IF(INDEX(Accounts!$P$2:$P$11,$F412)="static",INDEX(Accounts!$Q$2:$Q$11,$F412),IF(INDEX(Accounts!$P$2:$P$11,$F412)="eod_trailing",MAX(INDEX(Accounts!$Q$2:$Q$11,$F412),_xlfn.MAXIFS($C$2:$C$1001,$A$2:$A$1001,$A412,$B$2:$B$1001,"&lt;"&amp;$B412)),MAX(INDEX(Accounts!$Q$2:$Q$11,$F412),_xlfn.MAXIFS($C$2:$C$1001,$A$2:$A$1001,$A412,$B$2:$B$1001,"&lt;"&amp;$B412),_xlfn.MAXIFS($D$2:$D$1001,$A$2:$A$1001,$A412,$B$2:$B$1001,"&lt;="&amp;$B412),$C412)))),"")</f>
        <v/>
      </c>
      <c r="H412" s="15">
        <f>IFERROR(IF(G412="","",IF(INDEX(Accounts!$P$2:$P$11,$F412)="static",INDEX(Accounts!$Q$2:$Q$11,$F412)-INDEX(Accounts!$R$2:$R$11,$F412),IF(INDEX(Accounts!$S$2:$S$11,$F412)="NONE",G412-INDEX(Accounts!$R$2:$R$11,$F412),MIN(G412-INDEX(Accounts!$R$2:$R$11,$F412),INDEX(Accounts!$Q$2:$Q$11,$F412)+INDEX(Accounts!$S$2:$S$11,$F412))))),"")</f>
        <v/>
      </c>
      <c r="I412" s="16">
        <f>IF(AND($A412="",$B412="",$C412="",$D412="",$E412=""),"",IF(OR($A412="",$F412=""),"UNKNOWN_ACCOUNT",IF(OR($B412="",$C412=""),"INCOMPLETE",IFERROR(IF(OR(NOT(ISNUMBER($B412)),NOT(ISNUMBER($C412)),IF(C412="",FALSE,IF(ISNUMBER(C412),OR(C412&lt;=0,C412&gt;100000000,ROUND(C412*100,6)&lt;&gt;INT(ROUND(C412*100,6))),TRUE)),IF(D412="",FALSE,IF(ISNUMBER(D412),OR(D412&lt;=0,D412&gt;100000000,ROUND(D412*100,6)&lt;&gt;INT(ROUND(D412*100,6))),TRUE)),IF(E412="",FALSE,IF(ISNUMBER(E412),OR(E412&lt;=0,E412&gt;100000000,ROUND(E412*100,6)&lt;&gt;INT(ROUND(E412*100,6))),TRUE)),AND($D412&lt;&gt;"",$D412&lt;MAX($C412,$E412)),AND($E412&lt;&gt;"",$E412&gt;MIN($C412,IF($D412="",$C412,$D412))),COUNTIFS($A$2:$A$1001,$A412,$B$2:$B$1001,$B412)&gt;1),"INVALID",IFERROR(IF(IF(INDEX(Accounts!$T$2:$T$11,$F412),ROUND(IF($E412="",$C412,MIN($C412,$E412))-(H412),6)&lt;=0,ROUND(IF($E412="",$C412,MIN($C412,$E412))-(H412),6)&lt;0),"BREACHED","OK"),"INCOMPLETE")),"INVALID"))))</f>
        <v/>
      </c>
      <c r="J412" s="33">
        <f>IF(OR(I412="OK",I412="BREACHED"),-INT(ROUND(-(H412)*100,6))/100,I412)</f>
        <v/>
      </c>
    </row>
    <row r="413" ht="18" customHeight="1">
      <c r="A413" s="9" t="n"/>
      <c r="B413" s="32" t="n"/>
      <c r="C413" s="12" t="n"/>
      <c r="D413" s="12" t="n"/>
      <c r="E413" s="12" t="n"/>
      <c r="F413" s="15">
        <f>IFERROR(MATCH($A413,Accounts!$A$2:$A$11,0),"")</f>
        <v/>
      </c>
      <c r="G413" s="14">
        <f>IFERROR(IF(OR($A413="",$F413=""),"",IF(INDEX(Accounts!$P$2:$P$11,$F413)="static",INDEX(Accounts!$Q$2:$Q$11,$F413),IF(INDEX(Accounts!$P$2:$P$11,$F413)="eod_trailing",MAX(INDEX(Accounts!$Q$2:$Q$11,$F413),_xlfn.MAXIFS($C$2:$C$1001,$A$2:$A$1001,$A413,$B$2:$B$1001,"&lt;"&amp;$B413)),MAX(INDEX(Accounts!$Q$2:$Q$11,$F413),_xlfn.MAXIFS($C$2:$C$1001,$A$2:$A$1001,$A413,$B$2:$B$1001,"&lt;"&amp;$B413),_xlfn.MAXIFS($D$2:$D$1001,$A$2:$A$1001,$A413,$B$2:$B$1001,"&lt;="&amp;$B413),$C413)))),"")</f>
        <v/>
      </c>
      <c r="H413" s="15">
        <f>IFERROR(IF(G413="","",IF(INDEX(Accounts!$P$2:$P$11,$F413)="static",INDEX(Accounts!$Q$2:$Q$11,$F413)-INDEX(Accounts!$R$2:$R$11,$F413),IF(INDEX(Accounts!$S$2:$S$11,$F413)="NONE",G413-INDEX(Accounts!$R$2:$R$11,$F413),MIN(G413-INDEX(Accounts!$R$2:$R$11,$F413),INDEX(Accounts!$Q$2:$Q$11,$F413)+INDEX(Accounts!$S$2:$S$11,$F413))))),"")</f>
        <v/>
      </c>
      <c r="I413" s="16">
        <f>IF(AND($A413="",$B413="",$C413="",$D413="",$E413=""),"",IF(OR($A413="",$F413=""),"UNKNOWN_ACCOUNT",IF(OR($B413="",$C413=""),"INCOMPLETE",IFERROR(IF(OR(NOT(ISNUMBER($B413)),NOT(ISNUMBER($C413)),IF(C413="",FALSE,IF(ISNUMBER(C413),OR(C413&lt;=0,C413&gt;100000000,ROUND(C413*100,6)&lt;&gt;INT(ROUND(C413*100,6))),TRUE)),IF(D413="",FALSE,IF(ISNUMBER(D413),OR(D413&lt;=0,D413&gt;100000000,ROUND(D413*100,6)&lt;&gt;INT(ROUND(D413*100,6))),TRUE)),IF(E413="",FALSE,IF(ISNUMBER(E413),OR(E413&lt;=0,E413&gt;100000000,ROUND(E413*100,6)&lt;&gt;INT(ROUND(E413*100,6))),TRUE)),AND($D413&lt;&gt;"",$D413&lt;MAX($C413,$E413)),AND($E413&lt;&gt;"",$E413&gt;MIN($C413,IF($D413="",$C413,$D413))),COUNTIFS($A$2:$A$1001,$A413,$B$2:$B$1001,$B413)&gt;1),"INVALID",IFERROR(IF(IF(INDEX(Accounts!$T$2:$T$11,$F413),ROUND(IF($E413="",$C413,MIN($C413,$E413))-(H413),6)&lt;=0,ROUND(IF($E413="",$C413,MIN($C413,$E413))-(H413),6)&lt;0),"BREACHED","OK"),"INCOMPLETE")),"INVALID"))))</f>
        <v/>
      </c>
      <c r="J413" s="33">
        <f>IF(OR(I413="OK",I413="BREACHED"),-INT(ROUND(-(H413)*100,6))/100,I413)</f>
        <v/>
      </c>
    </row>
    <row r="414" ht="18" customHeight="1">
      <c r="A414" s="9" t="n"/>
      <c r="B414" s="32" t="n"/>
      <c r="C414" s="12" t="n"/>
      <c r="D414" s="12" t="n"/>
      <c r="E414" s="12" t="n"/>
      <c r="F414" s="15">
        <f>IFERROR(MATCH($A414,Accounts!$A$2:$A$11,0),"")</f>
        <v/>
      </c>
      <c r="G414" s="14">
        <f>IFERROR(IF(OR($A414="",$F414=""),"",IF(INDEX(Accounts!$P$2:$P$11,$F414)="static",INDEX(Accounts!$Q$2:$Q$11,$F414),IF(INDEX(Accounts!$P$2:$P$11,$F414)="eod_trailing",MAX(INDEX(Accounts!$Q$2:$Q$11,$F414),_xlfn.MAXIFS($C$2:$C$1001,$A$2:$A$1001,$A414,$B$2:$B$1001,"&lt;"&amp;$B414)),MAX(INDEX(Accounts!$Q$2:$Q$11,$F414),_xlfn.MAXIFS($C$2:$C$1001,$A$2:$A$1001,$A414,$B$2:$B$1001,"&lt;"&amp;$B414),_xlfn.MAXIFS($D$2:$D$1001,$A$2:$A$1001,$A414,$B$2:$B$1001,"&lt;="&amp;$B414),$C414)))),"")</f>
        <v/>
      </c>
      <c r="H414" s="15">
        <f>IFERROR(IF(G414="","",IF(INDEX(Accounts!$P$2:$P$11,$F414)="static",INDEX(Accounts!$Q$2:$Q$11,$F414)-INDEX(Accounts!$R$2:$R$11,$F414),IF(INDEX(Accounts!$S$2:$S$11,$F414)="NONE",G414-INDEX(Accounts!$R$2:$R$11,$F414),MIN(G414-INDEX(Accounts!$R$2:$R$11,$F414),INDEX(Accounts!$Q$2:$Q$11,$F414)+INDEX(Accounts!$S$2:$S$11,$F414))))),"")</f>
        <v/>
      </c>
      <c r="I414" s="16">
        <f>IF(AND($A414="",$B414="",$C414="",$D414="",$E414=""),"",IF(OR($A414="",$F414=""),"UNKNOWN_ACCOUNT",IF(OR($B414="",$C414=""),"INCOMPLETE",IFERROR(IF(OR(NOT(ISNUMBER($B414)),NOT(ISNUMBER($C414)),IF(C414="",FALSE,IF(ISNUMBER(C414),OR(C414&lt;=0,C414&gt;100000000,ROUND(C414*100,6)&lt;&gt;INT(ROUND(C414*100,6))),TRUE)),IF(D414="",FALSE,IF(ISNUMBER(D414),OR(D414&lt;=0,D414&gt;100000000,ROUND(D414*100,6)&lt;&gt;INT(ROUND(D414*100,6))),TRUE)),IF(E414="",FALSE,IF(ISNUMBER(E414),OR(E414&lt;=0,E414&gt;100000000,ROUND(E414*100,6)&lt;&gt;INT(ROUND(E414*100,6))),TRUE)),AND($D414&lt;&gt;"",$D414&lt;MAX($C414,$E414)),AND($E414&lt;&gt;"",$E414&gt;MIN($C414,IF($D414="",$C414,$D414))),COUNTIFS($A$2:$A$1001,$A414,$B$2:$B$1001,$B414)&gt;1),"INVALID",IFERROR(IF(IF(INDEX(Accounts!$T$2:$T$11,$F414),ROUND(IF($E414="",$C414,MIN($C414,$E414))-(H414),6)&lt;=0,ROUND(IF($E414="",$C414,MIN($C414,$E414))-(H414),6)&lt;0),"BREACHED","OK"),"INCOMPLETE")),"INVALID"))))</f>
        <v/>
      </c>
      <c r="J414" s="33">
        <f>IF(OR(I414="OK",I414="BREACHED"),-INT(ROUND(-(H414)*100,6))/100,I414)</f>
        <v/>
      </c>
    </row>
    <row r="415" ht="18" customHeight="1">
      <c r="A415" s="9" t="n"/>
      <c r="B415" s="32" t="n"/>
      <c r="C415" s="12" t="n"/>
      <c r="D415" s="12" t="n"/>
      <c r="E415" s="12" t="n"/>
      <c r="F415" s="15">
        <f>IFERROR(MATCH($A415,Accounts!$A$2:$A$11,0),"")</f>
        <v/>
      </c>
      <c r="G415" s="14">
        <f>IFERROR(IF(OR($A415="",$F415=""),"",IF(INDEX(Accounts!$P$2:$P$11,$F415)="static",INDEX(Accounts!$Q$2:$Q$11,$F415),IF(INDEX(Accounts!$P$2:$P$11,$F415)="eod_trailing",MAX(INDEX(Accounts!$Q$2:$Q$11,$F415),_xlfn.MAXIFS($C$2:$C$1001,$A$2:$A$1001,$A415,$B$2:$B$1001,"&lt;"&amp;$B415)),MAX(INDEX(Accounts!$Q$2:$Q$11,$F415),_xlfn.MAXIFS($C$2:$C$1001,$A$2:$A$1001,$A415,$B$2:$B$1001,"&lt;"&amp;$B415),_xlfn.MAXIFS($D$2:$D$1001,$A$2:$A$1001,$A415,$B$2:$B$1001,"&lt;="&amp;$B415),$C415)))),"")</f>
        <v/>
      </c>
      <c r="H415" s="15">
        <f>IFERROR(IF(G415="","",IF(INDEX(Accounts!$P$2:$P$11,$F415)="static",INDEX(Accounts!$Q$2:$Q$11,$F415)-INDEX(Accounts!$R$2:$R$11,$F415),IF(INDEX(Accounts!$S$2:$S$11,$F415)="NONE",G415-INDEX(Accounts!$R$2:$R$11,$F415),MIN(G415-INDEX(Accounts!$R$2:$R$11,$F415),INDEX(Accounts!$Q$2:$Q$11,$F415)+INDEX(Accounts!$S$2:$S$11,$F415))))),"")</f>
        <v/>
      </c>
      <c r="I415" s="16">
        <f>IF(AND($A415="",$B415="",$C415="",$D415="",$E415=""),"",IF(OR($A415="",$F415=""),"UNKNOWN_ACCOUNT",IF(OR($B415="",$C415=""),"INCOMPLETE",IFERROR(IF(OR(NOT(ISNUMBER($B415)),NOT(ISNUMBER($C415)),IF(C415="",FALSE,IF(ISNUMBER(C415),OR(C415&lt;=0,C415&gt;100000000,ROUND(C415*100,6)&lt;&gt;INT(ROUND(C415*100,6))),TRUE)),IF(D415="",FALSE,IF(ISNUMBER(D415),OR(D415&lt;=0,D415&gt;100000000,ROUND(D415*100,6)&lt;&gt;INT(ROUND(D415*100,6))),TRUE)),IF(E415="",FALSE,IF(ISNUMBER(E415),OR(E415&lt;=0,E415&gt;100000000,ROUND(E415*100,6)&lt;&gt;INT(ROUND(E415*100,6))),TRUE)),AND($D415&lt;&gt;"",$D415&lt;MAX($C415,$E415)),AND($E415&lt;&gt;"",$E415&gt;MIN($C415,IF($D415="",$C415,$D415))),COUNTIFS($A$2:$A$1001,$A415,$B$2:$B$1001,$B415)&gt;1),"INVALID",IFERROR(IF(IF(INDEX(Accounts!$T$2:$T$11,$F415),ROUND(IF($E415="",$C415,MIN($C415,$E415))-(H415),6)&lt;=0,ROUND(IF($E415="",$C415,MIN($C415,$E415))-(H415),6)&lt;0),"BREACHED","OK"),"INCOMPLETE")),"INVALID"))))</f>
        <v/>
      </c>
      <c r="J415" s="33">
        <f>IF(OR(I415="OK",I415="BREACHED"),-INT(ROUND(-(H415)*100,6))/100,I415)</f>
        <v/>
      </c>
    </row>
    <row r="416" ht="18" customHeight="1">
      <c r="A416" s="9" t="n"/>
      <c r="B416" s="32" t="n"/>
      <c r="C416" s="12" t="n"/>
      <c r="D416" s="12" t="n"/>
      <c r="E416" s="12" t="n"/>
      <c r="F416" s="15">
        <f>IFERROR(MATCH($A416,Accounts!$A$2:$A$11,0),"")</f>
        <v/>
      </c>
      <c r="G416" s="14">
        <f>IFERROR(IF(OR($A416="",$F416=""),"",IF(INDEX(Accounts!$P$2:$P$11,$F416)="static",INDEX(Accounts!$Q$2:$Q$11,$F416),IF(INDEX(Accounts!$P$2:$P$11,$F416)="eod_trailing",MAX(INDEX(Accounts!$Q$2:$Q$11,$F416),_xlfn.MAXIFS($C$2:$C$1001,$A$2:$A$1001,$A416,$B$2:$B$1001,"&lt;"&amp;$B416)),MAX(INDEX(Accounts!$Q$2:$Q$11,$F416),_xlfn.MAXIFS($C$2:$C$1001,$A$2:$A$1001,$A416,$B$2:$B$1001,"&lt;"&amp;$B416),_xlfn.MAXIFS($D$2:$D$1001,$A$2:$A$1001,$A416,$B$2:$B$1001,"&lt;="&amp;$B416),$C416)))),"")</f>
        <v/>
      </c>
      <c r="H416" s="15">
        <f>IFERROR(IF(G416="","",IF(INDEX(Accounts!$P$2:$P$11,$F416)="static",INDEX(Accounts!$Q$2:$Q$11,$F416)-INDEX(Accounts!$R$2:$R$11,$F416),IF(INDEX(Accounts!$S$2:$S$11,$F416)="NONE",G416-INDEX(Accounts!$R$2:$R$11,$F416),MIN(G416-INDEX(Accounts!$R$2:$R$11,$F416),INDEX(Accounts!$Q$2:$Q$11,$F416)+INDEX(Accounts!$S$2:$S$11,$F416))))),"")</f>
        <v/>
      </c>
      <c r="I416" s="16">
        <f>IF(AND($A416="",$B416="",$C416="",$D416="",$E416=""),"",IF(OR($A416="",$F416=""),"UNKNOWN_ACCOUNT",IF(OR($B416="",$C416=""),"INCOMPLETE",IFERROR(IF(OR(NOT(ISNUMBER($B416)),NOT(ISNUMBER($C416)),IF(C416="",FALSE,IF(ISNUMBER(C416),OR(C416&lt;=0,C416&gt;100000000,ROUND(C416*100,6)&lt;&gt;INT(ROUND(C416*100,6))),TRUE)),IF(D416="",FALSE,IF(ISNUMBER(D416),OR(D416&lt;=0,D416&gt;100000000,ROUND(D416*100,6)&lt;&gt;INT(ROUND(D416*100,6))),TRUE)),IF(E416="",FALSE,IF(ISNUMBER(E416),OR(E416&lt;=0,E416&gt;100000000,ROUND(E416*100,6)&lt;&gt;INT(ROUND(E416*100,6))),TRUE)),AND($D416&lt;&gt;"",$D416&lt;MAX($C416,$E416)),AND($E416&lt;&gt;"",$E416&gt;MIN($C416,IF($D416="",$C416,$D416))),COUNTIFS($A$2:$A$1001,$A416,$B$2:$B$1001,$B416)&gt;1),"INVALID",IFERROR(IF(IF(INDEX(Accounts!$T$2:$T$11,$F416),ROUND(IF($E416="",$C416,MIN($C416,$E416))-(H416),6)&lt;=0,ROUND(IF($E416="",$C416,MIN($C416,$E416))-(H416),6)&lt;0),"BREACHED","OK"),"INCOMPLETE")),"INVALID"))))</f>
        <v/>
      </c>
      <c r="J416" s="33">
        <f>IF(OR(I416="OK",I416="BREACHED"),-INT(ROUND(-(H416)*100,6))/100,I416)</f>
        <v/>
      </c>
    </row>
    <row r="417" ht="18" customHeight="1">
      <c r="A417" s="9" t="n"/>
      <c r="B417" s="32" t="n"/>
      <c r="C417" s="12" t="n"/>
      <c r="D417" s="12" t="n"/>
      <c r="E417" s="12" t="n"/>
      <c r="F417" s="15">
        <f>IFERROR(MATCH($A417,Accounts!$A$2:$A$11,0),"")</f>
        <v/>
      </c>
      <c r="G417" s="14">
        <f>IFERROR(IF(OR($A417="",$F417=""),"",IF(INDEX(Accounts!$P$2:$P$11,$F417)="static",INDEX(Accounts!$Q$2:$Q$11,$F417),IF(INDEX(Accounts!$P$2:$P$11,$F417)="eod_trailing",MAX(INDEX(Accounts!$Q$2:$Q$11,$F417),_xlfn.MAXIFS($C$2:$C$1001,$A$2:$A$1001,$A417,$B$2:$B$1001,"&lt;"&amp;$B417)),MAX(INDEX(Accounts!$Q$2:$Q$11,$F417),_xlfn.MAXIFS($C$2:$C$1001,$A$2:$A$1001,$A417,$B$2:$B$1001,"&lt;"&amp;$B417),_xlfn.MAXIFS($D$2:$D$1001,$A$2:$A$1001,$A417,$B$2:$B$1001,"&lt;="&amp;$B417),$C417)))),"")</f>
        <v/>
      </c>
      <c r="H417" s="15">
        <f>IFERROR(IF(G417="","",IF(INDEX(Accounts!$P$2:$P$11,$F417)="static",INDEX(Accounts!$Q$2:$Q$11,$F417)-INDEX(Accounts!$R$2:$R$11,$F417),IF(INDEX(Accounts!$S$2:$S$11,$F417)="NONE",G417-INDEX(Accounts!$R$2:$R$11,$F417),MIN(G417-INDEX(Accounts!$R$2:$R$11,$F417),INDEX(Accounts!$Q$2:$Q$11,$F417)+INDEX(Accounts!$S$2:$S$11,$F417))))),"")</f>
        <v/>
      </c>
      <c r="I417" s="16">
        <f>IF(AND($A417="",$B417="",$C417="",$D417="",$E417=""),"",IF(OR($A417="",$F417=""),"UNKNOWN_ACCOUNT",IF(OR($B417="",$C417=""),"INCOMPLETE",IFERROR(IF(OR(NOT(ISNUMBER($B417)),NOT(ISNUMBER($C417)),IF(C417="",FALSE,IF(ISNUMBER(C417),OR(C417&lt;=0,C417&gt;100000000,ROUND(C417*100,6)&lt;&gt;INT(ROUND(C417*100,6))),TRUE)),IF(D417="",FALSE,IF(ISNUMBER(D417),OR(D417&lt;=0,D417&gt;100000000,ROUND(D417*100,6)&lt;&gt;INT(ROUND(D417*100,6))),TRUE)),IF(E417="",FALSE,IF(ISNUMBER(E417),OR(E417&lt;=0,E417&gt;100000000,ROUND(E417*100,6)&lt;&gt;INT(ROUND(E417*100,6))),TRUE)),AND($D417&lt;&gt;"",$D417&lt;MAX($C417,$E417)),AND($E417&lt;&gt;"",$E417&gt;MIN($C417,IF($D417="",$C417,$D417))),COUNTIFS($A$2:$A$1001,$A417,$B$2:$B$1001,$B417)&gt;1),"INVALID",IFERROR(IF(IF(INDEX(Accounts!$T$2:$T$11,$F417),ROUND(IF($E417="",$C417,MIN($C417,$E417))-(H417),6)&lt;=0,ROUND(IF($E417="",$C417,MIN($C417,$E417))-(H417),6)&lt;0),"BREACHED","OK"),"INCOMPLETE")),"INVALID"))))</f>
        <v/>
      </c>
      <c r="J417" s="33">
        <f>IF(OR(I417="OK",I417="BREACHED"),-INT(ROUND(-(H417)*100,6))/100,I417)</f>
        <v/>
      </c>
    </row>
    <row r="418" ht="18" customHeight="1">
      <c r="A418" s="9" t="n"/>
      <c r="B418" s="32" t="n"/>
      <c r="C418" s="12" t="n"/>
      <c r="D418" s="12" t="n"/>
      <c r="E418" s="12" t="n"/>
      <c r="F418" s="15">
        <f>IFERROR(MATCH($A418,Accounts!$A$2:$A$11,0),"")</f>
        <v/>
      </c>
      <c r="G418" s="14">
        <f>IFERROR(IF(OR($A418="",$F418=""),"",IF(INDEX(Accounts!$P$2:$P$11,$F418)="static",INDEX(Accounts!$Q$2:$Q$11,$F418),IF(INDEX(Accounts!$P$2:$P$11,$F418)="eod_trailing",MAX(INDEX(Accounts!$Q$2:$Q$11,$F418),_xlfn.MAXIFS($C$2:$C$1001,$A$2:$A$1001,$A418,$B$2:$B$1001,"&lt;"&amp;$B418)),MAX(INDEX(Accounts!$Q$2:$Q$11,$F418),_xlfn.MAXIFS($C$2:$C$1001,$A$2:$A$1001,$A418,$B$2:$B$1001,"&lt;"&amp;$B418),_xlfn.MAXIFS($D$2:$D$1001,$A$2:$A$1001,$A418,$B$2:$B$1001,"&lt;="&amp;$B418),$C418)))),"")</f>
        <v/>
      </c>
      <c r="H418" s="15">
        <f>IFERROR(IF(G418="","",IF(INDEX(Accounts!$P$2:$P$11,$F418)="static",INDEX(Accounts!$Q$2:$Q$11,$F418)-INDEX(Accounts!$R$2:$R$11,$F418),IF(INDEX(Accounts!$S$2:$S$11,$F418)="NONE",G418-INDEX(Accounts!$R$2:$R$11,$F418),MIN(G418-INDEX(Accounts!$R$2:$R$11,$F418),INDEX(Accounts!$Q$2:$Q$11,$F418)+INDEX(Accounts!$S$2:$S$11,$F418))))),"")</f>
        <v/>
      </c>
      <c r="I418" s="16">
        <f>IF(AND($A418="",$B418="",$C418="",$D418="",$E418=""),"",IF(OR($A418="",$F418=""),"UNKNOWN_ACCOUNT",IF(OR($B418="",$C418=""),"INCOMPLETE",IFERROR(IF(OR(NOT(ISNUMBER($B418)),NOT(ISNUMBER($C418)),IF(C418="",FALSE,IF(ISNUMBER(C418),OR(C418&lt;=0,C418&gt;100000000,ROUND(C418*100,6)&lt;&gt;INT(ROUND(C418*100,6))),TRUE)),IF(D418="",FALSE,IF(ISNUMBER(D418),OR(D418&lt;=0,D418&gt;100000000,ROUND(D418*100,6)&lt;&gt;INT(ROUND(D418*100,6))),TRUE)),IF(E418="",FALSE,IF(ISNUMBER(E418),OR(E418&lt;=0,E418&gt;100000000,ROUND(E418*100,6)&lt;&gt;INT(ROUND(E418*100,6))),TRUE)),AND($D418&lt;&gt;"",$D418&lt;MAX($C418,$E418)),AND($E418&lt;&gt;"",$E418&gt;MIN($C418,IF($D418="",$C418,$D418))),COUNTIFS($A$2:$A$1001,$A418,$B$2:$B$1001,$B418)&gt;1),"INVALID",IFERROR(IF(IF(INDEX(Accounts!$T$2:$T$11,$F418),ROUND(IF($E418="",$C418,MIN($C418,$E418))-(H418),6)&lt;=0,ROUND(IF($E418="",$C418,MIN($C418,$E418))-(H418),6)&lt;0),"BREACHED","OK"),"INCOMPLETE")),"INVALID"))))</f>
        <v/>
      </c>
      <c r="J418" s="33">
        <f>IF(OR(I418="OK",I418="BREACHED"),-INT(ROUND(-(H418)*100,6))/100,I418)</f>
        <v/>
      </c>
    </row>
    <row r="419" ht="18" customHeight="1">
      <c r="A419" s="9" t="n"/>
      <c r="B419" s="32" t="n"/>
      <c r="C419" s="12" t="n"/>
      <c r="D419" s="12" t="n"/>
      <c r="E419" s="12" t="n"/>
      <c r="F419" s="15">
        <f>IFERROR(MATCH($A419,Accounts!$A$2:$A$11,0),"")</f>
        <v/>
      </c>
      <c r="G419" s="14">
        <f>IFERROR(IF(OR($A419="",$F419=""),"",IF(INDEX(Accounts!$P$2:$P$11,$F419)="static",INDEX(Accounts!$Q$2:$Q$11,$F419),IF(INDEX(Accounts!$P$2:$P$11,$F419)="eod_trailing",MAX(INDEX(Accounts!$Q$2:$Q$11,$F419),_xlfn.MAXIFS($C$2:$C$1001,$A$2:$A$1001,$A419,$B$2:$B$1001,"&lt;"&amp;$B419)),MAX(INDEX(Accounts!$Q$2:$Q$11,$F419),_xlfn.MAXIFS($C$2:$C$1001,$A$2:$A$1001,$A419,$B$2:$B$1001,"&lt;"&amp;$B419),_xlfn.MAXIFS($D$2:$D$1001,$A$2:$A$1001,$A419,$B$2:$B$1001,"&lt;="&amp;$B419),$C419)))),"")</f>
        <v/>
      </c>
      <c r="H419" s="15">
        <f>IFERROR(IF(G419="","",IF(INDEX(Accounts!$P$2:$P$11,$F419)="static",INDEX(Accounts!$Q$2:$Q$11,$F419)-INDEX(Accounts!$R$2:$R$11,$F419),IF(INDEX(Accounts!$S$2:$S$11,$F419)="NONE",G419-INDEX(Accounts!$R$2:$R$11,$F419),MIN(G419-INDEX(Accounts!$R$2:$R$11,$F419),INDEX(Accounts!$Q$2:$Q$11,$F419)+INDEX(Accounts!$S$2:$S$11,$F419))))),"")</f>
        <v/>
      </c>
      <c r="I419" s="16">
        <f>IF(AND($A419="",$B419="",$C419="",$D419="",$E419=""),"",IF(OR($A419="",$F419=""),"UNKNOWN_ACCOUNT",IF(OR($B419="",$C419=""),"INCOMPLETE",IFERROR(IF(OR(NOT(ISNUMBER($B419)),NOT(ISNUMBER($C419)),IF(C419="",FALSE,IF(ISNUMBER(C419),OR(C419&lt;=0,C419&gt;100000000,ROUND(C419*100,6)&lt;&gt;INT(ROUND(C419*100,6))),TRUE)),IF(D419="",FALSE,IF(ISNUMBER(D419),OR(D419&lt;=0,D419&gt;100000000,ROUND(D419*100,6)&lt;&gt;INT(ROUND(D419*100,6))),TRUE)),IF(E419="",FALSE,IF(ISNUMBER(E419),OR(E419&lt;=0,E419&gt;100000000,ROUND(E419*100,6)&lt;&gt;INT(ROUND(E419*100,6))),TRUE)),AND($D419&lt;&gt;"",$D419&lt;MAX($C419,$E419)),AND($E419&lt;&gt;"",$E419&gt;MIN($C419,IF($D419="",$C419,$D419))),COUNTIFS($A$2:$A$1001,$A419,$B$2:$B$1001,$B419)&gt;1),"INVALID",IFERROR(IF(IF(INDEX(Accounts!$T$2:$T$11,$F419),ROUND(IF($E419="",$C419,MIN($C419,$E419))-(H419),6)&lt;=0,ROUND(IF($E419="",$C419,MIN($C419,$E419))-(H419),6)&lt;0),"BREACHED","OK"),"INCOMPLETE")),"INVALID"))))</f>
        <v/>
      </c>
      <c r="J419" s="33">
        <f>IF(OR(I419="OK",I419="BREACHED"),-INT(ROUND(-(H419)*100,6))/100,I419)</f>
        <v/>
      </c>
    </row>
    <row r="420" ht="18" customHeight="1">
      <c r="A420" s="9" t="n"/>
      <c r="B420" s="32" t="n"/>
      <c r="C420" s="12" t="n"/>
      <c r="D420" s="12" t="n"/>
      <c r="E420" s="12" t="n"/>
      <c r="F420" s="15">
        <f>IFERROR(MATCH($A420,Accounts!$A$2:$A$11,0),"")</f>
        <v/>
      </c>
      <c r="G420" s="14">
        <f>IFERROR(IF(OR($A420="",$F420=""),"",IF(INDEX(Accounts!$P$2:$P$11,$F420)="static",INDEX(Accounts!$Q$2:$Q$11,$F420),IF(INDEX(Accounts!$P$2:$P$11,$F420)="eod_trailing",MAX(INDEX(Accounts!$Q$2:$Q$11,$F420),_xlfn.MAXIFS($C$2:$C$1001,$A$2:$A$1001,$A420,$B$2:$B$1001,"&lt;"&amp;$B420)),MAX(INDEX(Accounts!$Q$2:$Q$11,$F420),_xlfn.MAXIFS($C$2:$C$1001,$A$2:$A$1001,$A420,$B$2:$B$1001,"&lt;"&amp;$B420),_xlfn.MAXIFS($D$2:$D$1001,$A$2:$A$1001,$A420,$B$2:$B$1001,"&lt;="&amp;$B420),$C420)))),"")</f>
        <v/>
      </c>
      <c r="H420" s="15">
        <f>IFERROR(IF(G420="","",IF(INDEX(Accounts!$P$2:$P$11,$F420)="static",INDEX(Accounts!$Q$2:$Q$11,$F420)-INDEX(Accounts!$R$2:$R$11,$F420),IF(INDEX(Accounts!$S$2:$S$11,$F420)="NONE",G420-INDEX(Accounts!$R$2:$R$11,$F420),MIN(G420-INDEX(Accounts!$R$2:$R$11,$F420),INDEX(Accounts!$Q$2:$Q$11,$F420)+INDEX(Accounts!$S$2:$S$11,$F420))))),"")</f>
        <v/>
      </c>
      <c r="I420" s="16">
        <f>IF(AND($A420="",$B420="",$C420="",$D420="",$E420=""),"",IF(OR($A420="",$F420=""),"UNKNOWN_ACCOUNT",IF(OR($B420="",$C420=""),"INCOMPLETE",IFERROR(IF(OR(NOT(ISNUMBER($B420)),NOT(ISNUMBER($C420)),IF(C420="",FALSE,IF(ISNUMBER(C420),OR(C420&lt;=0,C420&gt;100000000,ROUND(C420*100,6)&lt;&gt;INT(ROUND(C420*100,6))),TRUE)),IF(D420="",FALSE,IF(ISNUMBER(D420),OR(D420&lt;=0,D420&gt;100000000,ROUND(D420*100,6)&lt;&gt;INT(ROUND(D420*100,6))),TRUE)),IF(E420="",FALSE,IF(ISNUMBER(E420),OR(E420&lt;=0,E420&gt;100000000,ROUND(E420*100,6)&lt;&gt;INT(ROUND(E420*100,6))),TRUE)),AND($D420&lt;&gt;"",$D420&lt;MAX($C420,$E420)),AND($E420&lt;&gt;"",$E420&gt;MIN($C420,IF($D420="",$C420,$D420))),COUNTIFS($A$2:$A$1001,$A420,$B$2:$B$1001,$B420)&gt;1),"INVALID",IFERROR(IF(IF(INDEX(Accounts!$T$2:$T$11,$F420),ROUND(IF($E420="",$C420,MIN($C420,$E420))-(H420),6)&lt;=0,ROUND(IF($E420="",$C420,MIN($C420,$E420))-(H420),6)&lt;0),"BREACHED","OK"),"INCOMPLETE")),"INVALID"))))</f>
        <v/>
      </c>
      <c r="J420" s="33">
        <f>IF(OR(I420="OK",I420="BREACHED"),-INT(ROUND(-(H420)*100,6))/100,I420)</f>
        <v/>
      </c>
    </row>
    <row r="421" ht="18" customHeight="1">
      <c r="A421" s="9" t="n"/>
      <c r="B421" s="32" t="n"/>
      <c r="C421" s="12" t="n"/>
      <c r="D421" s="12" t="n"/>
      <c r="E421" s="12" t="n"/>
      <c r="F421" s="15">
        <f>IFERROR(MATCH($A421,Accounts!$A$2:$A$11,0),"")</f>
        <v/>
      </c>
      <c r="G421" s="14">
        <f>IFERROR(IF(OR($A421="",$F421=""),"",IF(INDEX(Accounts!$P$2:$P$11,$F421)="static",INDEX(Accounts!$Q$2:$Q$11,$F421),IF(INDEX(Accounts!$P$2:$P$11,$F421)="eod_trailing",MAX(INDEX(Accounts!$Q$2:$Q$11,$F421),_xlfn.MAXIFS($C$2:$C$1001,$A$2:$A$1001,$A421,$B$2:$B$1001,"&lt;"&amp;$B421)),MAX(INDEX(Accounts!$Q$2:$Q$11,$F421),_xlfn.MAXIFS($C$2:$C$1001,$A$2:$A$1001,$A421,$B$2:$B$1001,"&lt;"&amp;$B421),_xlfn.MAXIFS($D$2:$D$1001,$A$2:$A$1001,$A421,$B$2:$B$1001,"&lt;="&amp;$B421),$C421)))),"")</f>
        <v/>
      </c>
      <c r="H421" s="15">
        <f>IFERROR(IF(G421="","",IF(INDEX(Accounts!$P$2:$P$11,$F421)="static",INDEX(Accounts!$Q$2:$Q$11,$F421)-INDEX(Accounts!$R$2:$R$11,$F421),IF(INDEX(Accounts!$S$2:$S$11,$F421)="NONE",G421-INDEX(Accounts!$R$2:$R$11,$F421),MIN(G421-INDEX(Accounts!$R$2:$R$11,$F421),INDEX(Accounts!$Q$2:$Q$11,$F421)+INDEX(Accounts!$S$2:$S$11,$F421))))),"")</f>
        <v/>
      </c>
      <c r="I421" s="16">
        <f>IF(AND($A421="",$B421="",$C421="",$D421="",$E421=""),"",IF(OR($A421="",$F421=""),"UNKNOWN_ACCOUNT",IF(OR($B421="",$C421=""),"INCOMPLETE",IFERROR(IF(OR(NOT(ISNUMBER($B421)),NOT(ISNUMBER($C421)),IF(C421="",FALSE,IF(ISNUMBER(C421),OR(C421&lt;=0,C421&gt;100000000,ROUND(C421*100,6)&lt;&gt;INT(ROUND(C421*100,6))),TRUE)),IF(D421="",FALSE,IF(ISNUMBER(D421),OR(D421&lt;=0,D421&gt;100000000,ROUND(D421*100,6)&lt;&gt;INT(ROUND(D421*100,6))),TRUE)),IF(E421="",FALSE,IF(ISNUMBER(E421),OR(E421&lt;=0,E421&gt;100000000,ROUND(E421*100,6)&lt;&gt;INT(ROUND(E421*100,6))),TRUE)),AND($D421&lt;&gt;"",$D421&lt;MAX($C421,$E421)),AND($E421&lt;&gt;"",$E421&gt;MIN($C421,IF($D421="",$C421,$D421))),COUNTIFS($A$2:$A$1001,$A421,$B$2:$B$1001,$B421)&gt;1),"INVALID",IFERROR(IF(IF(INDEX(Accounts!$T$2:$T$11,$F421),ROUND(IF($E421="",$C421,MIN($C421,$E421))-(H421),6)&lt;=0,ROUND(IF($E421="",$C421,MIN($C421,$E421))-(H421),6)&lt;0),"BREACHED","OK"),"INCOMPLETE")),"INVALID"))))</f>
        <v/>
      </c>
      <c r="J421" s="33">
        <f>IF(OR(I421="OK",I421="BREACHED"),-INT(ROUND(-(H421)*100,6))/100,I421)</f>
        <v/>
      </c>
    </row>
    <row r="422" ht="18" customHeight="1">
      <c r="A422" s="9" t="n"/>
      <c r="B422" s="32" t="n"/>
      <c r="C422" s="12" t="n"/>
      <c r="D422" s="12" t="n"/>
      <c r="E422" s="12" t="n"/>
      <c r="F422" s="15">
        <f>IFERROR(MATCH($A422,Accounts!$A$2:$A$11,0),"")</f>
        <v/>
      </c>
      <c r="G422" s="14">
        <f>IFERROR(IF(OR($A422="",$F422=""),"",IF(INDEX(Accounts!$P$2:$P$11,$F422)="static",INDEX(Accounts!$Q$2:$Q$11,$F422),IF(INDEX(Accounts!$P$2:$P$11,$F422)="eod_trailing",MAX(INDEX(Accounts!$Q$2:$Q$11,$F422),_xlfn.MAXIFS($C$2:$C$1001,$A$2:$A$1001,$A422,$B$2:$B$1001,"&lt;"&amp;$B422)),MAX(INDEX(Accounts!$Q$2:$Q$11,$F422),_xlfn.MAXIFS($C$2:$C$1001,$A$2:$A$1001,$A422,$B$2:$B$1001,"&lt;"&amp;$B422),_xlfn.MAXIFS($D$2:$D$1001,$A$2:$A$1001,$A422,$B$2:$B$1001,"&lt;="&amp;$B422),$C422)))),"")</f>
        <v/>
      </c>
      <c r="H422" s="15">
        <f>IFERROR(IF(G422="","",IF(INDEX(Accounts!$P$2:$P$11,$F422)="static",INDEX(Accounts!$Q$2:$Q$11,$F422)-INDEX(Accounts!$R$2:$R$11,$F422),IF(INDEX(Accounts!$S$2:$S$11,$F422)="NONE",G422-INDEX(Accounts!$R$2:$R$11,$F422),MIN(G422-INDEX(Accounts!$R$2:$R$11,$F422),INDEX(Accounts!$Q$2:$Q$11,$F422)+INDEX(Accounts!$S$2:$S$11,$F422))))),"")</f>
        <v/>
      </c>
      <c r="I422" s="16">
        <f>IF(AND($A422="",$B422="",$C422="",$D422="",$E422=""),"",IF(OR($A422="",$F422=""),"UNKNOWN_ACCOUNT",IF(OR($B422="",$C422=""),"INCOMPLETE",IFERROR(IF(OR(NOT(ISNUMBER($B422)),NOT(ISNUMBER($C422)),IF(C422="",FALSE,IF(ISNUMBER(C422),OR(C422&lt;=0,C422&gt;100000000,ROUND(C422*100,6)&lt;&gt;INT(ROUND(C422*100,6))),TRUE)),IF(D422="",FALSE,IF(ISNUMBER(D422),OR(D422&lt;=0,D422&gt;100000000,ROUND(D422*100,6)&lt;&gt;INT(ROUND(D422*100,6))),TRUE)),IF(E422="",FALSE,IF(ISNUMBER(E422),OR(E422&lt;=0,E422&gt;100000000,ROUND(E422*100,6)&lt;&gt;INT(ROUND(E422*100,6))),TRUE)),AND($D422&lt;&gt;"",$D422&lt;MAX($C422,$E422)),AND($E422&lt;&gt;"",$E422&gt;MIN($C422,IF($D422="",$C422,$D422))),COUNTIFS($A$2:$A$1001,$A422,$B$2:$B$1001,$B422)&gt;1),"INVALID",IFERROR(IF(IF(INDEX(Accounts!$T$2:$T$11,$F422),ROUND(IF($E422="",$C422,MIN($C422,$E422))-(H422),6)&lt;=0,ROUND(IF($E422="",$C422,MIN($C422,$E422))-(H422),6)&lt;0),"BREACHED","OK"),"INCOMPLETE")),"INVALID"))))</f>
        <v/>
      </c>
      <c r="J422" s="33">
        <f>IF(OR(I422="OK",I422="BREACHED"),-INT(ROUND(-(H422)*100,6))/100,I422)</f>
        <v/>
      </c>
    </row>
    <row r="423" ht="18" customHeight="1">
      <c r="A423" s="9" t="n"/>
      <c r="B423" s="32" t="n"/>
      <c r="C423" s="12" t="n"/>
      <c r="D423" s="12" t="n"/>
      <c r="E423" s="12" t="n"/>
      <c r="F423" s="15">
        <f>IFERROR(MATCH($A423,Accounts!$A$2:$A$11,0),"")</f>
        <v/>
      </c>
      <c r="G423" s="14">
        <f>IFERROR(IF(OR($A423="",$F423=""),"",IF(INDEX(Accounts!$P$2:$P$11,$F423)="static",INDEX(Accounts!$Q$2:$Q$11,$F423),IF(INDEX(Accounts!$P$2:$P$11,$F423)="eod_trailing",MAX(INDEX(Accounts!$Q$2:$Q$11,$F423),_xlfn.MAXIFS($C$2:$C$1001,$A$2:$A$1001,$A423,$B$2:$B$1001,"&lt;"&amp;$B423)),MAX(INDEX(Accounts!$Q$2:$Q$11,$F423),_xlfn.MAXIFS($C$2:$C$1001,$A$2:$A$1001,$A423,$B$2:$B$1001,"&lt;"&amp;$B423),_xlfn.MAXIFS($D$2:$D$1001,$A$2:$A$1001,$A423,$B$2:$B$1001,"&lt;="&amp;$B423),$C423)))),"")</f>
        <v/>
      </c>
      <c r="H423" s="15">
        <f>IFERROR(IF(G423="","",IF(INDEX(Accounts!$P$2:$P$11,$F423)="static",INDEX(Accounts!$Q$2:$Q$11,$F423)-INDEX(Accounts!$R$2:$R$11,$F423),IF(INDEX(Accounts!$S$2:$S$11,$F423)="NONE",G423-INDEX(Accounts!$R$2:$R$11,$F423),MIN(G423-INDEX(Accounts!$R$2:$R$11,$F423),INDEX(Accounts!$Q$2:$Q$11,$F423)+INDEX(Accounts!$S$2:$S$11,$F423))))),"")</f>
        <v/>
      </c>
      <c r="I423" s="16">
        <f>IF(AND($A423="",$B423="",$C423="",$D423="",$E423=""),"",IF(OR($A423="",$F423=""),"UNKNOWN_ACCOUNT",IF(OR($B423="",$C423=""),"INCOMPLETE",IFERROR(IF(OR(NOT(ISNUMBER($B423)),NOT(ISNUMBER($C423)),IF(C423="",FALSE,IF(ISNUMBER(C423),OR(C423&lt;=0,C423&gt;100000000,ROUND(C423*100,6)&lt;&gt;INT(ROUND(C423*100,6))),TRUE)),IF(D423="",FALSE,IF(ISNUMBER(D423),OR(D423&lt;=0,D423&gt;100000000,ROUND(D423*100,6)&lt;&gt;INT(ROUND(D423*100,6))),TRUE)),IF(E423="",FALSE,IF(ISNUMBER(E423),OR(E423&lt;=0,E423&gt;100000000,ROUND(E423*100,6)&lt;&gt;INT(ROUND(E423*100,6))),TRUE)),AND($D423&lt;&gt;"",$D423&lt;MAX($C423,$E423)),AND($E423&lt;&gt;"",$E423&gt;MIN($C423,IF($D423="",$C423,$D423))),COUNTIFS($A$2:$A$1001,$A423,$B$2:$B$1001,$B423)&gt;1),"INVALID",IFERROR(IF(IF(INDEX(Accounts!$T$2:$T$11,$F423),ROUND(IF($E423="",$C423,MIN($C423,$E423))-(H423),6)&lt;=0,ROUND(IF($E423="",$C423,MIN($C423,$E423))-(H423),6)&lt;0),"BREACHED","OK"),"INCOMPLETE")),"INVALID"))))</f>
        <v/>
      </c>
      <c r="J423" s="33">
        <f>IF(OR(I423="OK",I423="BREACHED"),-INT(ROUND(-(H423)*100,6))/100,I423)</f>
        <v/>
      </c>
    </row>
    <row r="424" ht="18" customHeight="1">
      <c r="A424" s="9" t="n"/>
      <c r="B424" s="32" t="n"/>
      <c r="C424" s="12" t="n"/>
      <c r="D424" s="12" t="n"/>
      <c r="E424" s="12" t="n"/>
      <c r="F424" s="15">
        <f>IFERROR(MATCH($A424,Accounts!$A$2:$A$11,0),"")</f>
        <v/>
      </c>
      <c r="G424" s="14">
        <f>IFERROR(IF(OR($A424="",$F424=""),"",IF(INDEX(Accounts!$P$2:$P$11,$F424)="static",INDEX(Accounts!$Q$2:$Q$11,$F424),IF(INDEX(Accounts!$P$2:$P$11,$F424)="eod_trailing",MAX(INDEX(Accounts!$Q$2:$Q$11,$F424),_xlfn.MAXIFS($C$2:$C$1001,$A$2:$A$1001,$A424,$B$2:$B$1001,"&lt;"&amp;$B424)),MAX(INDEX(Accounts!$Q$2:$Q$11,$F424),_xlfn.MAXIFS($C$2:$C$1001,$A$2:$A$1001,$A424,$B$2:$B$1001,"&lt;"&amp;$B424),_xlfn.MAXIFS($D$2:$D$1001,$A$2:$A$1001,$A424,$B$2:$B$1001,"&lt;="&amp;$B424),$C424)))),"")</f>
        <v/>
      </c>
      <c r="H424" s="15">
        <f>IFERROR(IF(G424="","",IF(INDEX(Accounts!$P$2:$P$11,$F424)="static",INDEX(Accounts!$Q$2:$Q$11,$F424)-INDEX(Accounts!$R$2:$R$11,$F424),IF(INDEX(Accounts!$S$2:$S$11,$F424)="NONE",G424-INDEX(Accounts!$R$2:$R$11,$F424),MIN(G424-INDEX(Accounts!$R$2:$R$11,$F424),INDEX(Accounts!$Q$2:$Q$11,$F424)+INDEX(Accounts!$S$2:$S$11,$F424))))),"")</f>
        <v/>
      </c>
      <c r="I424" s="16">
        <f>IF(AND($A424="",$B424="",$C424="",$D424="",$E424=""),"",IF(OR($A424="",$F424=""),"UNKNOWN_ACCOUNT",IF(OR($B424="",$C424=""),"INCOMPLETE",IFERROR(IF(OR(NOT(ISNUMBER($B424)),NOT(ISNUMBER($C424)),IF(C424="",FALSE,IF(ISNUMBER(C424),OR(C424&lt;=0,C424&gt;100000000,ROUND(C424*100,6)&lt;&gt;INT(ROUND(C424*100,6))),TRUE)),IF(D424="",FALSE,IF(ISNUMBER(D424),OR(D424&lt;=0,D424&gt;100000000,ROUND(D424*100,6)&lt;&gt;INT(ROUND(D424*100,6))),TRUE)),IF(E424="",FALSE,IF(ISNUMBER(E424),OR(E424&lt;=0,E424&gt;100000000,ROUND(E424*100,6)&lt;&gt;INT(ROUND(E424*100,6))),TRUE)),AND($D424&lt;&gt;"",$D424&lt;MAX($C424,$E424)),AND($E424&lt;&gt;"",$E424&gt;MIN($C424,IF($D424="",$C424,$D424))),COUNTIFS($A$2:$A$1001,$A424,$B$2:$B$1001,$B424)&gt;1),"INVALID",IFERROR(IF(IF(INDEX(Accounts!$T$2:$T$11,$F424),ROUND(IF($E424="",$C424,MIN($C424,$E424))-(H424),6)&lt;=0,ROUND(IF($E424="",$C424,MIN($C424,$E424))-(H424),6)&lt;0),"BREACHED","OK"),"INCOMPLETE")),"INVALID"))))</f>
        <v/>
      </c>
      <c r="J424" s="33">
        <f>IF(OR(I424="OK",I424="BREACHED"),-INT(ROUND(-(H424)*100,6))/100,I424)</f>
        <v/>
      </c>
    </row>
    <row r="425" ht="18" customHeight="1">
      <c r="A425" s="9" t="n"/>
      <c r="B425" s="32" t="n"/>
      <c r="C425" s="12" t="n"/>
      <c r="D425" s="12" t="n"/>
      <c r="E425" s="12" t="n"/>
      <c r="F425" s="15">
        <f>IFERROR(MATCH($A425,Accounts!$A$2:$A$11,0),"")</f>
        <v/>
      </c>
      <c r="G425" s="14">
        <f>IFERROR(IF(OR($A425="",$F425=""),"",IF(INDEX(Accounts!$P$2:$P$11,$F425)="static",INDEX(Accounts!$Q$2:$Q$11,$F425),IF(INDEX(Accounts!$P$2:$P$11,$F425)="eod_trailing",MAX(INDEX(Accounts!$Q$2:$Q$11,$F425),_xlfn.MAXIFS($C$2:$C$1001,$A$2:$A$1001,$A425,$B$2:$B$1001,"&lt;"&amp;$B425)),MAX(INDEX(Accounts!$Q$2:$Q$11,$F425),_xlfn.MAXIFS($C$2:$C$1001,$A$2:$A$1001,$A425,$B$2:$B$1001,"&lt;"&amp;$B425),_xlfn.MAXIFS($D$2:$D$1001,$A$2:$A$1001,$A425,$B$2:$B$1001,"&lt;="&amp;$B425),$C425)))),"")</f>
        <v/>
      </c>
      <c r="H425" s="15">
        <f>IFERROR(IF(G425="","",IF(INDEX(Accounts!$P$2:$P$11,$F425)="static",INDEX(Accounts!$Q$2:$Q$11,$F425)-INDEX(Accounts!$R$2:$R$11,$F425),IF(INDEX(Accounts!$S$2:$S$11,$F425)="NONE",G425-INDEX(Accounts!$R$2:$R$11,$F425),MIN(G425-INDEX(Accounts!$R$2:$R$11,$F425),INDEX(Accounts!$Q$2:$Q$11,$F425)+INDEX(Accounts!$S$2:$S$11,$F425))))),"")</f>
        <v/>
      </c>
      <c r="I425" s="16">
        <f>IF(AND($A425="",$B425="",$C425="",$D425="",$E425=""),"",IF(OR($A425="",$F425=""),"UNKNOWN_ACCOUNT",IF(OR($B425="",$C425=""),"INCOMPLETE",IFERROR(IF(OR(NOT(ISNUMBER($B425)),NOT(ISNUMBER($C425)),IF(C425="",FALSE,IF(ISNUMBER(C425),OR(C425&lt;=0,C425&gt;100000000,ROUND(C425*100,6)&lt;&gt;INT(ROUND(C425*100,6))),TRUE)),IF(D425="",FALSE,IF(ISNUMBER(D425),OR(D425&lt;=0,D425&gt;100000000,ROUND(D425*100,6)&lt;&gt;INT(ROUND(D425*100,6))),TRUE)),IF(E425="",FALSE,IF(ISNUMBER(E425),OR(E425&lt;=0,E425&gt;100000000,ROUND(E425*100,6)&lt;&gt;INT(ROUND(E425*100,6))),TRUE)),AND($D425&lt;&gt;"",$D425&lt;MAX($C425,$E425)),AND($E425&lt;&gt;"",$E425&gt;MIN($C425,IF($D425="",$C425,$D425))),COUNTIFS($A$2:$A$1001,$A425,$B$2:$B$1001,$B425)&gt;1),"INVALID",IFERROR(IF(IF(INDEX(Accounts!$T$2:$T$11,$F425),ROUND(IF($E425="",$C425,MIN($C425,$E425))-(H425),6)&lt;=0,ROUND(IF($E425="",$C425,MIN($C425,$E425))-(H425),6)&lt;0),"BREACHED","OK"),"INCOMPLETE")),"INVALID"))))</f>
        <v/>
      </c>
      <c r="J425" s="33">
        <f>IF(OR(I425="OK",I425="BREACHED"),-INT(ROUND(-(H425)*100,6))/100,I425)</f>
        <v/>
      </c>
    </row>
    <row r="426" ht="18" customHeight="1">
      <c r="A426" s="9" t="n"/>
      <c r="B426" s="32" t="n"/>
      <c r="C426" s="12" t="n"/>
      <c r="D426" s="12" t="n"/>
      <c r="E426" s="12" t="n"/>
      <c r="F426" s="15">
        <f>IFERROR(MATCH($A426,Accounts!$A$2:$A$11,0),"")</f>
        <v/>
      </c>
      <c r="G426" s="14">
        <f>IFERROR(IF(OR($A426="",$F426=""),"",IF(INDEX(Accounts!$P$2:$P$11,$F426)="static",INDEX(Accounts!$Q$2:$Q$11,$F426),IF(INDEX(Accounts!$P$2:$P$11,$F426)="eod_trailing",MAX(INDEX(Accounts!$Q$2:$Q$11,$F426),_xlfn.MAXIFS($C$2:$C$1001,$A$2:$A$1001,$A426,$B$2:$B$1001,"&lt;"&amp;$B426)),MAX(INDEX(Accounts!$Q$2:$Q$11,$F426),_xlfn.MAXIFS($C$2:$C$1001,$A$2:$A$1001,$A426,$B$2:$B$1001,"&lt;"&amp;$B426),_xlfn.MAXIFS($D$2:$D$1001,$A$2:$A$1001,$A426,$B$2:$B$1001,"&lt;="&amp;$B426),$C426)))),"")</f>
        <v/>
      </c>
      <c r="H426" s="15">
        <f>IFERROR(IF(G426="","",IF(INDEX(Accounts!$P$2:$P$11,$F426)="static",INDEX(Accounts!$Q$2:$Q$11,$F426)-INDEX(Accounts!$R$2:$R$11,$F426),IF(INDEX(Accounts!$S$2:$S$11,$F426)="NONE",G426-INDEX(Accounts!$R$2:$R$11,$F426),MIN(G426-INDEX(Accounts!$R$2:$R$11,$F426),INDEX(Accounts!$Q$2:$Q$11,$F426)+INDEX(Accounts!$S$2:$S$11,$F426))))),"")</f>
        <v/>
      </c>
      <c r="I426" s="16">
        <f>IF(AND($A426="",$B426="",$C426="",$D426="",$E426=""),"",IF(OR($A426="",$F426=""),"UNKNOWN_ACCOUNT",IF(OR($B426="",$C426=""),"INCOMPLETE",IFERROR(IF(OR(NOT(ISNUMBER($B426)),NOT(ISNUMBER($C426)),IF(C426="",FALSE,IF(ISNUMBER(C426),OR(C426&lt;=0,C426&gt;100000000,ROUND(C426*100,6)&lt;&gt;INT(ROUND(C426*100,6))),TRUE)),IF(D426="",FALSE,IF(ISNUMBER(D426),OR(D426&lt;=0,D426&gt;100000000,ROUND(D426*100,6)&lt;&gt;INT(ROUND(D426*100,6))),TRUE)),IF(E426="",FALSE,IF(ISNUMBER(E426),OR(E426&lt;=0,E426&gt;100000000,ROUND(E426*100,6)&lt;&gt;INT(ROUND(E426*100,6))),TRUE)),AND($D426&lt;&gt;"",$D426&lt;MAX($C426,$E426)),AND($E426&lt;&gt;"",$E426&gt;MIN($C426,IF($D426="",$C426,$D426))),COUNTIFS($A$2:$A$1001,$A426,$B$2:$B$1001,$B426)&gt;1),"INVALID",IFERROR(IF(IF(INDEX(Accounts!$T$2:$T$11,$F426),ROUND(IF($E426="",$C426,MIN($C426,$E426))-(H426),6)&lt;=0,ROUND(IF($E426="",$C426,MIN($C426,$E426))-(H426),6)&lt;0),"BREACHED","OK"),"INCOMPLETE")),"INVALID"))))</f>
        <v/>
      </c>
      <c r="J426" s="33">
        <f>IF(OR(I426="OK",I426="BREACHED"),-INT(ROUND(-(H426)*100,6))/100,I426)</f>
        <v/>
      </c>
    </row>
    <row r="427" ht="18" customHeight="1">
      <c r="A427" s="9" t="n"/>
      <c r="B427" s="32" t="n"/>
      <c r="C427" s="12" t="n"/>
      <c r="D427" s="12" t="n"/>
      <c r="E427" s="12" t="n"/>
      <c r="F427" s="15">
        <f>IFERROR(MATCH($A427,Accounts!$A$2:$A$11,0),"")</f>
        <v/>
      </c>
      <c r="G427" s="14">
        <f>IFERROR(IF(OR($A427="",$F427=""),"",IF(INDEX(Accounts!$P$2:$P$11,$F427)="static",INDEX(Accounts!$Q$2:$Q$11,$F427),IF(INDEX(Accounts!$P$2:$P$11,$F427)="eod_trailing",MAX(INDEX(Accounts!$Q$2:$Q$11,$F427),_xlfn.MAXIFS($C$2:$C$1001,$A$2:$A$1001,$A427,$B$2:$B$1001,"&lt;"&amp;$B427)),MAX(INDEX(Accounts!$Q$2:$Q$11,$F427),_xlfn.MAXIFS($C$2:$C$1001,$A$2:$A$1001,$A427,$B$2:$B$1001,"&lt;"&amp;$B427),_xlfn.MAXIFS($D$2:$D$1001,$A$2:$A$1001,$A427,$B$2:$B$1001,"&lt;="&amp;$B427),$C427)))),"")</f>
        <v/>
      </c>
      <c r="H427" s="15">
        <f>IFERROR(IF(G427="","",IF(INDEX(Accounts!$P$2:$P$11,$F427)="static",INDEX(Accounts!$Q$2:$Q$11,$F427)-INDEX(Accounts!$R$2:$R$11,$F427),IF(INDEX(Accounts!$S$2:$S$11,$F427)="NONE",G427-INDEX(Accounts!$R$2:$R$11,$F427),MIN(G427-INDEX(Accounts!$R$2:$R$11,$F427),INDEX(Accounts!$Q$2:$Q$11,$F427)+INDEX(Accounts!$S$2:$S$11,$F427))))),"")</f>
        <v/>
      </c>
      <c r="I427" s="16">
        <f>IF(AND($A427="",$B427="",$C427="",$D427="",$E427=""),"",IF(OR($A427="",$F427=""),"UNKNOWN_ACCOUNT",IF(OR($B427="",$C427=""),"INCOMPLETE",IFERROR(IF(OR(NOT(ISNUMBER($B427)),NOT(ISNUMBER($C427)),IF(C427="",FALSE,IF(ISNUMBER(C427),OR(C427&lt;=0,C427&gt;100000000,ROUND(C427*100,6)&lt;&gt;INT(ROUND(C427*100,6))),TRUE)),IF(D427="",FALSE,IF(ISNUMBER(D427),OR(D427&lt;=0,D427&gt;100000000,ROUND(D427*100,6)&lt;&gt;INT(ROUND(D427*100,6))),TRUE)),IF(E427="",FALSE,IF(ISNUMBER(E427),OR(E427&lt;=0,E427&gt;100000000,ROUND(E427*100,6)&lt;&gt;INT(ROUND(E427*100,6))),TRUE)),AND($D427&lt;&gt;"",$D427&lt;MAX($C427,$E427)),AND($E427&lt;&gt;"",$E427&gt;MIN($C427,IF($D427="",$C427,$D427))),COUNTIFS($A$2:$A$1001,$A427,$B$2:$B$1001,$B427)&gt;1),"INVALID",IFERROR(IF(IF(INDEX(Accounts!$T$2:$T$11,$F427),ROUND(IF($E427="",$C427,MIN($C427,$E427))-(H427),6)&lt;=0,ROUND(IF($E427="",$C427,MIN($C427,$E427))-(H427),6)&lt;0),"BREACHED","OK"),"INCOMPLETE")),"INVALID"))))</f>
        <v/>
      </c>
      <c r="J427" s="33">
        <f>IF(OR(I427="OK",I427="BREACHED"),-INT(ROUND(-(H427)*100,6))/100,I427)</f>
        <v/>
      </c>
    </row>
    <row r="428" ht="18" customHeight="1">
      <c r="A428" s="9" t="n"/>
      <c r="B428" s="32" t="n"/>
      <c r="C428" s="12" t="n"/>
      <c r="D428" s="12" t="n"/>
      <c r="E428" s="12" t="n"/>
      <c r="F428" s="15">
        <f>IFERROR(MATCH($A428,Accounts!$A$2:$A$11,0),"")</f>
        <v/>
      </c>
      <c r="G428" s="14">
        <f>IFERROR(IF(OR($A428="",$F428=""),"",IF(INDEX(Accounts!$P$2:$P$11,$F428)="static",INDEX(Accounts!$Q$2:$Q$11,$F428),IF(INDEX(Accounts!$P$2:$P$11,$F428)="eod_trailing",MAX(INDEX(Accounts!$Q$2:$Q$11,$F428),_xlfn.MAXIFS($C$2:$C$1001,$A$2:$A$1001,$A428,$B$2:$B$1001,"&lt;"&amp;$B428)),MAX(INDEX(Accounts!$Q$2:$Q$11,$F428),_xlfn.MAXIFS($C$2:$C$1001,$A$2:$A$1001,$A428,$B$2:$B$1001,"&lt;"&amp;$B428),_xlfn.MAXIFS($D$2:$D$1001,$A$2:$A$1001,$A428,$B$2:$B$1001,"&lt;="&amp;$B428),$C428)))),"")</f>
        <v/>
      </c>
      <c r="H428" s="15">
        <f>IFERROR(IF(G428="","",IF(INDEX(Accounts!$P$2:$P$11,$F428)="static",INDEX(Accounts!$Q$2:$Q$11,$F428)-INDEX(Accounts!$R$2:$R$11,$F428),IF(INDEX(Accounts!$S$2:$S$11,$F428)="NONE",G428-INDEX(Accounts!$R$2:$R$11,$F428),MIN(G428-INDEX(Accounts!$R$2:$R$11,$F428),INDEX(Accounts!$Q$2:$Q$11,$F428)+INDEX(Accounts!$S$2:$S$11,$F428))))),"")</f>
        <v/>
      </c>
      <c r="I428" s="16">
        <f>IF(AND($A428="",$B428="",$C428="",$D428="",$E428=""),"",IF(OR($A428="",$F428=""),"UNKNOWN_ACCOUNT",IF(OR($B428="",$C428=""),"INCOMPLETE",IFERROR(IF(OR(NOT(ISNUMBER($B428)),NOT(ISNUMBER($C428)),IF(C428="",FALSE,IF(ISNUMBER(C428),OR(C428&lt;=0,C428&gt;100000000,ROUND(C428*100,6)&lt;&gt;INT(ROUND(C428*100,6))),TRUE)),IF(D428="",FALSE,IF(ISNUMBER(D428),OR(D428&lt;=0,D428&gt;100000000,ROUND(D428*100,6)&lt;&gt;INT(ROUND(D428*100,6))),TRUE)),IF(E428="",FALSE,IF(ISNUMBER(E428),OR(E428&lt;=0,E428&gt;100000000,ROUND(E428*100,6)&lt;&gt;INT(ROUND(E428*100,6))),TRUE)),AND($D428&lt;&gt;"",$D428&lt;MAX($C428,$E428)),AND($E428&lt;&gt;"",$E428&gt;MIN($C428,IF($D428="",$C428,$D428))),COUNTIFS($A$2:$A$1001,$A428,$B$2:$B$1001,$B428)&gt;1),"INVALID",IFERROR(IF(IF(INDEX(Accounts!$T$2:$T$11,$F428),ROUND(IF($E428="",$C428,MIN($C428,$E428))-(H428),6)&lt;=0,ROUND(IF($E428="",$C428,MIN($C428,$E428))-(H428),6)&lt;0),"BREACHED","OK"),"INCOMPLETE")),"INVALID"))))</f>
        <v/>
      </c>
      <c r="J428" s="33">
        <f>IF(OR(I428="OK",I428="BREACHED"),-INT(ROUND(-(H428)*100,6))/100,I428)</f>
        <v/>
      </c>
    </row>
    <row r="429" ht="18" customHeight="1">
      <c r="A429" s="9" t="n"/>
      <c r="B429" s="32" t="n"/>
      <c r="C429" s="12" t="n"/>
      <c r="D429" s="12" t="n"/>
      <c r="E429" s="12" t="n"/>
      <c r="F429" s="15">
        <f>IFERROR(MATCH($A429,Accounts!$A$2:$A$11,0),"")</f>
        <v/>
      </c>
      <c r="G429" s="14">
        <f>IFERROR(IF(OR($A429="",$F429=""),"",IF(INDEX(Accounts!$P$2:$P$11,$F429)="static",INDEX(Accounts!$Q$2:$Q$11,$F429),IF(INDEX(Accounts!$P$2:$P$11,$F429)="eod_trailing",MAX(INDEX(Accounts!$Q$2:$Q$11,$F429),_xlfn.MAXIFS($C$2:$C$1001,$A$2:$A$1001,$A429,$B$2:$B$1001,"&lt;"&amp;$B429)),MAX(INDEX(Accounts!$Q$2:$Q$11,$F429),_xlfn.MAXIFS($C$2:$C$1001,$A$2:$A$1001,$A429,$B$2:$B$1001,"&lt;"&amp;$B429),_xlfn.MAXIFS($D$2:$D$1001,$A$2:$A$1001,$A429,$B$2:$B$1001,"&lt;="&amp;$B429),$C429)))),"")</f>
        <v/>
      </c>
      <c r="H429" s="15">
        <f>IFERROR(IF(G429="","",IF(INDEX(Accounts!$P$2:$P$11,$F429)="static",INDEX(Accounts!$Q$2:$Q$11,$F429)-INDEX(Accounts!$R$2:$R$11,$F429),IF(INDEX(Accounts!$S$2:$S$11,$F429)="NONE",G429-INDEX(Accounts!$R$2:$R$11,$F429),MIN(G429-INDEX(Accounts!$R$2:$R$11,$F429),INDEX(Accounts!$Q$2:$Q$11,$F429)+INDEX(Accounts!$S$2:$S$11,$F429))))),"")</f>
        <v/>
      </c>
      <c r="I429" s="16">
        <f>IF(AND($A429="",$B429="",$C429="",$D429="",$E429=""),"",IF(OR($A429="",$F429=""),"UNKNOWN_ACCOUNT",IF(OR($B429="",$C429=""),"INCOMPLETE",IFERROR(IF(OR(NOT(ISNUMBER($B429)),NOT(ISNUMBER($C429)),IF(C429="",FALSE,IF(ISNUMBER(C429),OR(C429&lt;=0,C429&gt;100000000,ROUND(C429*100,6)&lt;&gt;INT(ROUND(C429*100,6))),TRUE)),IF(D429="",FALSE,IF(ISNUMBER(D429),OR(D429&lt;=0,D429&gt;100000000,ROUND(D429*100,6)&lt;&gt;INT(ROUND(D429*100,6))),TRUE)),IF(E429="",FALSE,IF(ISNUMBER(E429),OR(E429&lt;=0,E429&gt;100000000,ROUND(E429*100,6)&lt;&gt;INT(ROUND(E429*100,6))),TRUE)),AND($D429&lt;&gt;"",$D429&lt;MAX($C429,$E429)),AND($E429&lt;&gt;"",$E429&gt;MIN($C429,IF($D429="",$C429,$D429))),COUNTIFS($A$2:$A$1001,$A429,$B$2:$B$1001,$B429)&gt;1),"INVALID",IFERROR(IF(IF(INDEX(Accounts!$T$2:$T$11,$F429),ROUND(IF($E429="",$C429,MIN($C429,$E429))-(H429),6)&lt;=0,ROUND(IF($E429="",$C429,MIN($C429,$E429))-(H429),6)&lt;0),"BREACHED","OK"),"INCOMPLETE")),"INVALID"))))</f>
        <v/>
      </c>
      <c r="J429" s="33">
        <f>IF(OR(I429="OK",I429="BREACHED"),-INT(ROUND(-(H429)*100,6))/100,I429)</f>
        <v/>
      </c>
    </row>
    <row r="430" ht="18" customHeight="1">
      <c r="A430" s="9" t="n"/>
      <c r="B430" s="32" t="n"/>
      <c r="C430" s="12" t="n"/>
      <c r="D430" s="12" t="n"/>
      <c r="E430" s="12" t="n"/>
      <c r="F430" s="15">
        <f>IFERROR(MATCH($A430,Accounts!$A$2:$A$11,0),"")</f>
        <v/>
      </c>
      <c r="G430" s="14">
        <f>IFERROR(IF(OR($A430="",$F430=""),"",IF(INDEX(Accounts!$P$2:$P$11,$F430)="static",INDEX(Accounts!$Q$2:$Q$11,$F430),IF(INDEX(Accounts!$P$2:$P$11,$F430)="eod_trailing",MAX(INDEX(Accounts!$Q$2:$Q$11,$F430),_xlfn.MAXIFS($C$2:$C$1001,$A$2:$A$1001,$A430,$B$2:$B$1001,"&lt;"&amp;$B430)),MAX(INDEX(Accounts!$Q$2:$Q$11,$F430),_xlfn.MAXIFS($C$2:$C$1001,$A$2:$A$1001,$A430,$B$2:$B$1001,"&lt;"&amp;$B430),_xlfn.MAXIFS($D$2:$D$1001,$A$2:$A$1001,$A430,$B$2:$B$1001,"&lt;="&amp;$B430),$C430)))),"")</f>
        <v/>
      </c>
      <c r="H430" s="15">
        <f>IFERROR(IF(G430="","",IF(INDEX(Accounts!$P$2:$P$11,$F430)="static",INDEX(Accounts!$Q$2:$Q$11,$F430)-INDEX(Accounts!$R$2:$R$11,$F430),IF(INDEX(Accounts!$S$2:$S$11,$F430)="NONE",G430-INDEX(Accounts!$R$2:$R$11,$F430),MIN(G430-INDEX(Accounts!$R$2:$R$11,$F430),INDEX(Accounts!$Q$2:$Q$11,$F430)+INDEX(Accounts!$S$2:$S$11,$F430))))),"")</f>
        <v/>
      </c>
      <c r="I430" s="16">
        <f>IF(AND($A430="",$B430="",$C430="",$D430="",$E430=""),"",IF(OR($A430="",$F430=""),"UNKNOWN_ACCOUNT",IF(OR($B430="",$C430=""),"INCOMPLETE",IFERROR(IF(OR(NOT(ISNUMBER($B430)),NOT(ISNUMBER($C430)),IF(C430="",FALSE,IF(ISNUMBER(C430),OR(C430&lt;=0,C430&gt;100000000,ROUND(C430*100,6)&lt;&gt;INT(ROUND(C430*100,6))),TRUE)),IF(D430="",FALSE,IF(ISNUMBER(D430),OR(D430&lt;=0,D430&gt;100000000,ROUND(D430*100,6)&lt;&gt;INT(ROUND(D430*100,6))),TRUE)),IF(E430="",FALSE,IF(ISNUMBER(E430),OR(E430&lt;=0,E430&gt;100000000,ROUND(E430*100,6)&lt;&gt;INT(ROUND(E430*100,6))),TRUE)),AND($D430&lt;&gt;"",$D430&lt;MAX($C430,$E430)),AND($E430&lt;&gt;"",$E430&gt;MIN($C430,IF($D430="",$C430,$D430))),COUNTIFS($A$2:$A$1001,$A430,$B$2:$B$1001,$B430)&gt;1),"INVALID",IFERROR(IF(IF(INDEX(Accounts!$T$2:$T$11,$F430),ROUND(IF($E430="",$C430,MIN($C430,$E430))-(H430),6)&lt;=0,ROUND(IF($E430="",$C430,MIN($C430,$E430))-(H430),6)&lt;0),"BREACHED","OK"),"INCOMPLETE")),"INVALID"))))</f>
        <v/>
      </c>
      <c r="J430" s="33">
        <f>IF(OR(I430="OK",I430="BREACHED"),-INT(ROUND(-(H430)*100,6))/100,I430)</f>
        <v/>
      </c>
    </row>
    <row r="431" ht="18" customHeight="1">
      <c r="A431" s="9" t="n"/>
      <c r="B431" s="32" t="n"/>
      <c r="C431" s="12" t="n"/>
      <c r="D431" s="12" t="n"/>
      <c r="E431" s="12" t="n"/>
      <c r="F431" s="15">
        <f>IFERROR(MATCH($A431,Accounts!$A$2:$A$11,0),"")</f>
        <v/>
      </c>
      <c r="G431" s="14">
        <f>IFERROR(IF(OR($A431="",$F431=""),"",IF(INDEX(Accounts!$P$2:$P$11,$F431)="static",INDEX(Accounts!$Q$2:$Q$11,$F431),IF(INDEX(Accounts!$P$2:$P$11,$F431)="eod_trailing",MAX(INDEX(Accounts!$Q$2:$Q$11,$F431),_xlfn.MAXIFS($C$2:$C$1001,$A$2:$A$1001,$A431,$B$2:$B$1001,"&lt;"&amp;$B431)),MAX(INDEX(Accounts!$Q$2:$Q$11,$F431),_xlfn.MAXIFS($C$2:$C$1001,$A$2:$A$1001,$A431,$B$2:$B$1001,"&lt;"&amp;$B431),_xlfn.MAXIFS($D$2:$D$1001,$A$2:$A$1001,$A431,$B$2:$B$1001,"&lt;="&amp;$B431),$C431)))),"")</f>
        <v/>
      </c>
      <c r="H431" s="15">
        <f>IFERROR(IF(G431="","",IF(INDEX(Accounts!$P$2:$P$11,$F431)="static",INDEX(Accounts!$Q$2:$Q$11,$F431)-INDEX(Accounts!$R$2:$R$11,$F431),IF(INDEX(Accounts!$S$2:$S$11,$F431)="NONE",G431-INDEX(Accounts!$R$2:$R$11,$F431),MIN(G431-INDEX(Accounts!$R$2:$R$11,$F431),INDEX(Accounts!$Q$2:$Q$11,$F431)+INDEX(Accounts!$S$2:$S$11,$F431))))),"")</f>
        <v/>
      </c>
      <c r="I431" s="16">
        <f>IF(AND($A431="",$B431="",$C431="",$D431="",$E431=""),"",IF(OR($A431="",$F431=""),"UNKNOWN_ACCOUNT",IF(OR($B431="",$C431=""),"INCOMPLETE",IFERROR(IF(OR(NOT(ISNUMBER($B431)),NOT(ISNUMBER($C431)),IF(C431="",FALSE,IF(ISNUMBER(C431),OR(C431&lt;=0,C431&gt;100000000,ROUND(C431*100,6)&lt;&gt;INT(ROUND(C431*100,6))),TRUE)),IF(D431="",FALSE,IF(ISNUMBER(D431),OR(D431&lt;=0,D431&gt;100000000,ROUND(D431*100,6)&lt;&gt;INT(ROUND(D431*100,6))),TRUE)),IF(E431="",FALSE,IF(ISNUMBER(E431),OR(E431&lt;=0,E431&gt;100000000,ROUND(E431*100,6)&lt;&gt;INT(ROUND(E431*100,6))),TRUE)),AND($D431&lt;&gt;"",$D431&lt;MAX($C431,$E431)),AND($E431&lt;&gt;"",$E431&gt;MIN($C431,IF($D431="",$C431,$D431))),COUNTIFS($A$2:$A$1001,$A431,$B$2:$B$1001,$B431)&gt;1),"INVALID",IFERROR(IF(IF(INDEX(Accounts!$T$2:$T$11,$F431),ROUND(IF($E431="",$C431,MIN($C431,$E431))-(H431),6)&lt;=0,ROUND(IF($E431="",$C431,MIN($C431,$E431))-(H431),6)&lt;0),"BREACHED","OK"),"INCOMPLETE")),"INVALID"))))</f>
        <v/>
      </c>
      <c r="J431" s="33">
        <f>IF(OR(I431="OK",I431="BREACHED"),-INT(ROUND(-(H431)*100,6))/100,I431)</f>
        <v/>
      </c>
    </row>
    <row r="432" ht="18" customHeight="1">
      <c r="A432" s="9" t="n"/>
      <c r="B432" s="32" t="n"/>
      <c r="C432" s="12" t="n"/>
      <c r="D432" s="12" t="n"/>
      <c r="E432" s="12" t="n"/>
      <c r="F432" s="15">
        <f>IFERROR(MATCH($A432,Accounts!$A$2:$A$11,0),"")</f>
        <v/>
      </c>
      <c r="G432" s="14">
        <f>IFERROR(IF(OR($A432="",$F432=""),"",IF(INDEX(Accounts!$P$2:$P$11,$F432)="static",INDEX(Accounts!$Q$2:$Q$11,$F432),IF(INDEX(Accounts!$P$2:$P$11,$F432)="eod_trailing",MAX(INDEX(Accounts!$Q$2:$Q$11,$F432),_xlfn.MAXIFS($C$2:$C$1001,$A$2:$A$1001,$A432,$B$2:$B$1001,"&lt;"&amp;$B432)),MAX(INDEX(Accounts!$Q$2:$Q$11,$F432),_xlfn.MAXIFS($C$2:$C$1001,$A$2:$A$1001,$A432,$B$2:$B$1001,"&lt;"&amp;$B432),_xlfn.MAXIFS($D$2:$D$1001,$A$2:$A$1001,$A432,$B$2:$B$1001,"&lt;="&amp;$B432),$C432)))),"")</f>
        <v/>
      </c>
      <c r="H432" s="15">
        <f>IFERROR(IF(G432="","",IF(INDEX(Accounts!$P$2:$P$11,$F432)="static",INDEX(Accounts!$Q$2:$Q$11,$F432)-INDEX(Accounts!$R$2:$R$11,$F432),IF(INDEX(Accounts!$S$2:$S$11,$F432)="NONE",G432-INDEX(Accounts!$R$2:$R$11,$F432),MIN(G432-INDEX(Accounts!$R$2:$R$11,$F432),INDEX(Accounts!$Q$2:$Q$11,$F432)+INDEX(Accounts!$S$2:$S$11,$F432))))),"")</f>
        <v/>
      </c>
      <c r="I432" s="16">
        <f>IF(AND($A432="",$B432="",$C432="",$D432="",$E432=""),"",IF(OR($A432="",$F432=""),"UNKNOWN_ACCOUNT",IF(OR($B432="",$C432=""),"INCOMPLETE",IFERROR(IF(OR(NOT(ISNUMBER($B432)),NOT(ISNUMBER($C432)),IF(C432="",FALSE,IF(ISNUMBER(C432),OR(C432&lt;=0,C432&gt;100000000,ROUND(C432*100,6)&lt;&gt;INT(ROUND(C432*100,6))),TRUE)),IF(D432="",FALSE,IF(ISNUMBER(D432),OR(D432&lt;=0,D432&gt;100000000,ROUND(D432*100,6)&lt;&gt;INT(ROUND(D432*100,6))),TRUE)),IF(E432="",FALSE,IF(ISNUMBER(E432),OR(E432&lt;=0,E432&gt;100000000,ROUND(E432*100,6)&lt;&gt;INT(ROUND(E432*100,6))),TRUE)),AND($D432&lt;&gt;"",$D432&lt;MAX($C432,$E432)),AND($E432&lt;&gt;"",$E432&gt;MIN($C432,IF($D432="",$C432,$D432))),COUNTIFS($A$2:$A$1001,$A432,$B$2:$B$1001,$B432)&gt;1),"INVALID",IFERROR(IF(IF(INDEX(Accounts!$T$2:$T$11,$F432),ROUND(IF($E432="",$C432,MIN($C432,$E432))-(H432),6)&lt;=0,ROUND(IF($E432="",$C432,MIN($C432,$E432))-(H432),6)&lt;0),"BREACHED","OK"),"INCOMPLETE")),"INVALID"))))</f>
        <v/>
      </c>
      <c r="J432" s="33">
        <f>IF(OR(I432="OK",I432="BREACHED"),-INT(ROUND(-(H432)*100,6))/100,I432)</f>
        <v/>
      </c>
    </row>
    <row r="433" ht="18" customHeight="1">
      <c r="A433" s="9" t="n"/>
      <c r="B433" s="32" t="n"/>
      <c r="C433" s="12" t="n"/>
      <c r="D433" s="12" t="n"/>
      <c r="E433" s="12" t="n"/>
      <c r="F433" s="15">
        <f>IFERROR(MATCH($A433,Accounts!$A$2:$A$11,0),"")</f>
        <v/>
      </c>
      <c r="G433" s="14">
        <f>IFERROR(IF(OR($A433="",$F433=""),"",IF(INDEX(Accounts!$P$2:$P$11,$F433)="static",INDEX(Accounts!$Q$2:$Q$11,$F433),IF(INDEX(Accounts!$P$2:$P$11,$F433)="eod_trailing",MAX(INDEX(Accounts!$Q$2:$Q$11,$F433),_xlfn.MAXIFS($C$2:$C$1001,$A$2:$A$1001,$A433,$B$2:$B$1001,"&lt;"&amp;$B433)),MAX(INDEX(Accounts!$Q$2:$Q$11,$F433),_xlfn.MAXIFS($C$2:$C$1001,$A$2:$A$1001,$A433,$B$2:$B$1001,"&lt;"&amp;$B433),_xlfn.MAXIFS($D$2:$D$1001,$A$2:$A$1001,$A433,$B$2:$B$1001,"&lt;="&amp;$B433),$C433)))),"")</f>
        <v/>
      </c>
      <c r="H433" s="15">
        <f>IFERROR(IF(G433="","",IF(INDEX(Accounts!$P$2:$P$11,$F433)="static",INDEX(Accounts!$Q$2:$Q$11,$F433)-INDEX(Accounts!$R$2:$R$11,$F433),IF(INDEX(Accounts!$S$2:$S$11,$F433)="NONE",G433-INDEX(Accounts!$R$2:$R$11,$F433),MIN(G433-INDEX(Accounts!$R$2:$R$11,$F433),INDEX(Accounts!$Q$2:$Q$11,$F433)+INDEX(Accounts!$S$2:$S$11,$F433))))),"")</f>
        <v/>
      </c>
      <c r="I433" s="16">
        <f>IF(AND($A433="",$B433="",$C433="",$D433="",$E433=""),"",IF(OR($A433="",$F433=""),"UNKNOWN_ACCOUNT",IF(OR($B433="",$C433=""),"INCOMPLETE",IFERROR(IF(OR(NOT(ISNUMBER($B433)),NOT(ISNUMBER($C433)),IF(C433="",FALSE,IF(ISNUMBER(C433),OR(C433&lt;=0,C433&gt;100000000,ROUND(C433*100,6)&lt;&gt;INT(ROUND(C433*100,6))),TRUE)),IF(D433="",FALSE,IF(ISNUMBER(D433),OR(D433&lt;=0,D433&gt;100000000,ROUND(D433*100,6)&lt;&gt;INT(ROUND(D433*100,6))),TRUE)),IF(E433="",FALSE,IF(ISNUMBER(E433),OR(E433&lt;=0,E433&gt;100000000,ROUND(E433*100,6)&lt;&gt;INT(ROUND(E433*100,6))),TRUE)),AND($D433&lt;&gt;"",$D433&lt;MAX($C433,$E433)),AND($E433&lt;&gt;"",$E433&gt;MIN($C433,IF($D433="",$C433,$D433))),COUNTIFS($A$2:$A$1001,$A433,$B$2:$B$1001,$B433)&gt;1),"INVALID",IFERROR(IF(IF(INDEX(Accounts!$T$2:$T$11,$F433),ROUND(IF($E433="",$C433,MIN($C433,$E433))-(H433),6)&lt;=0,ROUND(IF($E433="",$C433,MIN($C433,$E433))-(H433),6)&lt;0),"BREACHED","OK"),"INCOMPLETE")),"INVALID"))))</f>
        <v/>
      </c>
      <c r="J433" s="33">
        <f>IF(OR(I433="OK",I433="BREACHED"),-INT(ROUND(-(H433)*100,6))/100,I433)</f>
        <v/>
      </c>
    </row>
    <row r="434" ht="18" customHeight="1">
      <c r="A434" s="9" t="n"/>
      <c r="B434" s="32" t="n"/>
      <c r="C434" s="12" t="n"/>
      <c r="D434" s="12" t="n"/>
      <c r="E434" s="12" t="n"/>
      <c r="F434" s="15">
        <f>IFERROR(MATCH($A434,Accounts!$A$2:$A$11,0),"")</f>
        <v/>
      </c>
      <c r="G434" s="14">
        <f>IFERROR(IF(OR($A434="",$F434=""),"",IF(INDEX(Accounts!$P$2:$P$11,$F434)="static",INDEX(Accounts!$Q$2:$Q$11,$F434),IF(INDEX(Accounts!$P$2:$P$11,$F434)="eod_trailing",MAX(INDEX(Accounts!$Q$2:$Q$11,$F434),_xlfn.MAXIFS($C$2:$C$1001,$A$2:$A$1001,$A434,$B$2:$B$1001,"&lt;"&amp;$B434)),MAX(INDEX(Accounts!$Q$2:$Q$11,$F434),_xlfn.MAXIFS($C$2:$C$1001,$A$2:$A$1001,$A434,$B$2:$B$1001,"&lt;"&amp;$B434),_xlfn.MAXIFS($D$2:$D$1001,$A$2:$A$1001,$A434,$B$2:$B$1001,"&lt;="&amp;$B434),$C434)))),"")</f>
        <v/>
      </c>
      <c r="H434" s="15">
        <f>IFERROR(IF(G434="","",IF(INDEX(Accounts!$P$2:$P$11,$F434)="static",INDEX(Accounts!$Q$2:$Q$11,$F434)-INDEX(Accounts!$R$2:$R$11,$F434),IF(INDEX(Accounts!$S$2:$S$11,$F434)="NONE",G434-INDEX(Accounts!$R$2:$R$11,$F434),MIN(G434-INDEX(Accounts!$R$2:$R$11,$F434),INDEX(Accounts!$Q$2:$Q$11,$F434)+INDEX(Accounts!$S$2:$S$11,$F434))))),"")</f>
        <v/>
      </c>
      <c r="I434" s="16">
        <f>IF(AND($A434="",$B434="",$C434="",$D434="",$E434=""),"",IF(OR($A434="",$F434=""),"UNKNOWN_ACCOUNT",IF(OR($B434="",$C434=""),"INCOMPLETE",IFERROR(IF(OR(NOT(ISNUMBER($B434)),NOT(ISNUMBER($C434)),IF(C434="",FALSE,IF(ISNUMBER(C434),OR(C434&lt;=0,C434&gt;100000000,ROUND(C434*100,6)&lt;&gt;INT(ROUND(C434*100,6))),TRUE)),IF(D434="",FALSE,IF(ISNUMBER(D434),OR(D434&lt;=0,D434&gt;100000000,ROUND(D434*100,6)&lt;&gt;INT(ROUND(D434*100,6))),TRUE)),IF(E434="",FALSE,IF(ISNUMBER(E434),OR(E434&lt;=0,E434&gt;100000000,ROUND(E434*100,6)&lt;&gt;INT(ROUND(E434*100,6))),TRUE)),AND($D434&lt;&gt;"",$D434&lt;MAX($C434,$E434)),AND($E434&lt;&gt;"",$E434&gt;MIN($C434,IF($D434="",$C434,$D434))),COUNTIFS($A$2:$A$1001,$A434,$B$2:$B$1001,$B434)&gt;1),"INVALID",IFERROR(IF(IF(INDEX(Accounts!$T$2:$T$11,$F434),ROUND(IF($E434="",$C434,MIN($C434,$E434))-(H434),6)&lt;=0,ROUND(IF($E434="",$C434,MIN($C434,$E434))-(H434),6)&lt;0),"BREACHED","OK"),"INCOMPLETE")),"INVALID"))))</f>
        <v/>
      </c>
      <c r="J434" s="33">
        <f>IF(OR(I434="OK",I434="BREACHED"),-INT(ROUND(-(H434)*100,6))/100,I434)</f>
        <v/>
      </c>
    </row>
    <row r="435" ht="18" customHeight="1">
      <c r="A435" s="9" t="n"/>
      <c r="B435" s="32" t="n"/>
      <c r="C435" s="12" t="n"/>
      <c r="D435" s="12" t="n"/>
      <c r="E435" s="12" t="n"/>
      <c r="F435" s="15">
        <f>IFERROR(MATCH($A435,Accounts!$A$2:$A$11,0),"")</f>
        <v/>
      </c>
      <c r="G435" s="14">
        <f>IFERROR(IF(OR($A435="",$F435=""),"",IF(INDEX(Accounts!$P$2:$P$11,$F435)="static",INDEX(Accounts!$Q$2:$Q$11,$F435),IF(INDEX(Accounts!$P$2:$P$11,$F435)="eod_trailing",MAX(INDEX(Accounts!$Q$2:$Q$11,$F435),_xlfn.MAXIFS($C$2:$C$1001,$A$2:$A$1001,$A435,$B$2:$B$1001,"&lt;"&amp;$B435)),MAX(INDEX(Accounts!$Q$2:$Q$11,$F435),_xlfn.MAXIFS($C$2:$C$1001,$A$2:$A$1001,$A435,$B$2:$B$1001,"&lt;"&amp;$B435),_xlfn.MAXIFS($D$2:$D$1001,$A$2:$A$1001,$A435,$B$2:$B$1001,"&lt;="&amp;$B435),$C435)))),"")</f>
        <v/>
      </c>
      <c r="H435" s="15">
        <f>IFERROR(IF(G435="","",IF(INDEX(Accounts!$P$2:$P$11,$F435)="static",INDEX(Accounts!$Q$2:$Q$11,$F435)-INDEX(Accounts!$R$2:$R$11,$F435),IF(INDEX(Accounts!$S$2:$S$11,$F435)="NONE",G435-INDEX(Accounts!$R$2:$R$11,$F435),MIN(G435-INDEX(Accounts!$R$2:$R$11,$F435),INDEX(Accounts!$Q$2:$Q$11,$F435)+INDEX(Accounts!$S$2:$S$11,$F435))))),"")</f>
        <v/>
      </c>
      <c r="I435" s="16">
        <f>IF(AND($A435="",$B435="",$C435="",$D435="",$E435=""),"",IF(OR($A435="",$F435=""),"UNKNOWN_ACCOUNT",IF(OR($B435="",$C435=""),"INCOMPLETE",IFERROR(IF(OR(NOT(ISNUMBER($B435)),NOT(ISNUMBER($C435)),IF(C435="",FALSE,IF(ISNUMBER(C435),OR(C435&lt;=0,C435&gt;100000000,ROUND(C435*100,6)&lt;&gt;INT(ROUND(C435*100,6))),TRUE)),IF(D435="",FALSE,IF(ISNUMBER(D435),OR(D435&lt;=0,D435&gt;100000000,ROUND(D435*100,6)&lt;&gt;INT(ROUND(D435*100,6))),TRUE)),IF(E435="",FALSE,IF(ISNUMBER(E435),OR(E435&lt;=0,E435&gt;100000000,ROUND(E435*100,6)&lt;&gt;INT(ROUND(E435*100,6))),TRUE)),AND($D435&lt;&gt;"",$D435&lt;MAX($C435,$E435)),AND($E435&lt;&gt;"",$E435&gt;MIN($C435,IF($D435="",$C435,$D435))),COUNTIFS($A$2:$A$1001,$A435,$B$2:$B$1001,$B435)&gt;1),"INVALID",IFERROR(IF(IF(INDEX(Accounts!$T$2:$T$11,$F435),ROUND(IF($E435="",$C435,MIN($C435,$E435))-(H435),6)&lt;=0,ROUND(IF($E435="",$C435,MIN($C435,$E435))-(H435),6)&lt;0),"BREACHED","OK"),"INCOMPLETE")),"INVALID"))))</f>
        <v/>
      </c>
      <c r="J435" s="33">
        <f>IF(OR(I435="OK",I435="BREACHED"),-INT(ROUND(-(H435)*100,6))/100,I435)</f>
        <v/>
      </c>
    </row>
    <row r="436" ht="18" customHeight="1">
      <c r="A436" s="9" t="n"/>
      <c r="B436" s="32" t="n"/>
      <c r="C436" s="12" t="n"/>
      <c r="D436" s="12" t="n"/>
      <c r="E436" s="12" t="n"/>
      <c r="F436" s="15">
        <f>IFERROR(MATCH($A436,Accounts!$A$2:$A$11,0),"")</f>
        <v/>
      </c>
      <c r="G436" s="14">
        <f>IFERROR(IF(OR($A436="",$F436=""),"",IF(INDEX(Accounts!$P$2:$P$11,$F436)="static",INDEX(Accounts!$Q$2:$Q$11,$F436),IF(INDEX(Accounts!$P$2:$P$11,$F436)="eod_trailing",MAX(INDEX(Accounts!$Q$2:$Q$11,$F436),_xlfn.MAXIFS($C$2:$C$1001,$A$2:$A$1001,$A436,$B$2:$B$1001,"&lt;"&amp;$B436)),MAX(INDEX(Accounts!$Q$2:$Q$11,$F436),_xlfn.MAXIFS($C$2:$C$1001,$A$2:$A$1001,$A436,$B$2:$B$1001,"&lt;"&amp;$B436),_xlfn.MAXIFS($D$2:$D$1001,$A$2:$A$1001,$A436,$B$2:$B$1001,"&lt;="&amp;$B436),$C436)))),"")</f>
        <v/>
      </c>
      <c r="H436" s="15">
        <f>IFERROR(IF(G436="","",IF(INDEX(Accounts!$P$2:$P$11,$F436)="static",INDEX(Accounts!$Q$2:$Q$11,$F436)-INDEX(Accounts!$R$2:$R$11,$F436),IF(INDEX(Accounts!$S$2:$S$11,$F436)="NONE",G436-INDEX(Accounts!$R$2:$R$11,$F436),MIN(G436-INDEX(Accounts!$R$2:$R$11,$F436),INDEX(Accounts!$Q$2:$Q$11,$F436)+INDEX(Accounts!$S$2:$S$11,$F436))))),"")</f>
        <v/>
      </c>
      <c r="I436" s="16">
        <f>IF(AND($A436="",$B436="",$C436="",$D436="",$E436=""),"",IF(OR($A436="",$F436=""),"UNKNOWN_ACCOUNT",IF(OR($B436="",$C436=""),"INCOMPLETE",IFERROR(IF(OR(NOT(ISNUMBER($B436)),NOT(ISNUMBER($C436)),IF(C436="",FALSE,IF(ISNUMBER(C436),OR(C436&lt;=0,C436&gt;100000000,ROUND(C436*100,6)&lt;&gt;INT(ROUND(C436*100,6))),TRUE)),IF(D436="",FALSE,IF(ISNUMBER(D436),OR(D436&lt;=0,D436&gt;100000000,ROUND(D436*100,6)&lt;&gt;INT(ROUND(D436*100,6))),TRUE)),IF(E436="",FALSE,IF(ISNUMBER(E436),OR(E436&lt;=0,E436&gt;100000000,ROUND(E436*100,6)&lt;&gt;INT(ROUND(E436*100,6))),TRUE)),AND($D436&lt;&gt;"",$D436&lt;MAX($C436,$E436)),AND($E436&lt;&gt;"",$E436&gt;MIN($C436,IF($D436="",$C436,$D436))),COUNTIFS($A$2:$A$1001,$A436,$B$2:$B$1001,$B436)&gt;1),"INVALID",IFERROR(IF(IF(INDEX(Accounts!$T$2:$T$11,$F436),ROUND(IF($E436="",$C436,MIN($C436,$E436))-(H436),6)&lt;=0,ROUND(IF($E436="",$C436,MIN($C436,$E436))-(H436),6)&lt;0),"BREACHED","OK"),"INCOMPLETE")),"INVALID"))))</f>
        <v/>
      </c>
      <c r="J436" s="33">
        <f>IF(OR(I436="OK",I436="BREACHED"),-INT(ROUND(-(H436)*100,6))/100,I436)</f>
        <v/>
      </c>
    </row>
    <row r="437" ht="18" customHeight="1">
      <c r="A437" s="9" t="n"/>
      <c r="B437" s="32" t="n"/>
      <c r="C437" s="12" t="n"/>
      <c r="D437" s="12" t="n"/>
      <c r="E437" s="12" t="n"/>
      <c r="F437" s="15">
        <f>IFERROR(MATCH($A437,Accounts!$A$2:$A$11,0),"")</f>
        <v/>
      </c>
      <c r="G437" s="14">
        <f>IFERROR(IF(OR($A437="",$F437=""),"",IF(INDEX(Accounts!$P$2:$P$11,$F437)="static",INDEX(Accounts!$Q$2:$Q$11,$F437),IF(INDEX(Accounts!$P$2:$P$11,$F437)="eod_trailing",MAX(INDEX(Accounts!$Q$2:$Q$11,$F437),_xlfn.MAXIFS($C$2:$C$1001,$A$2:$A$1001,$A437,$B$2:$B$1001,"&lt;"&amp;$B437)),MAX(INDEX(Accounts!$Q$2:$Q$11,$F437),_xlfn.MAXIFS($C$2:$C$1001,$A$2:$A$1001,$A437,$B$2:$B$1001,"&lt;"&amp;$B437),_xlfn.MAXIFS($D$2:$D$1001,$A$2:$A$1001,$A437,$B$2:$B$1001,"&lt;="&amp;$B437),$C437)))),"")</f>
        <v/>
      </c>
      <c r="H437" s="15">
        <f>IFERROR(IF(G437="","",IF(INDEX(Accounts!$P$2:$P$11,$F437)="static",INDEX(Accounts!$Q$2:$Q$11,$F437)-INDEX(Accounts!$R$2:$R$11,$F437),IF(INDEX(Accounts!$S$2:$S$11,$F437)="NONE",G437-INDEX(Accounts!$R$2:$R$11,$F437),MIN(G437-INDEX(Accounts!$R$2:$R$11,$F437),INDEX(Accounts!$Q$2:$Q$11,$F437)+INDEX(Accounts!$S$2:$S$11,$F437))))),"")</f>
        <v/>
      </c>
      <c r="I437" s="16">
        <f>IF(AND($A437="",$B437="",$C437="",$D437="",$E437=""),"",IF(OR($A437="",$F437=""),"UNKNOWN_ACCOUNT",IF(OR($B437="",$C437=""),"INCOMPLETE",IFERROR(IF(OR(NOT(ISNUMBER($B437)),NOT(ISNUMBER($C437)),IF(C437="",FALSE,IF(ISNUMBER(C437),OR(C437&lt;=0,C437&gt;100000000,ROUND(C437*100,6)&lt;&gt;INT(ROUND(C437*100,6))),TRUE)),IF(D437="",FALSE,IF(ISNUMBER(D437),OR(D437&lt;=0,D437&gt;100000000,ROUND(D437*100,6)&lt;&gt;INT(ROUND(D437*100,6))),TRUE)),IF(E437="",FALSE,IF(ISNUMBER(E437),OR(E437&lt;=0,E437&gt;100000000,ROUND(E437*100,6)&lt;&gt;INT(ROUND(E437*100,6))),TRUE)),AND($D437&lt;&gt;"",$D437&lt;MAX($C437,$E437)),AND($E437&lt;&gt;"",$E437&gt;MIN($C437,IF($D437="",$C437,$D437))),COUNTIFS($A$2:$A$1001,$A437,$B$2:$B$1001,$B437)&gt;1),"INVALID",IFERROR(IF(IF(INDEX(Accounts!$T$2:$T$11,$F437),ROUND(IF($E437="",$C437,MIN($C437,$E437))-(H437),6)&lt;=0,ROUND(IF($E437="",$C437,MIN($C437,$E437))-(H437),6)&lt;0),"BREACHED","OK"),"INCOMPLETE")),"INVALID"))))</f>
        <v/>
      </c>
      <c r="J437" s="33">
        <f>IF(OR(I437="OK",I437="BREACHED"),-INT(ROUND(-(H437)*100,6))/100,I437)</f>
        <v/>
      </c>
    </row>
    <row r="438" ht="18" customHeight="1">
      <c r="A438" s="9" t="n"/>
      <c r="B438" s="32" t="n"/>
      <c r="C438" s="12" t="n"/>
      <c r="D438" s="12" t="n"/>
      <c r="E438" s="12" t="n"/>
      <c r="F438" s="15">
        <f>IFERROR(MATCH($A438,Accounts!$A$2:$A$11,0),"")</f>
        <v/>
      </c>
      <c r="G438" s="14">
        <f>IFERROR(IF(OR($A438="",$F438=""),"",IF(INDEX(Accounts!$P$2:$P$11,$F438)="static",INDEX(Accounts!$Q$2:$Q$11,$F438),IF(INDEX(Accounts!$P$2:$P$11,$F438)="eod_trailing",MAX(INDEX(Accounts!$Q$2:$Q$11,$F438),_xlfn.MAXIFS($C$2:$C$1001,$A$2:$A$1001,$A438,$B$2:$B$1001,"&lt;"&amp;$B438)),MAX(INDEX(Accounts!$Q$2:$Q$11,$F438),_xlfn.MAXIFS($C$2:$C$1001,$A$2:$A$1001,$A438,$B$2:$B$1001,"&lt;"&amp;$B438),_xlfn.MAXIFS($D$2:$D$1001,$A$2:$A$1001,$A438,$B$2:$B$1001,"&lt;="&amp;$B438),$C438)))),"")</f>
        <v/>
      </c>
      <c r="H438" s="15">
        <f>IFERROR(IF(G438="","",IF(INDEX(Accounts!$P$2:$P$11,$F438)="static",INDEX(Accounts!$Q$2:$Q$11,$F438)-INDEX(Accounts!$R$2:$R$11,$F438),IF(INDEX(Accounts!$S$2:$S$11,$F438)="NONE",G438-INDEX(Accounts!$R$2:$R$11,$F438),MIN(G438-INDEX(Accounts!$R$2:$R$11,$F438),INDEX(Accounts!$Q$2:$Q$11,$F438)+INDEX(Accounts!$S$2:$S$11,$F438))))),"")</f>
        <v/>
      </c>
      <c r="I438" s="16">
        <f>IF(AND($A438="",$B438="",$C438="",$D438="",$E438=""),"",IF(OR($A438="",$F438=""),"UNKNOWN_ACCOUNT",IF(OR($B438="",$C438=""),"INCOMPLETE",IFERROR(IF(OR(NOT(ISNUMBER($B438)),NOT(ISNUMBER($C438)),IF(C438="",FALSE,IF(ISNUMBER(C438),OR(C438&lt;=0,C438&gt;100000000,ROUND(C438*100,6)&lt;&gt;INT(ROUND(C438*100,6))),TRUE)),IF(D438="",FALSE,IF(ISNUMBER(D438),OR(D438&lt;=0,D438&gt;100000000,ROUND(D438*100,6)&lt;&gt;INT(ROUND(D438*100,6))),TRUE)),IF(E438="",FALSE,IF(ISNUMBER(E438),OR(E438&lt;=0,E438&gt;100000000,ROUND(E438*100,6)&lt;&gt;INT(ROUND(E438*100,6))),TRUE)),AND($D438&lt;&gt;"",$D438&lt;MAX($C438,$E438)),AND($E438&lt;&gt;"",$E438&gt;MIN($C438,IF($D438="",$C438,$D438))),COUNTIFS($A$2:$A$1001,$A438,$B$2:$B$1001,$B438)&gt;1),"INVALID",IFERROR(IF(IF(INDEX(Accounts!$T$2:$T$11,$F438),ROUND(IF($E438="",$C438,MIN($C438,$E438))-(H438),6)&lt;=0,ROUND(IF($E438="",$C438,MIN($C438,$E438))-(H438),6)&lt;0),"BREACHED","OK"),"INCOMPLETE")),"INVALID"))))</f>
        <v/>
      </c>
      <c r="J438" s="33">
        <f>IF(OR(I438="OK",I438="BREACHED"),-INT(ROUND(-(H438)*100,6))/100,I438)</f>
        <v/>
      </c>
    </row>
    <row r="439" ht="18" customHeight="1">
      <c r="A439" s="9" t="n"/>
      <c r="B439" s="32" t="n"/>
      <c r="C439" s="12" t="n"/>
      <c r="D439" s="12" t="n"/>
      <c r="E439" s="12" t="n"/>
      <c r="F439" s="15">
        <f>IFERROR(MATCH($A439,Accounts!$A$2:$A$11,0),"")</f>
        <v/>
      </c>
      <c r="G439" s="14">
        <f>IFERROR(IF(OR($A439="",$F439=""),"",IF(INDEX(Accounts!$P$2:$P$11,$F439)="static",INDEX(Accounts!$Q$2:$Q$11,$F439),IF(INDEX(Accounts!$P$2:$P$11,$F439)="eod_trailing",MAX(INDEX(Accounts!$Q$2:$Q$11,$F439),_xlfn.MAXIFS($C$2:$C$1001,$A$2:$A$1001,$A439,$B$2:$B$1001,"&lt;"&amp;$B439)),MAX(INDEX(Accounts!$Q$2:$Q$11,$F439),_xlfn.MAXIFS($C$2:$C$1001,$A$2:$A$1001,$A439,$B$2:$B$1001,"&lt;"&amp;$B439),_xlfn.MAXIFS($D$2:$D$1001,$A$2:$A$1001,$A439,$B$2:$B$1001,"&lt;="&amp;$B439),$C439)))),"")</f>
        <v/>
      </c>
      <c r="H439" s="15">
        <f>IFERROR(IF(G439="","",IF(INDEX(Accounts!$P$2:$P$11,$F439)="static",INDEX(Accounts!$Q$2:$Q$11,$F439)-INDEX(Accounts!$R$2:$R$11,$F439),IF(INDEX(Accounts!$S$2:$S$11,$F439)="NONE",G439-INDEX(Accounts!$R$2:$R$11,$F439),MIN(G439-INDEX(Accounts!$R$2:$R$11,$F439),INDEX(Accounts!$Q$2:$Q$11,$F439)+INDEX(Accounts!$S$2:$S$11,$F439))))),"")</f>
        <v/>
      </c>
      <c r="I439" s="16">
        <f>IF(AND($A439="",$B439="",$C439="",$D439="",$E439=""),"",IF(OR($A439="",$F439=""),"UNKNOWN_ACCOUNT",IF(OR($B439="",$C439=""),"INCOMPLETE",IFERROR(IF(OR(NOT(ISNUMBER($B439)),NOT(ISNUMBER($C439)),IF(C439="",FALSE,IF(ISNUMBER(C439),OR(C439&lt;=0,C439&gt;100000000,ROUND(C439*100,6)&lt;&gt;INT(ROUND(C439*100,6))),TRUE)),IF(D439="",FALSE,IF(ISNUMBER(D439),OR(D439&lt;=0,D439&gt;100000000,ROUND(D439*100,6)&lt;&gt;INT(ROUND(D439*100,6))),TRUE)),IF(E439="",FALSE,IF(ISNUMBER(E439),OR(E439&lt;=0,E439&gt;100000000,ROUND(E439*100,6)&lt;&gt;INT(ROUND(E439*100,6))),TRUE)),AND($D439&lt;&gt;"",$D439&lt;MAX($C439,$E439)),AND($E439&lt;&gt;"",$E439&gt;MIN($C439,IF($D439="",$C439,$D439))),COUNTIFS($A$2:$A$1001,$A439,$B$2:$B$1001,$B439)&gt;1),"INVALID",IFERROR(IF(IF(INDEX(Accounts!$T$2:$T$11,$F439),ROUND(IF($E439="",$C439,MIN($C439,$E439))-(H439),6)&lt;=0,ROUND(IF($E439="",$C439,MIN($C439,$E439))-(H439),6)&lt;0),"BREACHED","OK"),"INCOMPLETE")),"INVALID"))))</f>
        <v/>
      </c>
      <c r="J439" s="33">
        <f>IF(OR(I439="OK",I439="BREACHED"),-INT(ROUND(-(H439)*100,6))/100,I439)</f>
        <v/>
      </c>
    </row>
    <row r="440" ht="18" customHeight="1">
      <c r="A440" s="9" t="n"/>
      <c r="B440" s="32" t="n"/>
      <c r="C440" s="12" t="n"/>
      <c r="D440" s="12" t="n"/>
      <c r="E440" s="12" t="n"/>
      <c r="F440" s="15">
        <f>IFERROR(MATCH($A440,Accounts!$A$2:$A$11,0),"")</f>
        <v/>
      </c>
      <c r="G440" s="14">
        <f>IFERROR(IF(OR($A440="",$F440=""),"",IF(INDEX(Accounts!$P$2:$P$11,$F440)="static",INDEX(Accounts!$Q$2:$Q$11,$F440),IF(INDEX(Accounts!$P$2:$P$11,$F440)="eod_trailing",MAX(INDEX(Accounts!$Q$2:$Q$11,$F440),_xlfn.MAXIFS($C$2:$C$1001,$A$2:$A$1001,$A440,$B$2:$B$1001,"&lt;"&amp;$B440)),MAX(INDEX(Accounts!$Q$2:$Q$11,$F440),_xlfn.MAXIFS($C$2:$C$1001,$A$2:$A$1001,$A440,$B$2:$B$1001,"&lt;"&amp;$B440),_xlfn.MAXIFS($D$2:$D$1001,$A$2:$A$1001,$A440,$B$2:$B$1001,"&lt;="&amp;$B440),$C440)))),"")</f>
        <v/>
      </c>
      <c r="H440" s="15">
        <f>IFERROR(IF(G440="","",IF(INDEX(Accounts!$P$2:$P$11,$F440)="static",INDEX(Accounts!$Q$2:$Q$11,$F440)-INDEX(Accounts!$R$2:$R$11,$F440),IF(INDEX(Accounts!$S$2:$S$11,$F440)="NONE",G440-INDEX(Accounts!$R$2:$R$11,$F440),MIN(G440-INDEX(Accounts!$R$2:$R$11,$F440),INDEX(Accounts!$Q$2:$Q$11,$F440)+INDEX(Accounts!$S$2:$S$11,$F440))))),"")</f>
        <v/>
      </c>
      <c r="I440" s="16">
        <f>IF(AND($A440="",$B440="",$C440="",$D440="",$E440=""),"",IF(OR($A440="",$F440=""),"UNKNOWN_ACCOUNT",IF(OR($B440="",$C440=""),"INCOMPLETE",IFERROR(IF(OR(NOT(ISNUMBER($B440)),NOT(ISNUMBER($C440)),IF(C440="",FALSE,IF(ISNUMBER(C440),OR(C440&lt;=0,C440&gt;100000000,ROUND(C440*100,6)&lt;&gt;INT(ROUND(C440*100,6))),TRUE)),IF(D440="",FALSE,IF(ISNUMBER(D440),OR(D440&lt;=0,D440&gt;100000000,ROUND(D440*100,6)&lt;&gt;INT(ROUND(D440*100,6))),TRUE)),IF(E440="",FALSE,IF(ISNUMBER(E440),OR(E440&lt;=0,E440&gt;100000000,ROUND(E440*100,6)&lt;&gt;INT(ROUND(E440*100,6))),TRUE)),AND($D440&lt;&gt;"",$D440&lt;MAX($C440,$E440)),AND($E440&lt;&gt;"",$E440&gt;MIN($C440,IF($D440="",$C440,$D440))),COUNTIFS($A$2:$A$1001,$A440,$B$2:$B$1001,$B440)&gt;1),"INVALID",IFERROR(IF(IF(INDEX(Accounts!$T$2:$T$11,$F440),ROUND(IF($E440="",$C440,MIN($C440,$E440))-(H440),6)&lt;=0,ROUND(IF($E440="",$C440,MIN($C440,$E440))-(H440),6)&lt;0),"BREACHED","OK"),"INCOMPLETE")),"INVALID"))))</f>
        <v/>
      </c>
      <c r="J440" s="33">
        <f>IF(OR(I440="OK",I440="BREACHED"),-INT(ROUND(-(H440)*100,6))/100,I440)</f>
        <v/>
      </c>
    </row>
    <row r="441" ht="18" customHeight="1">
      <c r="A441" s="9" t="n"/>
      <c r="B441" s="32" t="n"/>
      <c r="C441" s="12" t="n"/>
      <c r="D441" s="12" t="n"/>
      <c r="E441" s="12" t="n"/>
      <c r="F441" s="15">
        <f>IFERROR(MATCH($A441,Accounts!$A$2:$A$11,0),"")</f>
        <v/>
      </c>
      <c r="G441" s="14">
        <f>IFERROR(IF(OR($A441="",$F441=""),"",IF(INDEX(Accounts!$P$2:$P$11,$F441)="static",INDEX(Accounts!$Q$2:$Q$11,$F441),IF(INDEX(Accounts!$P$2:$P$11,$F441)="eod_trailing",MAX(INDEX(Accounts!$Q$2:$Q$11,$F441),_xlfn.MAXIFS($C$2:$C$1001,$A$2:$A$1001,$A441,$B$2:$B$1001,"&lt;"&amp;$B441)),MAX(INDEX(Accounts!$Q$2:$Q$11,$F441),_xlfn.MAXIFS($C$2:$C$1001,$A$2:$A$1001,$A441,$B$2:$B$1001,"&lt;"&amp;$B441),_xlfn.MAXIFS($D$2:$D$1001,$A$2:$A$1001,$A441,$B$2:$B$1001,"&lt;="&amp;$B441),$C441)))),"")</f>
        <v/>
      </c>
      <c r="H441" s="15">
        <f>IFERROR(IF(G441="","",IF(INDEX(Accounts!$P$2:$P$11,$F441)="static",INDEX(Accounts!$Q$2:$Q$11,$F441)-INDEX(Accounts!$R$2:$R$11,$F441),IF(INDEX(Accounts!$S$2:$S$11,$F441)="NONE",G441-INDEX(Accounts!$R$2:$R$11,$F441),MIN(G441-INDEX(Accounts!$R$2:$R$11,$F441),INDEX(Accounts!$Q$2:$Q$11,$F441)+INDEX(Accounts!$S$2:$S$11,$F441))))),"")</f>
        <v/>
      </c>
      <c r="I441" s="16">
        <f>IF(AND($A441="",$B441="",$C441="",$D441="",$E441=""),"",IF(OR($A441="",$F441=""),"UNKNOWN_ACCOUNT",IF(OR($B441="",$C441=""),"INCOMPLETE",IFERROR(IF(OR(NOT(ISNUMBER($B441)),NOT(ISNUMBER($C441)),IF(C441="",FALSE,IF(ISNUMBER(C441),OR(C441&lt;=0,C441&gt;100000000,ROUND(C441*100,6)&lt;&gt;INT(ROUND(C441*100,6))),TRUE)),IF(D441="",FALSE,IF(ISNUMBER(D441),OR(D441&lt;=0,D441&gt;100000000,ROUND(D441*100,6)&lt;&gt;INT(ROUND(D441*100,6))),TRUE)),IF(E441="",FALSE,IF(ISNUMBER(E441),OR(E441&lt;=0,E441&gt;100000000,ROUND(E441*100,6)&lt;&gt;INT(ROUND(E441*100,6))),TRUE)),AND($D441&lt;&gt;"",$D441&lt;MAX($C441,$E441)),AND($E441&lt;&gt;"",$E441&gt;MIN($C441,IF($D441="",$C441,$D441))),COUNTIFS($A$2:$A$1001,$A441,$B$2:$B$1001,$B441)&gt;1),"INVALID",IFERROR(IF(IF(INDEX(Accounts!$T$2:$T$11,$F441),ROUND(IF($E441="",$C441,MIN($C441,$E441))-(H441),6)&lt;=0,ROUND(IF($E441="",$C441,MIN($C441,$E441))-(H441),6)&lt;0),"BREACHED","OK"),"INCOMPLETE")),"INVALID"))))</f>
        <v/>
      </c>
      <c r="J441" s="33">
        <f>IF(OR(I441="OK",I441="BREACHED"),-INT(ROUND(-(H441)*100,6))/100,I441)</f>
        <v/>
      </c>
    </row>
    <row r="442" ht="18" customHeight="1">
      <c r="A442" s="9" t="n"/>
      <c r="B442" s="32" t="n"/>
      <c r="C442" s="12" t="n"/>
      <c r="D442" s="12" t="n"/>
      <c r="E442" s="12" t="n"/>
      <c r="F442" s="15">
        <f>IFERROR(MATCH($A442,Accounts!$A$2:$A$11,0),"")</f>
        <v/>
      </c>
      <c r="G442" s="14">
        <f>IFERROR(IF(OR($A442="",$F442=""),"",IF(INDEX(Accounts!$P$2:$P$11,$F442)="static",INDEX(Accounts!$Q$2:$Q$11,$F442),IF(INDEX(Accounts!$P$2:$P$11,$F442)="eod_trailing",MAX(INDEX(Accounts!$Q$2:$Q$11,$F442),_xlfn.MAXIFS($C$2:$C$1001,$A$2:$A$1001,$A442,$B$2:$B$1001,"&lt;"&amp;$B442)),MAX(INDEX(Accounts!$Q$2:$Q$11,$F442),_xlfn.MAXIFS($C$2:$C$1001,$A$2:$A$1001,$A442,$B$2:$B$1001,"&lt;"&amp;$B442),_xlfn.MAXIFS($D$2:$D$1001,$A$2:$A$1001,$A442,$B$2:$B$1001,"&lt;="&amp;$B442),$C442)))),"")</f>
        <v/>
      </c>
      <c r="H442" s="15">
        <f>IFERROR(IF(G442="","",IF(INDEX(Accounts!$P$2:$P$11,$F442)="static",INDEX(Accounts!$Q$2:$Q$11,$F442)-INDEX(Accounts!$R$2:$R$11,$F442),IF(INDEX(Accounts!$S$2:$S$11,$F442)="NONE",G442-INDEX(Accounts!$R$2:$R$11,$F442),MIN(G442-INDEX(Accounts!$R$2:$R$11,$F442),INDEX(Accounts!$Q$2:$Q$11,$F442)+INDEX(Accounts!$S$2:$S$11,$F442))))),"")</f>
        <v/>
      </c>
      <c r="I442" s="16">
        <f>IF(AND($A442="",$B442="",$C442="",$D442="",$E442=""),"",IF(OR($A442="",$F442=""),"UNKNOWN_ACCOUNT",IF(OR($B442="",$C442=""),"INCOMPLETE",IFERROR(IF(OR(NOT(ISNUMBER($B442)),NOT(ISNUMBER($C442)),IF(C442="",FALSE,IF(ISNUMBER(C442),OR(C442&lt;=0,C442&gt;100000000,ROUND(C442*100,6)&lt;&gt;INT(ROUND(C442*100,6))),TRUE)),IF(D442="",FALSE,IF(ISNUMBER(D442),OR(D442&lt;=0,D442&gt;100000000,ROUND(D442*100,6)&lt;&gt;INT(ROUND(D442*100,6))),TRUE)),IF(E442="",FALSE,IF(ISNUMBER(E442),OR(E442&lt;=0,E442&gt;100000000,ROUND(E442*100,6)&lt;&gt;INT(ROUND(E442*100,6))),TRUE)),AND($D442&lt;&gt;"",$D442&lt;MAX($C442,$E442)),AND($E442&lt;&gt;"",$E442&gt;MIN($C442,IF($D442="",$C442,$D442))),COUNTIFS($A$2:$A$1001,$A442,$B$2:$B$1001,$B442)&gt;1),"INVALID",IFERROR(IF(IF(INDEX(Accounts!$T$2:$T$11,$F442),ROUND(IF($E442="",$C442,MIN($C442,$E442))-(H442),6)&lt;=0,ROUND(IF($E442="",$C442,MIN($C442,$E442))-(H442),6)&lt;0),"BREACHED","OK"),"INCOMPLETE")),"INVALID"))))</f>
        <v/>
      </c>
      <c r="J442" s="33">
        <f>IF(OR(I442="OK",I442="BREACHED"),-INT(ROUND(-(H442)*100,6))/100,I442)</f>
        <v/>
      </c>
    </row>
    <row r="443" ht="18" customHeight="1">
      <c r="A443" s="9" t="n"/>
      <c r="B443" s="32" t="n"/>
      <c r="C443" s="12" t="n"/>
      <c r="D443" s="12" t="n"/>
      <c r="E443" s="12" t="n"/>
      <c r="F443" s="15">
        <f>IFERROR(MATCH($A443,Accounts!$A$2:$A$11,0),"")</f>
        <v/>
      </c>
      <c r="G443" s="14">
        <f>IFERROR(IF(OR($A443="",$F443=""),"",IF(INDEX(Accounts!$P$2:$P$11,$F443)="static",INDEX(Accounts!$Q$2:$Q$11,$F443),IF(INDEX(Accounts!$P$2:$P$11,$F443)="eod_trailing",MAX(INDEX(Accounts!$Q$2:$Q$11,$F443),_xlfn.MAXIFS($C$2:$C$1001,$A$2:$A$1001,$A443,$B$2:$B$1001,"&lt;"&amp;$B443)),MAX(INDEX(Accounts!$Q$2:$Q$11,$F443),_xlfn.MAXIFS($C$2:$C$1001,$A$2:$A$1001,$A443,$B$2:$B$1001,"&lt;"&amp;$B443),_xlfn.MAXIFS($D$2:$D$1001,$A$2:$A$1001,$A443,$B$2:$B$1001,"&lt;="&amp;$B443),$C443)))),"")</f>
        <v/>
      </c>
      <c r="H443" s="15">
        <f>IFERROR(IF(G443="","",IF(INDEX(Accounts!$P$2:$P$11,$F443)="static",INDEX(Accounts!$Q$2:$Q$11,$F443)-INDEX(Accounts!$R$2:$R$11,$F443),IF(INDEX(Accounts!$S$2:$S$11,$F443)="NONE",G443-INDEX(Accounts!$R$2:$R$11,$F443),MIN(G443-INDEX(Accounts!$R$2:$R$11,$F443),INDEX(Accounts!$Q$2:$Q$11,$F443)+INDEX(Accounts!$S$2:$S$11,$F443))))),"")</f>
        <v/>
      </c>
      <c r="I443" s="16">
        <f>IF(AND($A443="",$B443="",$C443="",$D443="",$E443=""),"",IF(OR($A443="",$F443=""),"UNKNOWN_ACCOUNT",IF(OR($B443="",$C443=""),"INCOMPLETE",IFERROR(IF(OR(NOT(ISNUMBER($B443)),NOT(ISNUMBER($C443)),IF(C443="",FALSE,IF(ISNUMBER(C443),OR(C443&lt;=0,C443&gt;100000000,ROUND(C443*100,6)&lt;&gt;INT(ROUND(C443*100,6))),TRUE)),IF(D443="",FALSE,IF(ISNUMBER(D443),OR(D443&lt;=0,D443&gt;100000000,ROUND(D443*100,6)&lt;&gt;INT(ROUND(D443*100,6))),TRUE)),IF(E443="",FALSE,IF(ISNUMBER(E443),OR(E443&lt;=0,E443&gt;100000000,ROUND(E443*100,6)&lt;&gt;INT(ROUND(E443*100,6))),TRUE)),AND($D443&lt;&gt;"",$D443&lt;MAX($C443,$E443)),AND($E443&lt;&gt;"",$E443&gt;MIN($C443,IF($D443="",$C443,$D443))),COUNTIFS($A$2:$A$1001,$A443,$B$2:$B$1001,$B443)&gt;1),"INVALID",IFERROR(IF(IF(INDEX(Accounts!$T$2:$T$11,$F443),ROUND(IF($E443="",$C443,MIN($C443,$E443))-(H443),6)&lt;=0,ROUND(IF($E443="",$C443,MIN($C443,$E443))-(H443),6)&lt;0),"BREACHED","OK"),"INCOMPLETE")),"INVALID"))))</f>
        <v/>
      </c>
      <c r="J443" s="33">
        <f>IF(OR(I443="OK",I443="BREACHED"),-INT(ROUND(-(H443)*100,6))/100,I443)</f>
        <v/>
      </c>
    </row>
    <row r="444" ht="18" customHeight="1">
      <c r="A444" s="9" t="n"/>
      <c r="B444" s="32" t="n"/>
      <c r="C444" s="12" t="n"/>
      <c r="D444" s="12" t="n"/>
      <c r="E444" s="12" t="n"/>
      <c r="F444" s="15">
        <f>IFERROR(MATCH($A444,Accounts!$A$2:$A$11,0),"")</f>
        <v/>
      </c>
      <c r="G444" s="14">
        <f>IFERROR(IF(OR($A444="",$F444=""),"",IF(INDEX(Accounts!$P$2:$P$11,$F444)="static",INDEX(Accounts!$Q$2:$Q$11,$F444),IF(INDEX(Accounts!$P$2:$P$11,$F444)="eod_trailing",MAX(INDEX(Accounts!$Q$2:$Q$11,$F444),_xlfn.MAXIFS($C$2:$C$1001,$A$2:$A$1001,$A444,$B$2:$B$1001,"&lt;"&amp;$B444)),MAX(INDEX(Accounts!$Q$2:$Q$11,$F444),_xlfn.MAXIFS($C$2:$C$1001,$A$2:$A$1001,$A444,$B$2:$B$1001,"&lt;"&amp;$B444),_xlfn.MAXIFS($D$2:$D$1001,$A$2:$A$1001,$A444,$B$2:$B$1001,"&lt;="&amp;$B444),$C444)))),"")</f>
        <v/>
      </c>
      <c r="H444" s="15">
        <f>IFERROR(IF(G444="","",IF(INDEX(Accounts!$P$2:$P$11,$F444)="static",INDEX(Accounts!$Q$2:$Q$11,$F444)-INDEX(Accounts!$R$2:$R$11,$F444),IF(INDEX(Accounts!$S$2:$S$11,$F444)="NONE",G444-INDEX(Accounts!$R$2:$R$11,$F444),MIN(G444-INDEX(Accounts!$R$2:$R$11,$F444),INDEX(Accounts!$Q$2:$Q$11,$F444)+INDEX(Accounts!$S$2:$S$11,$F444))))),"")</f>
        <v/>
      </c>
      <c r="I444" s="16">
        <f>IF(AND($A444="",$B444="",$C444="",$D444="",$E444=""),"",IF(OR($A444="",$F444=""),"UNKNOWN_ACCOUNT",IF(OR($B444="",$C444=""),"INCOMPLETE",IFERROR(IF(OR(NOT(ISNUMBER($B444)),NOT(ISNUMBER($C444)),IF(C444="",FALSE,IF(ISNUMBER(C444),OR(C444&lt;=0,C444&gt;100000000,ROUND(C444*100,6)&lt;&gt;INT(ROUND(C444*100,6))),TRUE)),IF(D444="",FALSE,IF(ISNUMBER(D444),OR(D444&lt;=0,D444&gt;100000000,ROUND(D444*100,6)&lt;&gt;INT(ROUND(D444*100,6))),TRUE)),IF(E444="",FALSE,IF(ISNUMBER(E444),OR(E444&lt;=0,E444&gt;100000000,ROUND(E444*100,6)&lt;&gt;INT(ROUND(E444*100,6))),TRUE)),AND($D444&lt;&gt;"",$D444&lt;MAX($C444,$E444)),AND($E444&lt;&gt;"",$E444&gt;MIN($C444,IF($D444="",$C444,$D444))),COUNTIFS($A$2:$A$1001,$A444,$B$2:$B$1001,$B444)&gt;1),"INVALID",IFERROR(IF(IF(INDEX(Accounts!$T$2:$T$11,$F444),ROUND(IF($E444="",$C444,MIN($C444,$E444))-(H444),6)&lt;=0,ROUND(IF($E444="",$C444,MIN($C444,$E444))-(H444),6)&lt;0),"BREACHED","OK"),"INCOMPLETE")),"INVALID"))))</f>
        <v/>
      </c>
      <c r="J444" s="33">
        <f>IF(OR(I444="OK",I444="BREACHED"),-INT(ROUND(-(H444)*100,6))/100,I444)</f>
        <v/>
      </c>
    </row>
    <row r="445" ht="18" customHeight="1">
      <c r="A445" s="9" t="n"/>
      <c r="B445" s="32" t="n"/>
      <c r="C445" s="12" t="n"/>
      <c r="D445" s="12" t="n"/>
      <c r="E445" s="12" t="n"/>
      <c r="F445" s="15">
        <f>IFERROR(MATCH($A445,Accounts!$A$2:$A$11,0),"")</f>
        <v/>
      </c>
      <c r="G445" s="14">
        <f>IFERROR(IF(OR($A445="",$F445=""),"",IF(INDEX(Accounts!$P$2:$P$11,$F445)="static",INDEX(Accounts!$Q$2:$Q$11,$F445),IF(INDEX(Accounts!$P$2:$P$11,$F445)="eod_trailing",MAX(INDEX(Accounts!$Q$2:$Q$11,$F445),_xlfn.MAXIFS($C$2:$C$1001,$A$2:$A$1001,$A445,$B$2:$B$1001,"&lt;"&amp;$B445)),MAX(INDEX(Accounts!$Q$2:$Q$11,$F445),_xlfn.MAXIFS($C$2:$C$1001,$A$2:$A$1001,$A445,$B$2:$B$1001,"&lt;"&amp;$B445),_xlfn.MAXIFS($D$2:$D$1001,$A$2:$A$1001,$A445,$B$2:$B$1001,"&lt;="&amp;$B445),$C445)))),"")</f>
        <v/>
      </c>
      <c r="H445" s="15">
        <f>IFERROR(IF(G445="","",IF(INDEX(Accounts!$P$2:$P$11,$F445)="static",INDEX(Accounts!$Q$2:$Q$11,$F445)-INDEX(Accounts!$R$2:$R$11,$F445),IF(INDEX(Accounts!$S$2:$S$11,$F445)="NONE",G445-INDEX(Accounts!$R$2:$R$11,$F445),MIN(G445-INDEX(Accounts!$R$2:$R$11,$F445),INDEX(Accounts!$Q$2:$Q$11,$F445)+INDEX(Accounts!$S$2:$S$11,$F445))))),"")</f>
        <v/>
      </c>
      <c r="I445" s="16">
        <f>IF(AND($A445="",$B445="",$C445="",$D445="",$E445=""),"",IF(OR($A445="",$F445=""),"UNKNOWN_ACCOUNT",IF(OR($B445="",$C445=""),"INCOMPLETE",IFERROR(IF(OR(NOT(ISNUMBER($B445)),NOT(ISNUMBER($C445)),IF(C445="",FALSE,IF(ISNUMBER(C445),OR(C445&lt;=0,C445&gt;100000000,ROUND(C445*100,6)&lt;&gt;INT(ROUND(C445*100,6))),TRUE)),IF(D445="",FALSE,IF(ISNUMBER(D445),OR(D445&lt;=0,D445&gt;100000000,ROUND(D445*100,6)&lt;&gt;INT(ROUND(D445*100,6))),TRUE)),IF(E445="",FALSE,IF(ISNUMBER(E445),OR(E445&lt;=0,E445&gt;100000000,ROUND(E445*100,6)&lt;&gt;INT(ROUND(E445*100,6))),TRUE)),AND($D445&lt;&gt;"",$D445&lt;MAX($C445,$E445)),AND($E445&lt;&gt;"",$E445&gt;MIN($C445,IF($D445="",$C445,$D445))),COUNTIFS($A$2:$A$1001,$A445,$B$2:$B$1001,$B445)&gt;1),"INVALID",IFERROR(IF(IF(INDEX(Accounts!$T$2:$T$11,$F445),ROUND(IF($E445="",$C445,MIN($C445,$E445))-(H445),6)&lt;=0,ROUND(IF($E445="",$C445,MIN($C445,$E445))-(H445),6)&lt;0),"BREACHED","OK"),"INCOMPLETE")),"INVALID"))))</f>
        <v/>
      </c>
      <c r="J445" s="33">
        <f>IF(OR(I445="OK",I445="BREACHED"),-INT(ROUND(-(H445)*100,6))/100,I445)</f>
        <v/>
      </c>
    </row>
    <row r="446" ht="18" customHeight="1">
      <c r="A446" s="9" t="n"/>
      <c r="B446" s="32" t="n"/>
      <c r="C446" s="12" t="n"/>
      <c r="D446" s="12" t="n"/>
      <c r="E446" s="12" t="n"/>
      <c r="F446" s="15">
        <f>IFERROR(MATCH($A446,Accounts!$A$2:$A$11,0),"")</f>
        <v/>
      </c>
      <c r="G446" s="14">
        <f>IFERROR(IF(OR($A446="",$F446=""),"",IF(INDEX(Accounts!$P$2:$P$11,$F446)="static",INDEX(Accounts!$Q$2:$Q$11,$F446),IF(INDEX(Accounts!$P$2:$P$11,$F446)="eod_trailing",MAX(INDEX(Accounts!$Q$2:$Q$11,$F446),_xlfn.MAXIFS($C$2:$C$1001,$A$2:$A$1001,$A446,$B$2:$B$1001,"&lt;"&amp;$B446)),MAX(INDEX(Accounts!$Q$2:$Q$11,$F446),_xlfn.MAXIFS($C$2:$C$1001,$A$2:$A$1001,$A446,$B$2:$B$1001,"&lt;"&amp;$B446),_xlfn.MAXIFS($D$2:$D$1001,$A$2:$A$1001,$A446,$B$2:$B$1001,"&lt;="&amp;$B446),$C446)))),"")</f>
        <v/>
      </c>
      <c r="H446" s="15">
        <f>IFERROR(IF(G446="","",IF(INDEX(Accounts!$P$2:$P$11,$F446)="static",INDEX(Accounts!$Q$2:$Q$11,$F446)-INDEX(Accounts!$R$2:$R$11,$F446),IF(INDEX(Accounts!$S$2:$S$11,$F446)="NONE",G446-INDEX(Accounts!$R$2:$R$11,$F446),MIN(G446-INDEX(Accounts!$R$2:$R$11,$F446),INDEX(Accounts!$Q$2:$Q$11,$F446)+INDEX(Accounts!$S$2:$S$11,$F446))))),"")</f>
        <v/>
      </c>
      <c r="I446" s="16">
        <f>IF(AND($A446="",$B446="",$C446="",$D446="",$E446=""),"",IF(OR($A446="",$F446=""),"UNKNOWN_ACCOUNT",IF(OR($B446="",$C446=""),"INCOMPLETE",IFERROR(IF(OR(NOT(ISNUMBER($B446)),NOT(ISNUMBER($C446)),IF(C446="",FALSE,IF(ISNUMBER(C446),OR(C446&lt;=0,C446&gt;100000000,ROUND(C446*100,6)&lt;&gt;INT(ROUND(C446*100,6))),TRUE)),IF(D446="",FALSE,IF(ISNUMBER(D446),OR(D446&lt;=0,D446&gt;100000000,ROUND(D446*100,6)&lt;&gt;INT(ROUND(D446*100,6))),TRUE)),IF(E446="",FALSE,IF(ISNUMBER(E446),OR(E446&lt;=0,E446&gt;100000000,ROUND(E446*100,6)&lt;&gt;INT(ROUND(E446*100,6))),TRUE)),AND($D446&lt;&gt;"",$D446&lt;MAX($C446,$E446)),AND($E446&lt;&gt;"",$E446&gt;MIN($C446,IF($D446="",$C446,$D446))),COUNTIFS($A$2:$A$1001,$A446,$B$2:$B$1001,$B446)&gt;1),"INVALID",IFERROR(IF(IF(INDEX(Accounts!$T$2:$T$11,$F446),ROUND(IF($E446="",$C446,MIN($C446,$E446))-(H446),6)&lt;=0,ROUND(IF($E446="",$C446,MIN($C446,$E446))-(H446),6)&lt;0),"BREACHED","OK"),"INCOMPLETE")),"INVALID"))))</f>
        <v/>
      </c>
      <c r="J446" s="33">
        <f>IF(OR(I446="OK",I446="BREACHED"),-INT(ROUND(-(H446)*100,6))/100,I446)</f>
        <v/>
      </c>
    </row>
    <row r="447" ht="18" customHeight="1">
      <c r="A447" s="9" t="n"/>
      <c r="B447" s="32" t="n"/>
      <c r="C447" s="12" t="n"/>
      <c r="D447" s="12" t="n"/>
      <c r="E447" s="12" t="n"/>
      <c r="F447" s="15">
        <f>IFERROR(MATCH($A447,Accounts!$A$2:$A$11,0),"")</f>
        <v/>
      </c>
      <c r="G447" s="14">
        <f>IFERROR(IF(OR($A447="",$F447=""),"",IF(INDEX(Accounts!$P$2:$P$11,$F447)="static",INDEX(Accounts!$Q$2:$Q$11,$F447),IF(INDEX(Accounts!$P$2:$P$11,$F447)="eod_trailing",MAX(INDEX(Accounts!$Q$2:$Q$11,$F447),_xlfn.MAXIFS($C$2:$C$1001,$A$2:$A$1001,$A447,$B$2:$B$1001,"&lt;"&amp;$B447)),MAX(INDEX(Accounts!$Q$2:$Q$11,$F447),_xlfn.MAXIFS($C$2:$C$1001,$A$2:$A$1001,$A447,$B$2:$B$1001,"&lt;"&amp;$B447),_xlfn.MAXIFS($D$2:$D$1001,$A$2:$A$1001,$A447,$B$2:$B$1001,"&lt;="&amp;$B447),$C447)))),"")</f>
        <v/>
      </c>
      <c r="H447" s="15">
        <f>IFERROR(IF(G447="","",IF(INDEX(Accounts!$P$2:$P$11,$F447)="static",INDEX(Accounts!$Q$2:$Q$11,$F447)-INDEX(Accounts!$R$2:$R$11,$F447),IF(INDEX(Accounts!$S$2:$S$11,$F447)="NONE",G447-INDEX(Accounts!$R$2:$R$11,$F447),MIN(G447-INDEX(Accounts!$R$2:$R$11,$F447),INDEX(Accounts!$Q$2:$Q$11,$F447)+INDEX(Accounts!$S$2:$S$11,$F447))))),"")</f>
        <v/>
      </c>
      <c r="I447" s="16">
        <f>IF(AND($A447="",$B447="",$C447="",$D447="",$E447=""),"",IF(OR($A447="",$F447=""),"UNKNOWN_ACCOUNT",IF(OR($B447="",$C447=""),"INCOMPLETE",IFERROR(IF(OR(NOT(ISNUMBER($B447)),NOT(ISNUMBER($C447)),IF(C447="",FALSE,IF(ISNUMBER(C447),OR(C447&lt;=0,C447&gt;100000000,ROUND(C447*100,6)&lt;&gt;INT(ROUND(C447*100,6))),TRUE)),IF(D447="",FALSE,IF(ISNUMBER(D447),OR(D447&lt;=0,D447&gt;100000000,ROUND(D447*100,6)&lt;&gt;INT(ROUND(D447*100,6))),TRUE)),IF(E447="",FALSE,IF(ISNUMBER(E447),OR(E447&lt;=0,E447&gt;100000000,ROUND(E447*100,6)&lt;&gt;INT(ROUND(E447*100,6))),TRUE)),AND($D447&lt;&gt;"",$D447&lt;MAX($C447,$E447)),AND($E447&lt;&gt;"",$E447&gt;MIN($C447,IF($D447="",$C447,$D447))),COUNTIFS($A$2:$A$1001,$A447,$B$2:$B$1001,$B447)&gt;1),"INVALID",IFERROR(IF(IF(INDEX(Accounts!$T$2:$T$11,$F447),ROUND(IF($E447="",$C447,MIN($C447,$E447))-(H447),6)&lt;=0,ROUND(IF($E447="",$C447,MIN($C447,$E447))-(H447),6)&lt;0),"BREACHED","OK"),"INCOMPLETE")),"INVALID"))))</f>
        <v/>
      </c>
      <c r="J447" s="33">
        <f>IF(OR(I447="OK",I447="BREACHED"),-INT(ROUND(-(H447)*100,6))/100,I447)</f>
        <v/>
      </c>
    </row>
    <row r="448" ht="18" customHeight="1">
      <c r="A448" s="9" t="n"/>
      <c r="B448" s="32" t="n"/>
      <c r="C448" s="12" t="n"/>
      <c r="D448" s="12" t="n"/>
      <c r="E448" s="12" t="n"/>
      <c r="F448" s="15">
        <f>IFERROR(MATCH($A448,Accounts!$A$2:$A$11,0),"")</f>
        <v/>
      </c>
      <c r="G448" s="14">
        <f>IFERROR(IF(OR($A448="",$F448=""),"",IF(INDEX(Accounts!$P$2:$P$11,$F448)="static",INDEX(Accounts!$Q$2:$Q$11,$F448),IF(INDEX(Accounts!$P$2:$P$11,$F448)="eod_trailing",MAX(INDEX(Accounts!$Q$2:$Q$11,$F448),_xlfn.MAXIFS($C$2:$C$1001,$A$2:$A$1001,$A448,$B$2:$B$1001,"&lt;"&amp;$B448)),MAX(INDEX(Accounts!$Q$2:$Q$11,$F448),_xlfn.MAXIFS($C$2:$C$1001,$A$2:$A$1001,$A448,$B$2:$B$1001,"&lt;"&amp;$B448),_xlfn.MAXIFS($D$2:$D$1001,$A$2:$A$1001,$A448,$B$2:$B$1001,"&lt;="&amp;$B448),$C448)))),"")</f>
        <v/>
      </c>
      <c r="H448" s="15">
        <f>IFERROR(IF(G448="","",IF(INDEX(Accounts!$P$2:$P$11,$F448)="static",INDEX(Accounts!$Q$2:$Q$11,$F448)-INDEX(Accounts!$R$2:$R$11,$F448),IF(INDEX(Accounts!$S$2:$S$11,$F448)="NONE",G448-INDEX(Accounts!$R$2:$R$11,$F448),MIN(G448-INDEX(Accounts!$R$2:$R$11,$F448),INDEX(Accounts!$Q$2:$Q$11,$F448)+INDEX(Accounts!$S$2:$S$11,$F448))))),"")</f>
        <v/>
      </c>
      <c r="I448" s="16">
        <f>IF(AND($A448="",$B448="",$C448="",$D448="",$E448=""),"",IF(OR($A448="",$F448=""),"UNKNOWN_ACCOUNT",IF(OR($B448="",$C448=""),"INCOMPLETE",IFERROR(IF(OR(NOT(ISNUMBER($B448)),NOT(ISNUMBER($C448)),IF(C448="",FALSE,IF(ISNUMBER(C448),OR(C448&lt;=0,C448&gt;100000000,ROUND(C448*100,6)&lt;&gt;INT(ROUND(C448*100,6))),TRUE)),IF(D448="",FALSE,IF(ISNUMBER(D448),OR(D448&lt;=0,D448&gt;100000000,ROUND(D448*100,6)&lt;&gt;INT(ROUND(D448*100,6))),TRUE)),IF(E448="",FALSE,IF(ISNUMBER(E448),OR(E448&lt;=0,E448&gt;100000000,ROUND(E448*100,6)&lt;&gt;INT(ROUND(E448*100,6))),TRUE)),AND($D448&lt;&gt;"",$D448&lt;MAX($C448,$E448)),AND($E448&lt;&gt;"",$E448&gt;MIN($C448,IF($D448="",$C448,$D448))),COUNTIFS($A$2:$A$1001,$A448,$B$2:$B$1001,$B448)&gt;1),"INVALID",IFERROR(IF(IF(INDEX(Accounts!$T$2:$T$11,$F448),ROUND(IF($E448="",$C448,MIN($C448,$E448))-(H448),6)&lt;=0,ROUND(IF($E448="",$C448,MIN($C448,$E448))-(H448),6)&lt;0),"BREACHED","OK"),"INCOMPLETE")),"INVALID"))))</f>
        <v/>
      </c>
      <c r="J448" s="33">
        <f>IF(OR(I448="OK",I448="BREACHED"),-INT(ROUND(-(H448)*100,6))/100,I448)</f>
        <v/>
      </c>
    </row>
    <row r="449" ht="18" customHeight="1">
      <c r="A449" s="9" t="n"/>
      <c r="B449" s="32" t="n"/>
      <c r="C449" s="12" t="n"/>
      <c r="D449" s="12" t="n"/>
      <c r="E449" s="12" t="n"/>
      <c r="F449" s="15">
        <f>IFERROR(MATCH($A449,Accounts!$A$2:$A$11,0),"")</f>
        <v/>
      </c>
      <c r="G449" s="14">
        <f>IFERROR(IF(OR($A449="",$F449=""),"",IF(INDEX(Accounts!$P$2:$P$11,$F449)="static",INDEX(Accounts!$Q$2:$Q$11,$F449),IF(INDEX(Accounts!$P$2:$P$11,$F449)="eod_trailing",MAX(INDEX(Accounts!$Q$2:$Q$11,$F449),_xlfn.MAXIFS($C$2:$C$1001,$A$2:$A$1001,$A449,$B$2:$B$1001,"&lt;"&amp;$B449)),MAX(INDEX(Accounts!$Q$2:$Q$11,$F449),_xlfn.MAXIFS($C$2:$C$1001,$A$2:$A$1001,$A449,$B$2:$B$1001,"&lt;"&amp;$B449),_xlfn.MAXIFS($D$2:$D$1001,$A$2:$A$1001,$A449,$B$2:$B$1001,"&lt;="&amp;$B449),$C449)))),"")</f>
        <v/>
      </c>
      <c r="H449" s="15">
        <f>IFERROR(IF(G449="","",IF(INDEX(Accounts!$P$2:$P$11,$F449)="static",INDEX(Accounts!$Q$2:$Q$11,$F449)-INDEX(Accounts!$R$2:$R$11,$F449),IF(INDEX(Accounts!$S$2:$S$11,$F449)="NONE",G449-INDEX(Accounts!$R$2:$R$11,$F449),MIN(G449-INDEX(Accounts!$R$2:$R$11,$F449),INDEX(Accounts!$Q$2:$Q$11,$F449)+INDEX(Accounts!$S$2:$S$11,$F449))))),"")</f>
        <v/>
      </c>
      <c r="I449" s="16">
        <f>IF(AND($A449="",$B449="",$C449="",$D449="",$E449=""),"",IF(OR($A449="",$F449=""),"UNKNOWN_ACCOUNT",IF(OR($B449="",$C449=""),"INCOMPLETE",IFERROR(IF(OR(NOT(ISNUMBER($B449)),NOT(ISNUMBER($C449)),IF(C449="",FALSE,IF(ISNUMBER(C449),OR(C449&lt;=0,C449&gt;100000000,ROUND(C449*100,6)&lt;&gt;INT(ROUND(C449*100,6))),TRUE)),IF(D449="",FALSE,IF(ISNUMBER(D449),OR(D449&lt;=0,D449&gt;100000000,ROUND(D449*100,6)&lt;&gt;INT(ROUND(D449*100,6))),TRUE)),IF(E449="",FALSE,IF(ISNUMBER(E449),OR(E449&lt;=0,E449&gt;100000000,ROUND(E449*100,6)&lt;&gt;INT(ROUND(E449*100,6))),TRUE)),AND($D449&lt;&gt;"",$D449&lt;MAX($C449,$E449)),AND($E449&lt;&gt;"",$E449&gt;MIN($C449,IF($D449="",$C449,$D449))),COUNTIFS($A$2:$A$1001,$A449,$B$2:$B$1001,$B449)&gt;1),"INVALID",IFERROR(IF(IF(INDEX(Accounts!$T$2:$T$11,$F449),ROUND(IF($E449="",$C449,MIN($C449,$E449))-(H449),6)&lt;=0,ROUND(IF($E449="",$C449,MIN($C449,$E449))-(H449),6)&lt;0),"BREACHED","OK"),"INCOMPLETE")),"INVALID"))))</f>
        <v/>
      </c>
      <c r="J449" s="33">
        <f>IF(OR(I449="OK",I449="BREACHED"),-INT(ROUND(-(H449)*100,6))/100,I449)</f>
        <v/>
      </c>
    </row>
    <row r="450" ht="18" customHeight="1">
      <c r="A450" s="9" t="n"/>
      <c r="B450" s="32" t="n"/>
      <c r="C450" s="12" t="n"/>
      <c r="D450" s="12" t="n"/>
      <c r="E450" s="12" t="n"/>
      <c r="F450" s="15">
        <f>IFERROR(MATCH($A450,Accounts!$A$2:$A$11,0),"")</f>
        <v/>
      </c>
      <c r="G450" s="14">
        <f>IFERROR(IF(OR($A450="",$F450=""),"",IF(INDEX(Accounts!$P$2:$P$11,$F450)="static",INDEX(Accounts!$Q$2:$Q$11,$F450),IF(INDEX(Accounts!$P$2:$P$11,$F450)="eod_trailing",MAX(INDEX(Accounts!$Q$2:$Q$11,$F450),_xlfn.MAXIFS($C$2:$C$1001,$A$2:$A$1001,$A450,$B$2:$B$1001,"&lt;"&amp;$B450)),MAX(INDEX(Accounts!$Q$2:$Q$11,$F450),_xlfn.MAXIFS($C$2:$C$1001,$A$2:$A$1001,$A450,$B$2:$B$1001,"&lt;"&amp;$B450),_xlfn.MAXIFS($D$2:$D$1001,$A$2:$A$1001,$A450,$B$2:$B$1001,"&lt;="&amp;$B450),$C450)))),"")</f>
        <v/>
      </c>
      <c r="H450" s="15">
        <f>IFERROR(IF(G450="","",IF(INDEX(Accounts!$P$2:$P$11,$F450)="static",INDEX(Accounts!$Q$2:$Q$11,$F450)-INDEX(Accounts!$R$2:$R$11,$F450),IF(INDEX(Accounts!$S$2:$S$11,$F450)="NONE",G450-INDEX(Accounts!$R$2:$R$11,$F450),MIN(G450-INDEX(Accounts!$R$2:$R$11,$F450),INDEX(Accounts!$Q$2:$Q$11,$F450)+INDEX(Accounts!$S$2:$S$11,$F450))))),"")</f>
        <v/>
      </c>
      <c r="I450" s="16">
        <f>IF(AND($A450="",$B450="",$C450="",$D450="",$E450=""),"",IF(OR($A450="",$F450=""),"UNKNOWN_ACCOUNT",IF(OR($B450="",$C450=""),"INCOMPLETE",IFERROR(IF(OR(NOT(ISNUMBER($B450)),NOT(ISNUMBER($C450)),IF(C450="",FALSE,IF(ISNUMBER(C450),OR(C450&lt;=0,C450&gt;100000000,ROUND(C450*100,6)&lt;&gt;INT(ROUND(C450*100,6))),TRUE)),IF(D450="",FALSE,IF(ISNUMBER(D450),OR(D450&lt;=0,D450&gt;100000000,ROUND(D450*100,6)&lt;&gt;INT(ROUND(D450*100,6))),TRUE)),IF(E450="",FALSE,IF(ISNUMBER(E450),OR(E450&lt;=0,E450&gt;100000000,ROUND(E450*100,6)&lt;&gt;INT(ROUND(E450*100,6))),TRUE)),AND($D450&lt;&gt;"",$D450&lt;MAX($C450,$E450)),AND($E450&lt;&gt;"",$E450&gt;MIN($C450,IF($D450="",$C450,$D450))),COUNTIFS($A$2:$A$1001,$A450,$B$2:$B$1001,$B450)&gt;1),"INVALID",IFERROR(IF(IF(INDEX(Accounts!$T$2:$T$11,$F450),ROUND(IF($E450="",$C450,MIN($C450,$E450))-(H450),6)&lt;=0,ROUND(IF($E450="",$C450,MIN($C450,$E450))-(H450),6)&lt;0),"BREACHED","OK"),"INCOMPLETE")),"INVALID"))))</f>
        <v/>
      </c>
      <c r="J450" s="33">
        <f>IF(OR(I450="OK",I450="BREACHED"),-INT(ROUND(-(H450)*100,6))/100,I450)</f>
        <v/>
      </c>
    </row>
    <row r="451" ht="18" customHeight="1">
      <c r="A451" s="9" t="n"/>
      <c r="B451" s="32" t="n"/>
      <c r="C451" s="12" t="n"/>
      <c r="D451" s="12" t="n"/>
      <c r="E451" s="12" t="n"/>
      <c r="F451" s="15">
        <f>IFERROR(MATCH($A451,Accounts!$A$2:$A$11,0),"")</f>
        <v/>
      </c>
      <c r="G451" s="14">
        <f>IFERROR(IF(OR($A451="",$F451=""),"",IF(INDEX(Accounts!$P$2:$P$11,$F451)="static",INDEX(Accounts!$Q$2:$Q$11,$F451),IF(INDEX(Accounts!$P$2:$P$11,$F451)="eod_trailing",MAX(INDEX(Accounts!$Q$2:$Q$11,$F451),_xlfn.MAXIFS($C$2:$C$1001,$A$2:$A$1001,$A451,$B$2:$B$1001,"&lt;"&amp;$B451)),MAX(INDEX(Accounts!$Q$2:$Q$11,$F451),_xlfn.MAXIFS($C$2:$C$1001,$A$2:$A$1001,$A451,$B$2:$B$1001,"&lt;"&amp;$B451),_xlfn.MAXIFS($D$2:$D$1001,$A$2:$A$1001,$A451,$B$2:$B$1001,"&lt;="&amp;$B451),$C451)))),"")</f>
        <v/>
      </c>
      <c r="H451" s="15">
        <f>IFERROR(IF(G451="","",IF(INDEX(Accounts!$P$2:$P$11,$F451)="static",INDEX(Accounts!$Q$2:$Q$11,$F451)-INDEX(Accounts!$R$2:$R$11,$F451),IF(INDEX(Accounts!$S$2:$S$11,$F451)="NONE",G451-INDEX(Accounts!$R$2:$R$11,$F451),MIN(G451-INDEX(Accounts!$R$2:$R$11,$F451),INDEX(Accounts!$Q$2:$Q$11,$F451)+INDEX(Accounts!$S$2:$S$11,$F451))))),"")</f>
        <v/>
      </c>
      <c r="I451" s="16">
        <f>IF(AND($A451="",$B451="",$C451="",$D451="",$E451=""),"",IF(OR($A451="",$F451=""),"UNKNOWN_ACCOUNT",IF(OR($B451="",$C451=""),"INCOMPLETE",IFERROR(IF(OR(NOT(ISNUMBER($B451)),NOT(ISNUMBER($C451)),IF(C451="",FALSE,IF(ISNUMBER(C451),OR(C451&lt;=0,C451&gt;100000000,ROUND(C451*100,6)&lt;&gt;INT(ROUND(C451*100,6))),TRUE)),IF(D451="",FALSE,IF(ISNUMBER(D451),OR(D451&lt;=0,D451&gt;100000000,ROUND(D451*100,6)&lt;&gt;INT(ROUND(D451*100,6))),TRUE)),IF(E451="",FALSE,IF(ISNUMBER(E451),OR(E451&lt;=0,E451&gt;100000000,ROUND(E451*100,6)&lt;&gt;INT(ROUND(E451*100,6))),TRUE)),AND($D451&lt;&gt;"",$D451&lt;MAX($C451,$E451)),AND($E451&lt;&gt;"",$E451&gt;MIN($C451,IF($D451="",$C451,$D451))),COUNTIFS($A$2:$A$1001,$A451,$B$2:$B$1001,$B451)&gt;1),"INVALID",IFERROR(IF(IF(INDEX(Accounts!$T$2:$T$11,$F451),ROUND(IF($E451="",$C451,MIN($C451,$E451))-(H451),6)&lt;=0,ROUND(IF($E451="",$C451,MIN($C451,$E451))-(H451),6)&lt;0),"BREACHED","OK"),"INCOMPLETE")),"INVALID"))))</f>
        <v/>
      </c>
      <c r="J451" s="33">
        <f>IF(OR(I451="OK",I451="BREACHED"),-INT(ROUND(-(H451)*100,6))/100,I451)</f>
        <v/>
      </c>
    </row>
    <row r="452" ht="18" customHeight="1">
      <c r="A452" s="9" t="n"/>
      <c r="B452" s="32" t="n"/>
      <c r="C452" s="12" t="n"/>
      <c r="D452" s="12" t="n"/>
      <c r="E452" s="12" t="n"/>
      <c r="F452" s="15">
        <f>IFERROR(MATCH($A452,Accounts!$A$2:$A$11,0),"")</f>
        <v/>
      </c>
      <c r="G452" s="14">
        <f>IFERROR(IF(OR($A452="",$F452=""),"",IF(INDEX(Accounts!$P$2:$P$11,$F452)="static",INDEX(Accounts!$Q$2:$Q$11,$F452),IF(INDEX(Accounts!$P$2:$P$11,$F452)="eod_trailing",MAX(INDEX(Accounts!$Q$2:$Q$11,$F452),_xlfn.MAXIFS($C$2:$C$1001,$A$2:$A$1001,$A452,$B$2:$B$1001,"&lt;"&amp;$B452)),MAX(INDEX(Accounts!$Q$2:$Q$11,$F452),_xlfn.MAXIFS($C$2:$C$1001,$A$2:$A$1001,$A452,$B$2:$B$1001,"&lt;"&amp;$B452),_xlfn.MAXIFS($D$2:$D$1001,$A$2:$A$1001,$A452,$B$2:$B$1001,"&lt;="&amp;$B452),$C452)))),"")</f>
        <v/>
      </c>
      <c r="H452" s="15">
        <f>IFERROR(IF(G452="","",IF(INDEX(Accounts!$P$2:$P$11,$F452)="static",INDEX(Accounts!$Q$2:$Q$11,$F452)-INDEX(Accounts!$R$2:$R$11,$F452),IF(INDEX(Accounts!$S$2:$S$11,$F452)="NONE",G452-INDEX(Accounts!$R$2:$R$11,$F452),MIN(G452-INDEX(Accounts!$R$2:$R$11,$F452),INDEX(Accounts!$Q$2:$Q$11,$F452)+INDEX(Accounts!$S$2:$S$11,$F452))))),"")</f>
        <v/>
      </c>
      <c r="I452" s="16">
        <f>IF(AND($A452="",$B452="",$C452="",$D452="",$E452=""),"",IF(OR($A452="",$F452=""),"UNKNOWN_ACCOUNT",IF(OR($B452="",$C452=""),"INCOMPLETE",IFERROR(IF(OR(NOT(ISNUMBER($B452)),NOT(ISNUMBER($C452)),IF(C452="",FALSE,IF(ISNUMBER(C452),OR(C452&lt;=0,C452&gt;100000000,ROUND(C452*100,6)&lt;&gt;INT(ROUND(C452*100,6))),TRUE)),IF(D452="",FALSE,IF(ISNUMBER(D452),OR(D452&lt;=0,D452&gt;100000000,ROUND(D452*100,6)&lt;&gt;INT(ROUND(D452*100,6))),TRUE)),IF(E452="",FALSE,IF(ISNUMBER(E452),OR(E452&lt;=0,E452&gt;100000000,ROUND(E452*100,6)&lt;&gt;INT(ROUND(E452*100,6))),TRUE)),AND($D452&lt;&gt;"",$D452&lt;MAX($C452,$E452)),AND($E452&lt;&gt;"",$E452&gt;MIN($C452,IF($D452="",$C452,$D452))),COUNTIFS($A$2:$A$1001,$A452,$B$2:$B$1001,$B452)&gt;1),"INVALID",IFERROR(IF(IF(INDEX(Accounts!$T$2:$T$11,$F452),ROUND(IF($E452="",$C452,MIN($C452,$E452))-(H452),6)&lt;=0,ROUND(IF($E452="",$C452,MIN($C452,$E452))-(H452),6)&lt;0),"BREACHED","OK"),"INCOMPLETE")),"INVALID"))))</f>
        <v/>
      </c>
      <c r="J452" s="33">
        <f>IF(OR(I452="OK",I452="BREACHED"),-INT(ROUND(-(H452)*100,6))/100,I452)</f>
        <v/>
      </c>
    </row>
    <row r="453" ht="18" customHeight="1">
      <c r="A453" s="9" t="n"/>
      <c r="B453" s="32" t="n"/>
      <c r="C453" s="12" t="n"/>
      <c r="D453" s="12" t="n"/>
      <c r="E453" s="12" t="n"/>
      <c r="F453" s="15">
        <f>IFERROR(MATCH($A453,Accounts!$A$2:$A$11,0),"")</f>
        <v/>
      </c>
      <c r="G453" s="14">
        <f>IFERROR(IF(OR($A453="",$F453=""),"",IF(INDEX(Accounts!$P$2:$P$11,$F453)="static",INDEX(Accounts!$Q$2:$Q$11,$F453),IF(INDEX(Accounts!$P$2:$P$11,$F453)="eod_trailing",MAX(INDEX(Accounts!$Q$2:$Q$11,$F453),_xlfn.MAXIFS($C$2:$C$1001,$A$2:$A$1001,$A453,$B$2:$B$1001,"&lt;"&amp;$B453)),MAX(INDEX(Accounts!$Q$2:$Q$11,$F453),_xlfn.MAXIFS($C$2:$C$1001,$A$2:$A$1001,$A453,$B$2:$B$1001,"&lt;"&amp;$B453),_xlfn.MAXIFS($D$2:$D$1001,$A$2:$A$1001,$A453,$B$2:$B$1001,"&lt;="&amp;$B453),$C453)))),"")</f>
        <v/>
      </c>
      <c r="H453" s="15">
        <f>IFERROR(IF(G453="","",IF(INDEX(Accounts!$P$2:$P$11,$F453)="static",INDEX(Accounts!$Q$2:$Q$11,$F453)-INDEX(Accounts!$R$2:$R$11,$F453),IF(INDEX(Accounts!$S$2:$S$11,$F453)="NONE",G453-INDEX(Accounts!$R$2:$R$11,$F453),MIN(G453-INDEX(Accounts!$R$2:$R$11,$F453),INDEX(Accounts!$Q$2:$Q$11,$F453)+INDEX(Accounts!$S$2:$S$11,$F453))))),"")</f>
        <v/>
      </c>
      <c r="I453" s="16">
        <f>IF(AND($A453="",$B453="",$C453="",$D453="",$E453=""),"",IF(OR($A453="",$F453=""),"UNKNOWN_ACCOUNT",IF(OR($B453="",$C453=""),"INCOMPLETE",IFERROR(IF(OR(NOT(ISNUMBER($B453)),NOT(ISNUMBER($C453)),IF(C453="",FALSE,IF(ISNUMBER(C453),OR(C453&lt;=0,C453&gt;100000000,ROUND(C453*100,6)&lt;&gt;INT(ROUND(C453*100,6))),TRUE)),IF(D453="",FALSE,IF(ISNUMBER(D453),OR(D453&lt;=0,D453&gt;100000000,ROUND(D453*100,6)&lt;&gt;INT(ROUND(D453*100,6))),TRUE)),IF(E453="",FALSE,IF(ISNUMBER(E453),OR(E453&lt;=0,E453&gt;100000000,ROUND(E453*100,6)&lt;&gt;INT(ROUND(E453*100,6))),TRUE)),AND($D453&lt;&gt;"",$D453&lt;MAX($C453,$E453)),AND($E453&lt;&gt;"",$E453&gt;MIN($C453,IF($D453="",$C453,$D453))),COUNTIFS($A$2:$A$1001,$A453,$B$2:$B$1001,$B453)&gt;1),"INVALID",IFERROR(IF(IF(INDEX(Accounts!$T$2:$T$11,$F453),ROUND(IF($E453="",$C453,MIN($C453,$E453))-(H453),6)&lt;=0,ROUND(IF($E453="",$C453,MIN($C453,$E453))-(H453),6)&lt;0),"BREACHED","OK"),"INCOMPLETE")),"INVALID"))))</f>
        <v/>
      </c>
      <c r="J453" s="33">
        <f>IF(OR(I453="OK",I453="BREACHED"),-INT(ROUND(-(H453)*100,6))/100,I453)</f>
        <v/>
      </c>
    </row>
    <row r="454" ht="18" customHeight="1">
      <c r="A454" s="9" t="n"/>
      <c r="B454" s="32" t="n"/>
      <c r="C454" s="12" t="n"/>
      <c r="D454" s="12" t="n"/>
      <c r="E454" s="12" t="n"/>
      <c r="F454" s="15">
        <f>IFERROR(MATCH($A454,Accounts!$A$2:$A$11,0),"")</f>
        <v/>
      </c>
      <c r="G454" s="14">
        <f>IFERROR(IF(OR($A454="",$F454=""),"",IF(INDEX(Accounts!$P$2:$P$11,$F454)="static",INDEX(Accounts!$Q$2:$Q$11,$F454),IF(INDEX(Accounts!$P$2:$P$11,$F454)="eod_trailing",MAX(INDEX(Accounts!$Q$2:$Q$11,$F454),_xlfn.MAXIFS($C$2:$C$1001,$A$2:$A$1001,$A454,$B$2:$B$1001,"&lt;"&amp;$B454)),MAX(INDEX(Accounts!$Q$2:$Q$11,$F454),_xlfn.MAXIFS($C$2:$C$1001,$A$2:$A$1001,$A454,$B$2:$B$1001,"&lt;"&amp;$B454),_xlfn.MAXIFS($D$2:$D$1001,$A$2:$A$1001,$A454,$B$2:$B$1001,"&lt;="&amp;$B454),$C454)))),"")</f>
        <v/>
      </c>
      <c r="H454" s="15">
        <f>IFERROR(IF(G454="","",IF(INDEX(Accounts!$P$2:$P$11,$F454)="static",INDEX(Accounts!$Q$2:$Q$11,$F454)-INDEX(Accounts!$R$2:$R$11,$F454),IF(INDEX(Accounts!$S$2:$S$11,$F454)="NONE",G454-INDEX(Accounts!$R$2:$R$11,$F454),MIN(G454-INDEX(Accounts!$R$2:$R$11,$F454),INDEX(Accounts!$Q$2:$Q$11,$F454)+INDEX(Accounts!$S$2:$S$11,$F454))))),"")</f>
        <v/>
      </c>
      <c r="I454" s="16">
        <f>IF(AND($A454="",$B454="",$C454="",$D454="",$E454=""),"",IF(OR($A454="",$F454=""),"UNKNOWN_ACCOUNT",IF(OR($B454="",$C454=""),"INCOMPLETE",IFERROR(IF(OR(NOT(ISNUMBER($B454)),NOT(ISNUMBER($C454)),IF(C454="",FALSE,IF(ISNUMBER(C454),OR(C454&lt;=0,C454&gt;100000000,ROUND(C454*100,6)&lt;&gt;INT(ROUND(C454*100,6))),TRUE)),IF(D454="",FALSE,IF(ISNUMBER(D454),OR(D454&lt;=0,D454&gt;100000000,ROUND(D454*100,6)&lt;&gt;INT(ROUND(D454*100,6))),TRUE)),IF(E454="",FALSE,IF(ISNUMBER(E454),OR(E454&lt;=0,E454&gt;100000000,ROUND(E454*100,6)&lt;&gt;INT(ROUND(E454*100,6))),TRUE)),AND($D454&lt;&gt;"",$D454&lt;MAX($C454,$E454)),AND($E454&lt;&gt;"",$E454&gt;MIN($C454,IF($D454="",$C454,$D454))),COUNTIFS($A$2:$A$1001,$A454,$B$2:$B$1001,$B454)&gt;1),"INVALID",IFERROR(IF(IF(INDEX(Accounts!$T$2:$T$11,$F454),ROUND(IF($E454="",$C454,MIN($C454,$E454))-(H454),6)&lt;=0,ROUND(IF($E454="",$C454,MIN($C454,$E454))-(H454),6)&lt;0),"BREACHED","OK"),"INCOMPLETE")),"INVALID"))))</f>
        <v/>
      </c>
      <c r="J454" s="33">
        <f>IF(OR(I454="OK",I454="BREACHED"),-INT(ROUND(-(H454)*100,6))/100,I454)</f>
        <v/>
      </c>
    </row>
    <row r="455" ht="18" customHeight="1">
      <c r="A455" s="9" t="n"/>
      <c r="B455" s="32" t="n"/>
      <c r="C455" s="12" t="n"/>
      <c r="D455" s="12" t="n"/>
      <c r="E455" s="12" t="n"/>
      <c r="F455" s="15">
        <f>IFERROR(MATCH($A455,Accounts!$A$2:$A$11,0),"")</f>
        <v/>
      </c>
      <c r="G455" s="14">
        <f>IFERROR(IF(OR($A455="",$F455=""),"",IF(INDEX(Accounts!$P$2:$P$11,$F455)="static",INDEX(Accounts!$Q$2:$Q$11,$F455),IF(INDEX(Accounts!$P$2:$P$11,$F455)="eod_trailing",MAX(INDEX(Accounts!$Q$2:$Q$11,$F455),_xlfn.MAXIFS($C$2:$C$1001,$A$2:$A$1001,$A455,$B$2:$B$1001,"&lt;"&amp;$B455)),MAX(INDEX(Accounts!$Q$2:$Q$11,$F455),_xlfn.MAXIFS($C$2:$C$1001,$A$2:$A$1001,$A455,$B$2:$B$1001,"&lt;"&amp;$B455),_xlfn.MAXIFS($D$2:$D$1001,$A$2:$A$1001,$A455,$B$2:$B$1001,"&lt;="&amp;$B455),$C455)))),"")</f>
        <v/>
      </c>
      <c r="H455" s="15">
        <f>IFERROR(IF(G455="","",IF(INDEX(Accounts!$P$2:$P$11,$F455)="static",INDEX(Accounts!$Q$2:$Q$11,$F455)-INDEX(Accounts!$R$2:$R$11,$F455),IF(INDEX(Accounts!$S$2:$S$11,$F455)="NONE",G455-INDEX(Accounts!$R$2:$R$11,$F455),MIN(G455-INDEX(Accounts!$R$2:$R$11,$F455),INDEX(Accounts!$Q$2:$Q$11,$F455)+INDEX(Accounts!$S$2:$S$11,$F455))))),"")</f>
        <v/>
      </c>
      <c r="I455" s="16">
        <f>IF(AND($A455="",$B455="",$C455="",$D455="",$E455=""),"",IF(OR($A455="",$F455=""),"UNKNOWN_ACCOUNT",IF(OR($B455="",$C455=""),"INCOMPLETE",IFERROR(IF(OR(NOT(ISNUMBER($B455)),NOT(ISNUMBER($C455)),IF(C455="",FALSE,IF(ISNUMBER(C455),OR(C455&lt;=0,C455&gt;100000000,ROUND(C455*100,6)&lt;&gt;INT(ROUND(C455*100,6))),TRUE)),IF(D455="",FALSE,IF(ISNUMBER(D455),OR(D455&lt;=0,D455&gt;100000000,ROUND(D455*100,6)&lt;&gt;INT(ROUND(D455*100,6))),TRUE)),IF(E455="",FALSE,IF(ISNUMBER(E455),OR(E455&lt;=0,E455&gt;100000000,ROUND(E455*100,6)&lt;&gt;INT(ROUND(E455*100,6))),TRUE)),AND($D455&lt;&gt;"",$D455&lt;MAX($C455,$E455)),AND($E455&lt;&gt;"",$E455&gt;MIN($C455,IF($D455="",$C455,$D455))),COUNTIFS($A$2:$A$1001,$A455,$B$2:$B$1001,$B455)&gt;1),"INVALID",IFERROR(IF(IF(INDEX(Accounts!$T$2:$T$11,$F455),ROUND(IF($E455="",$C455,MIN($C455,$E455))-(H455),6)&lt;=0,ROUND(IF($E455="",$C455,MIN($C455,$E455))-(H455),6)&lt;0),"BREACHED","OK"),"INCOMPLETE")),"INVALID"))))</f>
        <v/>
      </c>
      <c r="J455" s="33">
        <f>IF(OR(I455="OK",I455="BREACHED"),-INT(ROUND(-(H455)*100,6))/100,I455)</f>
        <v/>
      </c>
    </row>
    <row r="456" ht="18" customHeight="1">
      <c r="A456" s="9" t="n"/>
      <c r="B456" s="32" t="n"/>
      <c r="C456" s="12" t="n"/>
      <c r="D456" s="12" t="n"/>
      <c r="E456" s="12" t="n"/>
      <c r="F456" s="15">
        <f>IFERROR(MATCH($A456,Accounts!$A$2:$A$11,0),"")</f>
        <v/>
      </c>
      <c r="G456" s="14">
        <f>IFERROR(IF(OR($A456="",$F456=""),"",IF(INDEX(Accounts!$P$2:$P$11,$F456)="static",INDEX(Accounts!$Q$2:$Q$11,$F456),IF(INDEX(Accounts!$P$2:$P$11,$F456)="eod_trailing",MAX(INDEX(Accounts!$Q$2:$Q$11,$F456),_xlfn.MAXIFS($C$2:$C$1001,$A$2:$A$1001,$A456,$B$2:$B$1001,"&lt;"&amp;$B456)),MAX(INDEX(Accounts!$Q$2:$Q$11,$F456),_xlfn.MAXIFS($C$2:$C$1001,$A$2:$A$1001,$A456,$B$2:$B$1001,"&lt;"&amp;$B456),_xlfn.MAXIFS($D$2:$D$1001,$A$2:$A$1001,$A456,$B$2:$B$1001,"&lt;="&amp;$B456),$C456)))),"")</f>
        <v/>
      </c>
      <c r="H456" s="15">
        <f>IFERROR(IF(G456="","",IF(INDEX(Accounts!$P$2:$P$11,$F456)="static",INDEX(Accounts!$Q$2:$Q$11,$F456)-INDEX(Accounts!$R$2:$R$11,$F456),IF(INDEX(Accounts!$S$2:$S$11,$F456)="NONE",G456-INDEX(Accounts!$R$2:$R$11,$F456),MIN(G456-INDEX(Accounts!$R$2:$R$11,$F456),INDEX(Accounts!$Q$2:$Q$11,$F456)+INDEX(Accounts!$S$2:$S$11,$F456))))),"")</f>
        <v/>
      </c>
      <c r="I456" s="16">
        <f>IF(AND($A456="",$B456="",$C456="",$D456="",$E456=""),"",IF(OR($A456="",$F456=""),"UNKNOWN_ACCOUNT",IF(OR($B456="",$C456=""),"INCOMPLETE",IFERROR(IF(OR(NOT(ISNUMBER($B456)),NOT(ISNUMBER($C456)),IF(C456="",FALSE,IF(ISNUMBER(C456),OR(C456&lt;=0,C456&gt;100000000,ROUND(C456*100,6)&lt;&gt;INT(ROUND(C456*100,6))),TRUE)),IF(D456="",FALSE,IF(ISNUMBER(D456),OR(D456&lt;=0,D456&gt;100000000,ROUND(D456*100,6)&lt;&gt;INT(ROUND(D456*100,6))),TRUE)),IF(E456="",FALSE,IF(ISNUMBER(E456),OR(E456&lt;=0,E456&gt;100000000,ROUND(E456*100,6)&lt;&gt;INT(ROUND(E456*100,6))),TRUE)),AND($D456&lt;&gt;"",$D456&lt;MAX($C456,$E456)),AND($E456&lt;&gt;"",$E456&gt;MIN($C456,IF($D456="",$C456,$D456))),COUNTIFS($A$2:$A$1001,$A456,$B$2:$B$1001,$B456)&gt;1),"INVALID",IFERROR(IF(IF(INDEX(Accounts!$T$2:$T$11,$F456),ROUND(IF($E456="",$C456,MIN($C456,$E456))-(H456),6)&lt;=0,ROUND(IF($E456="",$C456,MIN($C456,$E456))-(H456),6)&lt;0),"BREACHED","OK"),"INCOMPLETE")),"INVALID"))))</f>
        <v/>
      </c>
      <c r="J456" s="33">
        <f>IF(OR(I456="OK",I456="BREACHED"),-INT(ROUND(-(H456)*100,6))/100,I456)</f>
        <v/>
      </c>
    </row>
    <row r="457" ht="18" customHeight="1">
      <c r="A457" s="9" t="n"/>
      <c r="B457" s="32" t="n"/>
      <c r="C457" s="12" t="n"/>
      <c r="D457" s="12" t="n"/>
      <c r="E457" s="12" t="n"/>
      <c r="F457" s="15">
        <f>IFERROR(MATCH($A457,Accounts!$A$2:$A$11,0),"")</f>
        <v/>
      </c>
      <c r="G457" s="14">
        <f>IFERROR(IF(OR($A457="",$F457=""),"",IF(INDEX(Accounts!$P$2:$P$11,$F457)="static",INDEX(Accounts!$Q$2:$Q$11,$F457),IF(INDEX(Accounts!$P$2:$P$11,$F457)="eod_trailing",MAX(INDEX(Accounts!$Q$2:$Q$11,$F457),_xlfn.MAXIFS($C$2:$C$1001,$A$2:$A$1001,$A457,$B$2:$B$1001,"&lt;"&amp;$B457)),MAX(INDEX(Accounts!$Q$2:$Q$11,$F457),_xlfn.MAXIFS($C$2:$C$1001,$A$2:$A$1001,$A457,$B$2:$B$1001,"&lt;"&amp;$B457),_xlfn.MAXIFS($D$2:$D$1001,$A$2:$A$1001,$A457,$B$2:$B$1001,"&lt;="&amp;$B457),$C457)))),"")</f>
        <v/>
      </c>
      <c r="H457" s="15">
        <f>IFERROR(IF(G457="","",IF(INDEX(Accounts!$P$2:$P$11,$F457)="static",INDEX(Accounts!$Q$2:$Q$11,$F457)-INDEX(Accounts!$R$2:$R$11,$F457),IF(INDEX(Accounts!$S$2:$S$11,$F457)="NONE",G457-INDEX(Accounts!$R$2:$R$11,$F457),MIN(G457-INDEX(Accounts!$R$2:$R$11,$F457),INDEX(Accounts!$Q$2:$Q$11,$F457)+INDEX(Accounts!$S$2:$S$11,$F457))))),"")</f>
        <v/>
      </c>
      <c r="I457" s="16">
        <f>IF(AND($A457="",$B457="",$C457="",$D457="",$E457=""),"",IF(OR($A457="",$F457=""),"UNKNOWN_ACCOUNT",IF(OR($B457="",$C457=""),"INCOMPLETE",IFERROR(IF(OR(NOT(ISNUMBER($B457)),NOT(ISNUMBER($C457)),IF(C457="",FALSE,IF(ISNUMBER(C457),OR(C457&lt;=0,C457&gt;100000000,ROUND(C457*100,6)&lt;&gt;INT(ROUND(C457*100,6))),TRUE)),IF(D457="",FALSE,IF(ISNUMBER(D457),OR(D457&lt;=0,D457&gt;100000000,ROUND(D457*100,6)&lt;&gt;INT(ROUND(D457*100,6))),TRUE)),IF(E457="",FALSE,IF(ISNUMBER(E457),OR(E457&lt;=0,E457&gt;100000000,ROUND(E457*100,6)&lt;&gt;INT(ROUND(E457*100,6))),TRUE)),AND($D457&lt;&gt;"",$D457&lt;MAX($C457,$E457)),AND($E457&lt;&gt;"",$E457&gt;MIN($C457,IF($D457="",$C457,$D457))),COUNTIFS($A$2:$A$1001,$A457,$B$2:$B$1001,$B457)&gt;1),"INVALID",IFERROR(IF(IF(INDEX(Accounts!$T$2:$T$11,$F457),ROUND(IF($E457="",$C457,MIN($C457,$E457))-(H457),6)&lt;=0,ROUND(IF($E457="",$C457,MIN($C457,$E457))-(H457),6)&lt;0),"BREACHED","OK"),"INCOMPLETE")),"INVALID"))))</f>
        <v/>
      </c>
      <c r="J457" s="33">
        <f>IF(OR(I457="OK",I457="BREACHED"),-INT(ROUND(-(H457)*100,6))/100,I457)</f>
        <v/>
      </c>
    </row>
    <row r="458" ht="18" customHeight="1">
      <c r="A458" s="9" t="n"/>
      <c r="B458" s="32" t="n"/>
      <c r="C458" s="12" t="n"/>
      <c r="D458" s="12" t="n"/>
      <c r="E458" s="12" t="n"/>
      <c r="F458" s="15">
        <f>IFERROR(MATCH($A458,Accounts!$A$2:$A$11,0),"")</f>
        <v/>
      </c>
      <c r="G458" s="14">
        <f>IFERROR(IF(OR($A458="",$F458=""),"",IF(INDEX(Accounts!$P$2:$P$11,$F458)="static",INDEX(Accounts!$Q$2:$Q$11,$F458),IF(INDEX(Accounts!$P$2:$P$11,$F458)="eod_trailing",MAX(INDEX(Accounts!$Q$2:$Q$11,$F458),_xlfn.MAXIFS($C$2:$C$1001,$A$2:$A$1001,$A458,$B$2:$B$1001,"&lt;"&amp;$B458)),MAX(INDEX(Accounts!$Q$2:$Q$11,$F458),_xlfn.MAXIFS($C$2:$C$1001,$A$2:$A$1001,$A458,$B$2:$B$1001,"&lt;"&amp;$B458),_xlfn.MAXIFS($D$2:$D$1001,$A$2:$A$1001,$A458,$B$2:$B$1001,"&lt;="&amp;$B458),$C458)))),"")</f>
        <v/>
      </c>
      <c r="H458" s="15">
        <f>IFERROR(IF(G458="","",IF(INDEX(Accounts!$P$2:$P$11,$F458)="static",INDEX(Accounts!$Q$2:$Q$11,$F458)-INDEX(Accounts!$R$2:$R$11,$F458),IF(INDEX(Accounts!$S$2:$S$11,$F458)="NONE",G458-INDEX(Accounts!$R$2:$R$11,$F458),MIN(G458-INDEX(Accounts!$R$2:$R$11,$F458),INDEX(Accounts!$Q$2:$Q$11,$F458)+INDEX(Accounts!$S$2:$S$11,$F458))))),"")</f>
        <v/>
      </c>
      <c r="I458" s="16">
        <f>IF(AND($A458="",$B458="",$C458="",$D458="",$E458=""),"",IF(OR($A458="",$F458=""),"UNKNOWN_ACCOUNT",IF(OR($B458="",$C458=""),"INCOMPLETE",IFERROR(IF(OR(NOT(ISNUMBER($B458)),NOT(ISNUMBER($C458)),IF(C458="",FALSE,IF(ISNUMBER(C458),OR(C458&lt;=0,C458&gt;100000000,ROUND(C458*100,6)&lt;&gt;INT(ROUND(C458*100,6))),TRUE)),IF(D458="",FALSE,IF(ISNUMBER(D458),OR(D458&lt;=0,D458&gt;100000000,ROUND(D458*100,6)&lt;&gt;INT(ROUND(D458*100,6))),TRUE)),IF(E458="",FALSE,IF(ISNUMBER(E458),OR(E458&lt;=0,E458&gt;100000000,ROUND(E458*100,6)&lt;&gt;INT(ROUND(E458*100,6))),TRUE)),AND($D458&lt;&gt;"",$D458&lt;MAX($C458,$E458)),AND($E458&lt;&gt;"",$E458&gt;MIN($C458,IF($D458="",$C458,$D458))),COUNTIFS($A$2:$A$1001,$A458,$B$2:$B$1001,$B458)&gt;1),"INVALID",IFERROR(IF(IF(INDEX(Accounts!$T$2:$T$11,$F458),ROUND(IF($E458="",$C458,MIN($C458,$E458))-(H458),6)&lt;=0,ROUND(IF($E458="",$C458,MIN($C458,$E458))-(H458),6)&lt;0),"BREACHED","OK"),"INCOMPLETE")),"INVALID"))))</f>
        <v/>
      </c>
      <c r="J458" s="33">
        <f>IF(OR(I458="OK",I458="BREACHED"),-INT(ROUND(-(H458)*100,6))/100,I458)</f>
        <v/>
      </c>
    </row>
    <row r="459" ht="18" customHeight="1">
      <c r="A459" s="9" t="n"/>
      <c r="B459" s="32" t="n"/>
      <c r="C459" s="12" t="n"/>
      <c r="D459" s="12" t="n"/>
      <c r="E459" s="12" t="n"/>
      <c r="F459" s="15">
        <f>IFERROR(MATCH($A459,Accounts!$A$2:$A$11,0),"")</f>
        <v/>
      </c>
      <c r="G459" s="14">
        <f>IFERROR(IF(OR($A459="",$F459=""),"",IF(INDEX(Accounts!$P$2:$P$11,$F459)="static",INDEX(Accounts!$Q$2:$Q$11,$F459),IF(INDEX(Accounts!$P$2:$P$11,$F459)="eod_trailing",MAX(INDEX(Accounts!$Q$2:$Q$11,$F459),_xlfn.MAXIFS($C$2:$C$1001,$A$2:$A$1001,$A459,$B$2:$B$1001,"&lt;"&amp;$B459)),MAX(INDEX(Accounts!$Q$2:$Q$11,$F459),_xlfn.MAXIFS($C$2:$C$1001,$A$2:$A$1001,$A459,$B$2:$B$1001,"&lt;"&amp;$B459),_xlfn.MAXIFS($D$2:$D$1001,$A$2:$A$1001,$A459,$B$2:$B$1001,"&lt;="&amp;$B459),$C459)))),"")</f>
        <v/>
      </c>
      <c r="H459" s="15">
        <f>IFERROR(IF(G459="","",IF(INDEX(Accounts!$P$2:$P$11,$F459)="static",INDEX(Accounts!$Q$2:$Q$11,$F459)-INDEX(Accounts!$R$2:$R$11,$F459),IF(INDEX(Accounts!$S$2:$S$11,$F459)="NONE",G459-INDEX(Accounts!$R$2:$R$11,$F459),MIN(G459-INDEX(Accounts!$R$2:$R$11,$F459),INDEX(Accounts!$Q$2:$Q$11,$F459)+INDEX(Accounts!$S$2:$S$11,$F459))))),"")</f>
        <v/>
      </c>
      <c r="I459" s="16">
        <f>IF(AND($A459="",$B459="",$C459="",$D459="",$E459=""),"",IF(OR($A459="",$F459=""),"UNKNOWN_ACCOUNT",IF(OR($B459="",$C459=""),"INCOMPLETE",IFERROR(IF(OR(NOT(ISNUMBER($B459)),NOT(ISNUMBER($C459)),IF(C459="",FALSE,IF(ISNUMBER(C459),OR(C459&lt;=0,C459&gt;100000000,ROUND(C459*100,6)&lt;&gt;INT(ROUND(C459*100,6))),TRUE)),IF(D459="",FALSE,IF(ISNUMBER(D459),OR(D459&lt;=0,D459&gt;100000000,ROUND(D459*100,6)&lt;&gt;INT(ROUND(D459*100,6))),TRUE)),IF(E459="",FALSE,IF(ISNUMBER(E459),OR(E459&lt;=0,E459&gt;100000000,ROUND(E459*100,6)&lt;&gt;INT(ROUND(E459*100,6))),TRUE)),AND($D459&lt;&gt;"",$D459&lt;MAX($C459,$E459)),AND($E459&lt;&gt;"",$E459&gt;MIN($C459,IF($D459="",$C459,$D459))),COUNTIFS($A$2:$A$1001,$A459,$B$2:$B$1001,$B459)&gt;1),"INVALID",IFERROR(IF(IF(INDEX(Accounts!$T$2:$T$11,$F459),ROUND(IF($E459="",$C459,MIN($C459,$E459))-(H459),6)&lt;=0,ROUND(IF($E459="",$C459,MIN($C459,$E459))-(H459),6)&lt;0),"BREACHED","OK"),"INCOMPLETE")),"INVALID"))))</f>
        <v/>
      </c>
      <c r="J459" s="33">
        <f>IF(OR(I459="OK",I459="BREACHED"),-INT(ROUND(-(H459)*100,6))/100,I459)</f>
        <v/>
      </c>
    </row>
    <row r="460" ht="18" customHeight="1">
      <c r="A460" s="9" t="n"/>
      <c r="B460" s="32" t="n"/>
      <c r="C460" s="12" t="n"/>
      <c r="D460" s="12" t="n"/>
      <c r="E460" s="12" t="n"/>
      <c r="F460" s="15">
        <f>IFERROR(MATCH($A460,Accounts!$A$2:$A$11,0),"")</f>
        <v/>
      </c>
      <c r="G460" s="14">
        <f>IFERROR(IF(OR($A460="",$F460=""),"",IF(INDEX(Accounts!$P$2:$P$11,$F460)="static",INDEX(Accounts!$Q$2:$Q$11,$F460),IF(INDEX(Accounts!$P$2:$P$11,$F460)="eod_trailing",MAX(INDEX(Accounts!$Q$2:$Q$11,$F460),_xlfn.MAXIFS($C$2:$C$1001,$A$2:$A$1001,$A460,$B$2:$B$1001,"&lt;"&amp;$B460)),MAX(INDEX(Accounts!$Q$2:$Q$11,$F460),_xlfn.MAXIFS($C$2:$C$1001,$A$2:$A$1001,$A460,$B$2:$B$1001,"&lt;"&amp;$B460),_xlfn.MAXIFS($D$2:$D$1001,$A$2:$A$1001,$A460,$B$2:$B$1001,"&lt;="&amp;$B460),$C460)))),"")</f>
        <v/>
      </c>
      <c r="H460" s="15">
        <f>IFERROR(IF(G460="","",IF(INDEX(Accounts!$P$2:$P$11,$F460)="static",INDEX(Accounts!$Q$2:$Q$11,$F460)-INDEX(Accounts!$R$2:$R$11,$F460),IF(INDEX(Accounts!$S$2:$S$11,$F460)="NONE",G460-INDEX(Accounts!$R$2:$R$11,$F460),MIN(G460-INDEX(Accounts!$R$2:$R$11,$F460),INDEX(Accounts!$Q$2:$Q$11,$F460)+INDEX(Accounts!$S$2:$S$11,$F460))))),"")</f>
        <v/>
      </c>
      <c r="I460" s="16">
        <f>IF(AND($A460="",$B460="",$C460="",$D460="",$E460=""),"",IF(OR($A460="",$F460=""),"UNKNOWN_ACCOUNT",IF(OR($B460="",$C460=""),"INCOMPLETE",IFERROR(IF(OR(NOT(ISNUMBER($B460)),NOT(ISNUMBER($C460)),IF(C460="",FALSE,IF(ISNUMBER(C460),OR(C460&lt;=0,C460&gt;100000000,ROUND(C460*100,6)&lt;&gt;INT(ROUND(C460*100,6))),TRUE)),IF(D460="",FALSE,IF(ISNUMBER(D460),OR(D460&lt;=0,D460&gt;100000000,ROUND(D460*100,6)&lt;&gt;INT(ROUND(D460*100,6))),TRUE)),IF(E460="",FALSE,IF(ISNUMBER(E460),OR(E460&lt;=0,E460&gt;100000000,ROUND(E460*100,6)&lt;&gt;INT(ROUND(E460*100,6))),TRUE)),AND($D460&lt;&gt;"",$D460&lt;MAX($C460,$E460)),AND($E460&lt;&gt;"",$E460&gt;MIN($C460,IF($D460="",$C460,$D460))),COUNTIFS($A$2:$A$1001,$A460,$B$2:$B$1001,$B460)&gt;1),"INVALID",IFERROR(IF(IF(INDEX(Accounts!$T$2:$T$11,$F460),ROUND(IF($E460="",$C460,MIN($C460,$E460))-(H460),6)&lt;=0,ROUND(IF($E460="",$C460,MIN($C460,$E460))-(H460),6)&lt;0),"BREACHED","OK"),"INCOMPLETE")),"INVALID"))))</f>
        <v/>
      </c>
      <c r="J460" s="33">
        <f>IF(OR(I460="OK",I460="BREACHED"),-INT(ROUND(-(H460)*100,6))/100,I460)</f>
        <v/>
      </c>
    </row>
    <row r="461" ht="18" customHeight="1">
      <c r="A461" s="9" t="n"/>
      <c r="B461" s="32" t="n"/>
      <c r="C461" s="12" t="n"/>
      <c r="D461" s="12" t="n"/>
      <c r="E461" s="12" t="n"/>
      <c r="F461" s="15">
        <f>IFERROR(MATCH($A461,Accounts!$A$2:$A$11,0),"")</f>
        <v/>
      </c>
      <c r="G461" s="14">
        <f>IFERROR(IF(OR($A461="",$F461=""),"",IF(INDEX(Accounts!$P$2:$P$11,$F461)="static",INDEX(Accounts!$Q$2:$Q$11,$F461),IF(INDEX(Accounts!$P$2:$P$11,$F461)="eod_trailing",MAX(INDEX(Accounts!$Q$2:$Q$11,$F461),_xlfn.MAXIFS($C$2:$C$1001,$A$2:$A$1001,$A461,$B$2:$B$1001,"&lt;"&amp;$B461)),MAX(INDEX(Accounts!$Q$2:$Q$11,$F461),_xlfn.MAXIFS($C$2:$C$1001,$A$2:$A$1001,$A461,$B$2:$B$1001,"&lt;"&amp;$B461),_xlfn.MAXIFS($D$2:$D$1001,$A$2:$A$1001,$A461,$B$2:$B$1001,"&lt;="&amp;$B461),$C461)))),"")</f>
        <v/>
      </c>
      <c r="H461" s="15">
        <f>IFERROR(IF(G461="","",IF(INDEX(Accounts!$P$2:$P$11,$F461)="static",INDEX(Accounts!$Q$2:$Q$11,$F461)-INDEX(Accounts!$R$2:$R$11,$F461),IF(INDEX(Accounts!$S$2:$S$11,$F461)="NONE",G461-INDEX(Accounts!$R$2:$R$11,$F461),MIN(G461-INDEX(Accounts!$R$2:$R$11,$F461),INDEX(Accounts!$Q$2:$Q$11,$F461)+INDEX(Accounts!$S$2:$S$11,$F461))))),"")</f>
        <v/>
      </c>
      <c r="I461" s="16">
        <f>IF(AND($A461="",$B461="",$C461="",$D461="",$E461=""),"",IF(OR($A461="",$F461=""),"UNKNOWN_ACCOUNT",IF(OR($B461="",$C461=""),"INCOMPLETE",IFERROR(IF(OR(NOT(ISNUMBER($B461)),NOT(ISNUMBER($C461)),IF(C461="",FALSE,IF(ISNUMBER(C461),OR(C461&lt;=0,C461&gt;100000000,ROUND(C461*100,6)&lt;&gt;INT(ROUND(C461*100,6))),TRUE)),IF(D461="",FALSE,IF(ISNUMBER(D461),OR(D461&lt;=0,D461&gt;100000000,ROUND(D461*100,6)&lt;&gt;INT(ROUND(D461*100,6))),TRUE)),IF(E461="",FALSE,IF(ISNUMBER(E461),OR(E461&lt;=0,E461&gt;100000000,ROUND(E461*100,6)&lt;&gt;INT(ROUND(E461*100,6))),TRUE)),AND($D461&lt;&gt;"",$D461&lt;MAX($C461,$E461)),AND($E461&lt;&gt;"",$E461&gt;MIN($C461,IF($D461="",$C461,$D461))),COUNTIFS($A$2:$A$1001,$A461,$B$2:$B$1001,$B461)&gt;1),"INVALID",IFERROR(IF(IF(INDEX(Accounts!$T$2:$T$11,$F461),ROUND(IF($E461="",$C461,MIN($C461,$E461))-(H461),6)&lt;=0,ROUND(IF($E461="",$C461,MIN($C461,$E461))-(H461),6)&lt;0),"BREACHED","OK"),"INCOMPLETE")),"INVALID"))))</f>
        <v/>
      </c>
      <c r="J461" s="33">
        <f>IF(OR(I461="OK",I461="BREACHED"),-INT(ROUND(-(H461)*100,6))/100,I461)</f>
        <v/>
      </c>
    </row>
    <row r="462" ht="18" customHeight="1">
      <c r="A462" s="9" t="n"/>
      <c r="B462" s="32" t="n"/>
      <c r="C462" s="12" t="n"/>
      <c r="D462" s="12" t="n"/>
      <c r="E462" s="12" t="n"/>
      <c r="F462" s="15">
        <f>IFERROR(MATCH($A462,Accounts!$A$2:$A$11,0),"")</f>
        <v/>
      </c>
      <c r="G462" s="14">
        <f>IFERROR(IF(OR($A462="",$F462=""),"",IF(INDEX(Accounts!$P$2:$P$11,$F462)="static",INDEX(Accounts!$Q$2:$Q$11,$F462),IF(INDEX(Accounts!$P$2:$P$11,$F462)="eod_trailing",MAX(INDEX(Accounts!$Q$2:$Q$11,$F462),_xlfn.MAXIFS($C$2:$C$1001,$A$2:$A$1001,$A462,$B$2:$B$1001,"&lt;"&amp;$B462)),MAX(INDEX(Accounts!$Q$2:$Q$11,$F462),_xlfn.MAXIFS($C$2:$C$1001,$A$2:$A$1001,$A462,$B$2:$B$1001,"&lt;"&amp;$B462),_xlfn.MAXIFS($D$2:$D$1001,$A$2:$A$1001,$A462,$B$2:$B$1001,"&lt;="&amp;$B462),$C462)))),"")</f>
        <v/>
      </c>
      <c r="H462" s="15">
        <f>IFERROR(IF(G462="","",IF(INDEX(Accounts!$P$2:$P$11,$F462)="static",INDEX(Accounts!$Q$2:$Q$11,$F462)-INDEX(Accounts!$R$2:$R$11,$F462),IF(INDEX(Accounts!$S$2:$S$11,$F462)="NONE",G462-INDEX(Accounts!$R$2:$R$11,$F462),MIN(G462-INDEX(Accounts!$R$2:$R$11,$F462),INDEX(Accounts!$Q$2:$Q$11,$F462)+INDEX(Accounts!$S$2:$S$11,$F462))))),"")</f>
        <v/>
      </c>
      <c r="I462" s="16">
        <f>IF(AND($A462="",$B462="",$C462="",$D462="",$E462=""),"",IF(OR($A462="",$F462=""),"UNKNOWN_ACCOUNT",IF(OR($B462="",$C462=""),"INCOMPLETE",IFERROR(IF(OR(NOT(ISNUMBER($B462)),NOT(ISNUMBER($C462)),IF(C462="",FALSE,IF(ISNUMBER(C462),OR(C462&lt;=0,C462&gt;100000000,ROUND(C462*100,6)&lt;&gt;INT(ROUND(C462*100,6))),TRUE)),IF(D462="",FALSE,IF(ISNUMBER(D462),OR(D462&lt;=0,D462&gt;100000000,ROUND(D462*100,6)&lt;&gt;INT(ROUND(D462*100,6))),TRUE)),IF(E462="",FALSE,IF(ISNUMBER(E462),OR(E462&lt;=0,E462&gt;100000000,ROUND(E462*100,6)&lt;&gt;INT(ROUND(E462*100,6))),TRUE)),AND($D462&lt;&gt;"",$D462&lt;MAX($C462,$E462)),AND($E462&lt;&gt;"",$E462&gt;MIN($C462,IF($D462="",$C462,$D462))),COUNTIFS($A$2:$A$1001,$A462,$B$2:$B$1001,$B462)&gt;1),"INVALID",IFERROR(IF(IF(INDEX(Accounts!$T$2:$T$11,$F462),ROUND(IF($E462="",$C462,MIN($C462,$E462))-(H462),6)&lt;=0,ROUND(IF($E462="",$C462,MIN($C462,$E462))-(H462),6)&lt;0),"BREACHED","OK"),"INCOMPLETE")),"INVALID"))))</f>
        <v/>
      </c>
      <c r="J462" s="33">
        <f>IF(OR(I462="OK",I462="BREACHED"),-INT(ROUND(-(H462)*100,6))/100,I462)</f>
        <v/>
      </c>
    </row>
    <row r="463" ht="18" customHeight="1">
      <c r="A463" s="9" t="n"/>
      <c r="B463" s="32" t="n"/>
      <c r="C463" s="12" t="n"/>
      <c r="D463" s="12" t="n"/>
      <c r="E463" s="12" t="n"/>
      <c r="F463" s="15">
        <f>IFERROR(MATCH($A463,Accounts!$A$2:$A$11,0),"")</f>
        <v/>
      </c>
      <c r="G463" s="14">
        <f>IFERROR(IF(OR($A463="",$F463=""),"",IF(INDEX(Accounts!$P$2:$P$11,$F463)="static",INDEX(Accounts!$Q$2:$Q$11,$F463),IF(INDEX(Accounts!$P$2:$P$11,$F463)="eod_trailing",MAX(INDEX(Accounts!$Q$2:$Q$11,$F463),_xlfn.MAXIFS($C$2:$C$1001,$A$2:$A$1001,$A463,$B$2:$B$1001,"&lt;"&amp;$B463)),MAX(INDEX(Accounts!$Q$2:$Q$11,$F463),_xlfn.MAXIFS($C$2:$C$1001,$A$2:$A$1001,$A463,$B$2:$B$1001,"&lt;"&amp;$B463),_xlfn.MAXIFS($D$2:$D$1001,$A$2:$A$1001,$A463,$B$2:$B$1001,"&lt;="&amp;$B463),$C463)))),"")</f>
        <v/>
      </c>
      <c r="H463" s="15">
        <f>IFERROR(IF(G463="","",IF(INDEX(Accounts!$P$2:$P$11,$F463)="static",INDEX(Accounts!$Q$2:$Q$11,$F463)-INDEX(Accounts!$R$2:$R$11,$F463),IF(INDEX(Accounts!$S$2:$S$11,$F463)="NONE",G463-INDEX(Accounts!$R$2:$R$11,$F463),MIN(G463-INDEX(Accounts!$R$2:$R$11,$F463),INDEX(Accounts!$Q$2:$Q$11,$F463)+INDEX(Accounts!$S$2:$S$11,$F463))))),"")</f>
        <v/>
      </c>
      <c r="I463" s="16">
        <f>IF(AND($A463="",$B463="",$C463="",$D463="",$E463=""),"",IF(OR($A463="",$F463=""),"UNKNOWN_ACCOUNT",IF(OR($B463="",$C463=""),"INCOMPLETE",IFERROR(IF(OR(NOT(ISNUMBER($B463)),NOT(ISNUMBER($C463)),IF(C463="",FALSE,IF(ISNUMBER(C463),OR(C463&lt;=0,C463&gt;100000000,ROUND(C463*100,6)&lt;&gt;INT(ROUND(C463*100,6))),TRUE)),IF(D463="",FALSE,IF(ISNUMBER(D463),OR(D463&lt;=0,D463&gt;100000000,ROUND(D463*100,6)&lt;&gt;INT(ROUND(D463*100,6))),TRUE)),IF(E463="",FALSE,IF(ISNUMBER(E463),OR(E463&lt;=0,E463&gt;100000000,ROUND(E463*100,6)&lt;&gt;INT(ROUND(E463*100,6))),TRUE)),AND($D463&lt;&gt;"",$D463&lt;MAX($C463,$E463)),AND($E463&lt;&gt;"",$E463&gt;MIN($C463,IF($D463="",$C463,$D463))),COUNTIFS($A$2:$A$1001,$A463,$B$2:$B$1001,$B463)&gt;1),"INVALID",IFERROR(IF(IF(INDEX(Accounts!$T$2:$T$11,$F463),ROUND(IF($E463="",$C463,MIN($C463,$E463))-(H463),6)&lt;=0,ROUND(IF($E463="",$C463,MIN($C463,$E463))-(H463),6)&lt;0),"BREACHED","OK"),"INCOMPLETE")),"INVALID"))))</f>
        <v/>
      </c>
      <c r="J463" s="33">
        <f>IF(OR(I463="OK",I463="BREACHED"),-INT(ROUND(-(H463)*100,6))/100,I463)</f>
        <v/>
      </c>
    </row>
    <row r="464" ht="18" customHeight="1">
      <c r="A464" s="9" t="n"/>
      <c r="B464" s="32" t="n"/>
      <c r="C464" s="12" t="n"/>
      <c r="D464" s="12" t="n"/>
      <c r="E464" s="12" t="n"/>
      <c r="F464" s="15">
        <f>IFERROR(MATCH($A464,Accounts!$A$2:$A$11,0),"")</f>
        <v/>
      </c>
      <c r="G464" s="14">
        <f>IFERROR(IF(OR($A464="",$F464=""),"",IF(INDEX(Accounts!$P$2:$P$11,$F464)="static",INDEX(Accounts!$Q$2:$Q$11,$F464),IF(INDEX(Accounts!$P$2:$P$11,$F464)="eod_trailing",MAX(INDEX(Accounts!$Q$2:$Q$11,$F464),_xlfn.MAXIFS($C$2:$C$1001,$A$2:$A$1001,$A464,$B$2:$B$1001,"&lt;"&amp;$B464)),MAX(INDEX(Accounts!$Q$2:$Q$11,$F464),_xlfn.MAXIFS($C$2:$C$1001,$A$2:$A$1001,$A464,$B$2:$B$1001,"&lt;"&amp;$B464),_xlfn.MAXIFS($D$2:$D$1001,$A$2:$A$1001,$A464,$B$2:$B$1001,"&lt;="&amp;$B464),$C464)))),"")</f>
        <v/>
      </c>
      <c r="H464" s="15">
        <f>IFERROR(IF(G464="","",IF(INDEX(Accounts!$P$2:$P$11,$F464)="static",INDEX(Accounts!$Q$2:$Q$11,$F464)-INDEX(Accounts!$R$2:$R$11,$F464),IF(INDEX(Accounts!$S$2:$S$11,$F464)="NONE",G464-INDEX(Accounts!$R$2:$R$11,$F464),MIN(G464-INDEX(Accounts!$R$2:$R$11,$F464),INDEX(Accounts!$Q$2:$Q$11,$F464)+INDEX(Accounts!$S$2:$S$11,$F464))))),"")</f>
        <v/>
      </c>
      <c r="I464" s="16">
        <f>IF(AND($A464="",$B464="",$C464="",$D464="",$E464=""),"",IF(OR($A464="",$F464=""),"UNKNOWN_ACCOUNT",IF(OR($B464="",$C464=""),"INCOMPLETE",IFERROR(IF(OR(NOT(ISNUMBER($B464)),NOT(ISNUMBER($C464)),IF(C464="",FALSE,IF(ISNUMBER(C464),OR(C464&lt;=0,C464&gt;100000000,ROUND(C464*100,6)&lt;&gt;INT(ROUND(C464*100,6))),TRUE)),IF(D464="",FALSE,IF(ISNUMBER(D464),OR(D464&lt;=0,D464&gt;100000000,ROUND(D464*100,6)&lt;&gt;INT(ROUND(D464*100,6))),TRUE)),IF(E464="",FALSE,IF(ISNUMBER(E464),OR(E464&lt;=0,E464&gt;100000000,ROUND(E464*100,6)&lt;&gt;INT(ROUND(E464*100,6))),TRUE)),AND($D464&lt;&gt;"",$D464&lt;MAX($C464,$E464)),AND($E464&lt;&gt;"",$E464&gt;MIN($C464,IF($D464="",$C464,$D464))),COUNTIFS($A$2:$A$1001,$A464,$B$2:$B$1001,$B464)&gt;1),"INVALID",IFERROR(IF(IF(INDEX(Accounts!$T$2:$T$11,$F464),ROUND(IF($E464="",$C464,MIN($C464,$E464))-(H464),6)&lt;=0,ROUND(IF($E464="",$C464,MIN($C464,$E464))-(H464),6)&lt;0),"BREACHED","OK"),"INCOMPLETE")),"INVALID"))))</f>
        <v/>
      </c>
      <c r="J464" s="33">
        <f>IF(OR(I464="OK",I464="BREACHED"),-INT(ROUND(-(H464)*100,6))/100,I464)</f>
        <v/>
      </c>
    </row>
    <row r="465" ht="18" customHeight="1">
      <c r="A465" s="9" t="n"/>
      <c r="B465" s="32" t="n"/>
      <c r="C465" s="12" t="n"/>
      <c r="D465" s="12" t="n"/>
      <c r="E465" s="12" t="n"/>
      <c r="F465" s="15">
        <f>IFERROR(MATCH($A465,Accounts!$A$2:$A$11,0),"")</f>
        <v/>
      </c>
      <c r="G465" s="14">
        <f>IFERROR(IF(OR($A465="",$F465=""),"",IF(INDEX(Accounts!$P$2:$P$11,$F465)="static",INDEX(Accounts!$Q$2:$Q$11,$F465),IF(INDEX(Accounts!$P$2:$P$11,$F465)="eod_trailing",MAX(INDEX(Accounts!$Q$2:$Q$11,$F465),_xlfn.MAXIFS($C$2:$C$1001,$A$2:$A$1001,$A465,$B$2:$B$1001,"&lt;"&amp;$B465)),MAX(INDEX(Accounts!$Q$2:$Q$11,$F465),_xlfn.MAXIFS($C$2:$C$1001,$A$2:$A$1001,$A465,$B$2:$B$1001,"&lt;"&amp;$B465),_xlfn.MAXIFS($D$2:$D$1001,$A$2:$A$1001,$A465,$B$2:$B$1001,"&lt;="&amp;$B465),$C465)))),"")</f>
        <v/>
      </c>
      <c r="H465" s="15">
        <f>IFERROR(IF(G465="","",IF(INDEX(Accounts!$P$2:$P$11,$F465)="static",INDEX(Accounts!$Q$2:$Q$11,$F465)-INDEX(Accounts!$R$2:$R$11,$F465),IF(INDEX(Accounts!$S$2:$S$11,$F465)="NONE",G465-INDEX(Accounts!$R$2:$R$11,$F465),MIN(G465-INDEX(Accounts!$R$2:$R$11,$F465),INDEX(Accounts!$Q$2:$Q$11,$F465)+INDEX(Accounts!$S$2:$S$11,$F465))))),"")</f>
        <v/>
      </c>
      <c r="I465" s="16">
        <f>IF(AND($A465="",$B465="",$C465="",$D465="",$E465=""),"",IF(OR($A465="",$F465=""),"UNKNOWN_ACCOUNT",IF(OR($B465="",$C465=""),"INCOMPLETE",IFERROR(IF(OR(NOT(ISNUMBER($B465)),NOT(ISNUMBER($C465)),IF(C465="",FALSE,IF(ISNUMBER(C465),OR(C465&lt;=0,C465&gt;100000000,ROUND(C465*100,6)&lt;&gt;INT(ROUND(C465*100,6))),TRUE)),IF(D465="",FALSE,IF(ISNUMBER(D465),OR(D465&lt;=0,D465&gt;100000000,ROUND(D465*100,6)&lt;&gt;INT(ROUND(D465*100,6))),TRUE)),IF(E465="",FALSE,IF(ISNUMBER(E465),OR(E465&lt;=0,E465&gt;100000000,ROUND(E465*100,6)&lt;&gt;INT(ROUND(E465*100,6))),TRUE)),AND($D465&lt;&gt;"",$D465&lt;MAX($C465,$E465)),AND($E465&lt;&gt;"",$E465&gt;MIN($C465,IF($D465="",$C465,$D465))),COUNTIFS($A$2:$A$1001,$A465,$B$2:$B$1001,$B465)&gt;1),"INVALID",IFERROR(IF(IF(INDEX(Accounts!$T$2:$T$11,$F465),ROUND(IF($E465="",$C465,MIN($C465,$E465))-(H465),6)&lt;=0,ROUND(IF($E465="",$C465,MIN($C465,$E465))-(H465),6)&lt;0),"BREACHED","OK"),"INCOMPLETE")),"INVALID"))))</f>
        <v/>
      </c>
      <c r="J465" s="33">
        <f>IF(OR(I465="OK",I465="BREACHED"),-INT(ROUND(-(H465)*100,6))/100,I465)</f>
        <v/>
      </c>
    </row>
    <row r="466" ht="18" customHeight="1">
      <c r="A466" s="9" t="n"/>
      <c r="B466" s="32" t="n"/>
      <c r="C466" s="12" t="n"/>
      <c r="D466" s="12" t="n"/>
      <c r="E466" s="12" t="n"/>
      <c r="F466" s="15">
        <f>IFERROR(MATCH($A466,Accounts!$A$2:$A$11,0),"")</f>
        <v/>
      </c>
      <c r="G466" s="14">
        <f>IFERROR(IF(OR($A466="",$F466=""),"",IF(INDEX(Accounts!$P$2:$P$11,$F466)="static",INDEX(Accounts!$Q$2:$Q$11,$F466),IF(INDEX(Accounts!$P$2:$P$11,$F466)="eod_trailing",MAX(INDEX(Accounts!$Q$2:$Q$11,$F466),_xlfn.MAXIFS($C$2:$C$1001,$A$2:$A$1001,$A466,$B$2:$B$1001,"&lt;"&amp;$B466)),MAX(INDEX(Accounts!$Q$2:$Q$11,$F466),_xlfn.MAXIFS($C$2:$C$1001,$A$2:$A$1001,$A466,$B$2:$B$1001,"&lt;"&amp;$B466),_xlfn.MAXIFS($D$2:$D$1001,$A$2:$A$1001,$A466,$B$2:$B$1001,"&lt;="&amp;$B466),$C466)))),"")</f>
        <v/>
      </c>
      <c r="H466" s="15">
        <f>IFERROR(IF(G466="","",IF(INDEX(Accounts!$P$2:$P$11,$F466)="static",INDEX(Accounts!$Q$2:$Q$11,$F466)-INDEX(Accounts!$R$2:$R$11,$F466),IF(INDEX(Accounts!$S$2:$S$11,$F466)="NONE",G466-INDEX(Accounts!$R$2:$R$11,$F466),MIN(G466-INDEX(Accounts!$R$2:$R$11,$F466),INDEX(Accounts!$Q$2:$Q$11,$F466)+INDEX(Accounts!$S$2:$S$11,$F466))))),"")</f>
        <v/>
      </c>
      <c r="I466" s="16">
        <f>IF(AND($A466="",$B466="",$C466="",$D466="",$E466=""),"",IF(OR($A466="",$F466=""),"UNKNOWN_ACCOUNT",IF(OR($B466="",$C466=""),"INCOMPLETE",IFERROR(IF(OR(NOT(ISNUMBER($B466)),NOT(ISNUMBER($C466)),IF(C466="",FALSE,IF(ISNUMBER(C466),OR(C466&lt;=0,C466&gt;100000000,ROUND(C466*100,6)&lt;&gt;INT(ROUND(C466*100,6))),TRUE)),IF(D466="",FALSE,IF(ISNUMBER(D466),OR(D466&lt;=0,D466&gt;100000000,ROUND(D466*100,6)&lt;&gt;INT(ROUND(D466*100,6))),TRUE)),IF(E466="",FALSE,IF(ISNUMBER(E466),OR(E466&lt;=0,E466&gt;100000000,ROUND(E466*100,6)&lt;&gt;INT(ROUND(E466*100,6))),TRUE)),AND($D466&lt;&gt;"",$D466&lt;MAX($C466,$E466)),AND($E466&lt;&gt;"",$E466&gt;MIN($C466,IF($D466="",$C466,$D466))),COUNTIFS($A$2:$A$1001,$A466,$B$2:$B$1001,$B466)&gt;1),"INVALID",IFERROR(IF(IF(INDEX(Accounts!$T$2:$T$11,$F466),ROUND(IF($E466="",$C466,MIN($C466,$E466))-(H466),6)&lt;=0,ROUND(IF($E466="",$C466,MIN($C466,$E466))-(H466),6)&lt;0),"BREACHED","OK"),"INCOMPLETE")),"INVALID"))))</f>
        <v/>
      </c>
      <c r="J466" s="33">
        <f>IF(OR(I466="OK",I466="BREACHED"),-INT(ROUND(-(H466)*100,6))/100,I466)</f>
        <v/>
      </c>
    </row>
    <row r="467" ht="18" customHeight="1">
      <c r="A467" s="9" t="n"/>
      <c r="B467" s="32" t="n"/>
      <c r="C467" s="12" t="n"/>
      <c r="D467" s="12" t="n"/>
      <c r="E467" s="12" t="n"/>
      <c r="F467" s="15">
        <f>IFERROR(MATCH($A467,Accounts!$A$2:$A$11,0),"")</f>
        <v/>
      </c>
      <c r="G467" s="14">
        <f>IFERROR(IF(OR($A467="",$F467=""),"",IF(INDEX(Accounts!$P$2:$P$11,$F467)="static",INDEX(Accounts!$Q$2:$Q$11,$F467),IF(INDEX(Accounts!$P$2:$P$11,$F467)="eod_trailing",MAX(INDEX(Accounts!$Q$2:$Q$11,$F467),_xlfn.MAXIFS($C$2:$C$1001,$A$2:$A$1001,$A467,$B$2:$B$1001,"&lt;"&amp;$B467)),MAX(INDEX(Accounts!$Q$2:$Q$11,$F467),_xlfn.MAXIFS($C$2:$C$1001,$A$2:$A$1001,$A467,$B$2:$B$1001,"&lt;"&amp;$B467),_xlfn.MAXIFS($D$2:$D$1001,$A$2:$A$1001,$A467,$B$2:$B$1001,"&lt;="&amp;$B467),$C467)))),"")</f>
        <v/>
      </c>
      <c r="H467" s="15">
        <f>IFERROR(IF(G467="","",IF(INDEX(Accounts!$P$2:$P$11,$F467)="static",INDEX(Accounts!$Q$2:$Q$11,$F467)-INDEX(Accounts!$R$2:$R$11,$F467),IF(INDEX(Accounts!$S$2:$S$11,$F467)="NONE",G467-INDEX(Accounts!$R$2:$R$11,$F467),MIN(G467-INDEX(Accounts!$R$2:$R$11,$F467),INDEX(Accounts!$Q$2:$Q$11,$F467)+INDEX(Accounts!$S$2:$S$11,$F467))))),"")</f>
        <v/>
      </c>
      <c r="I467" s="16">
        <f>IF(AND($A467="",$B467="",$C467="",$D467="",$E467=""),"",IF(OR($A467="",$F467=""),"UNKNOWN_ACCOUNT",IF(OR($B467="",$C467=""),"INCOMPLETE",IFERROR(IF(OR(NOT(ISNUMBER($B467)),NOT(ISNUMBER($C467)),IF(C467="",FALSE,IF(ISNUMBER(C467),OR(C467&lt;=0,C467&gt;100000000,ROUND(C467*100,6)&lt;&gt;INT(ROUND(C467*100,6))),TRUE)),IF(D467="",FALSE,IF(ISNUMBER(D467),OR(D467&lt;=0,D467&gt;100000000,ROUND(D467*100,6)&lt;&gt;INT(ROUND(D467*100,6))),TRUE)),IF(E467="",FALSE,IF(ISNUMBER(E467),OR(E467&lt;=0,E467&gt;100000000,ROUND(E467*100,6)&lt;&gt;INT(ROUND(E467*100,6))),TRUE)),AND($D467&lt;&gt;"",$D467&lt;MAX($C467,$E467)),AND($E467&lt;&gt;"",$E467&gt;MIN($C467,IF($D467="",$C467,$D467))),COUNTIFS($A$2:$A$1001,$A467,$B$2:$B$1001,$B467)&gt;1),"INVALID",IFERROR(IF(IF(INDEX(Accounts!$T$2:$T$11,$F467),ROUND(IF($E467="",$C467,MIN($C467,$E467))-(H467),6)&lt;=0,ROUND(IF($E467="",$C467,MIN($C467,$E467))-(H467),6)&lt;0),"BREACHED","OK"),"INCOMPLETE")),"INVALID"))))</f>
        <v/>
      </c>
      <c r="J467" s="33">
        <f>IF(OR(I467="OK",I467="BREACHED"),-INT(ROUND(-(H467)*100,6))/100,I467)</f>
        <v/>
      </c>
    </row>
    <row r="468" ht="18" customHeight="1">
      <c r="A468" s="9" t="n"/>
      <c r="B468" s="32" t="n"/>
      <c r="C468" s="12" t="n"/>
      <c r="D468" s="12" t="n"/>
      <c r="E468" s="12" t="n"/>
      <c r="F468" s="15">
        <f>IFERROR(MATCH($A468,Accounts!$A$2:$A$11,0),"")</f>
        <v/>
      </c>
      <c r="G468" s="14">
        <f>IFERROR(IF(OR($A468="",$F468=""),"",IF(INDEX(Accounts!$P$2:$P$11,$F468)="static",INDEX(Accounts!$Q$2:$Q$11,$F468),IF(INDEX(Accounts!$P$2:$P$11,$F468)="eod_trailing",MAX(INDEX(Accounts!$Q$2:$Q$11,$F468),_xlfn.MAXIFS($C$2:$C$1001,$A$2:$A$1001,$A468,$B$2:$B$1001,"&lt;"&amp;$B468)),MAX(INDEX(Accounts!$Q$2:$Q$11,$F468),_xlfn.MAXIFS($C$2:$C$1001,$A$2:$A$1001,$A468,$B$2:$B$1001,"&lt;"&amp;$B468),_xlfn.MAXIFS($D$2:$D$1001,$A$2:$A$1001,$A468,$B$2:$B$1001,"&lt;="&amp;$B468),$C468)))),"")</f>
        <v/>
      </c>
      <c r="H468" s="15">
        <f>IFERROR(IF(G468="","",IF(INDEX(Accounts!$P$2:$P$11,$F468)="static",INDEX(Accounts!$Q$2:$Q$11,$F468)-INDEX(Accounts!$R$2:$R$11,$F468),IF(INDEX(Accounts!$S$2:$S$11,$F468)="NONE",G468-INDEX(Accounts!$R$2:$R$11,$F468),MIN(G468-INDEX(Accounts!$R$2:$R$11,$F468),INDEX(Accounts!$Q$2:$Q$11,$F468)+INDEX(Accounts!$S$2:$S$11,$F468))))),"")</f>
        <v/>
      </c>
      <c r="I468" s="16">
        <f>IF(AND($A468="",$B468="",$C468="",$D468="",$E468=""),"",IF(OR($A468="",$F468=""),"UNKNOWN_ACCOUNT",IF(OR($B468="",$C468=""),"INCOMPLETE",IFERROR(IF(OR(NOT(ISNUMBER($B468)),NOT(ISNUMBER($C468)),IF(C468="",FALSE,IF(ISNUMBER(C468),OR(C468&lt;=0,C468&gt;100000000,ROUND(C468*100,6)&lt;&gt;INT(ROUND(C468*100,6))),TRUE)),IF(D468="",FALSE,IF(ISNUMBER(D468),OR(D468&lt;=0,D468&gt;100000000,ROUND(D468*100,6)&lt;&gt;INT(ROUND(D468*100,6))),TRUE)),IF(E468="",FALSE,IF(ISNUMBER(E468),OR(E468&lt;=0,E468&gt;100000000,ROUND(E468*100,6)&lt;&gt;INT(ROUND(E468*100,6))),TRUE)),AND($D468&lt;&gt;"",$D468&lt;MAX($C468,$E468)),AND($E468&lt;&gt;"",$E468&gt;MIN($C468,IF($D468="",$C468,$D468))),COUNTIFS($A$2:$A$1001,$A468,$B$2:$B$1001,$B468)&gt;1),"INVALID",IFERROR(IF(IF(INDEX(Accounts!$T$2:$T$11,$F468),ROUND(IF($E468="",$C468,MIN($C468,$E468))-(H468),6)&lt;=0,ROUND(IF($E468="",$C468,MIN($C468,$E468))-(H468),6)&lt;0),"BREACHED","OK"),"INCOMPLETE")),"INVALID"))))</f>
        <v/>
      </c>
      <c r="J468" s="33">
        <f>IF(OR(I468="OK",I468="BREACHED"),-INT(ROUND(-(H468)*100,6))/100,I468)</f>
        <v/>
      </c>
    </row>
    <row r="469" ht="18" customHeight="1">
      <c r="A469" s="9" t="n"/>
      <c r="B469" s="32" t="n"/>
      <c r="C469" s="12" t="n"/>
      <c r="D469" s="12" t="n"/>
      <c r="E469" s="12" t="n"/>
      <c r="F469" s="15">
        <f>IFERROR(MATCH($A469,Accounts!$A$2:$A$11,0),"")</f>
        <v/>
      </c>
      <c r="G469" s="14">
        <f>IFERROR(IF(OR($A469="",$F469=""),"",IF(INDEX(Accounts!$P$2:$P$11,$F469)="static",INDEX(Accounts!$Q$2:$Q$11,$F469),IF(INDEX(Accounts!$P$2:$P$11,$F469)="eod_trailing",MAX(INDEX(Accounts!$Q$2:$Q$11,$F469),_xlfn.MAXIFS($C$2:$C$1001,$A$2:$A$1001,$A469,$B$2:$B$1001,"&lt;"&amp;$B469)),MAX(INDEX(Accounts!$Q$2:$Q$11,$F469),_xlfn.MAXIFS($C$2:$C$1001,$A$2:$A$1001,$A469,$B$2:$B$1001,"&lt;"&amp;$B469),_xlfn.MAXIFS($D$2:$D$1001,$A$2:$A$1001,$A469,$B$2:$B$1001,"&lt;="&amp;$B469),$C469)))),"")</f>
        <v/>
      </c>
      <c r="H469" s="15">
        <f>IFERROR(IF(G469="","",IF(INDEX(Accounts!$P$2:$P$11,$F469)="static",INDEX(Accounts!$Q$2:$Q$11,$F469)-INDEX(Accounts!$R$2:$R$11,$F469),IF(INDEX(Accounts!$S$2:$S$11,$F469)="NONE",G469-INDEX(Accounts!$R$2:$R$11,$F469),MIN(G469-INDEX(Accounts!$R$2:$R$11,$F469),INDEX(Accounts!$Q$2:$Q$11,$F469)+INDEX(Accounts!$S$2:$S$11,$F469))))),"")</f>
        <v/>
      </c>
      <c r="I469" s="16">
        <f>IF(AND($A469="",$B469="",$C469="",$D469="",$E469=""),"",IF(OR($A469="",$F469=""),"UNKNOWN_ACCOUNT",IF(OR($B469="",$C469=""),"INCOMPLETE",IFERROR(IF(OR(NOT(ISNUMBER($B469)),NOT(ISNUMBER($C469)),IF(C469="",FALSE,IF(ISNUMBER(C469),OR(C469&lt;=0,C469&gt;100000000,ROUND(C469*100,6)&lt;&gt;INT(ROUND(C469*100,6))),TRUE)),IF(D469="",FALSE,IF(ISNUMBER(D469),OR(D469&lt;=0,D469&gt;100000000,ROUND(D469*100,6)&lt;&gt;INT(ROUND(D469*100,6))),TRUE)),IF(E469="",FALSE,IF(ISNUMBER(E469),OR(E469&lt;=0,E469&gt;100000000,ROUND(E469*100,6)&lt;&gt;INT(ROUND(E469*100,6))),TRUE)),AND($D469&lt;&gt;"",$D469&lt;MAX($C469,$E469)),AND($E469&lt;&gt;"",$E469&gt;MIN($C469,IF($D469="",$C469,$D469))),COUNTIFS($A$2:$A$1001,$A469,$B$2:$B$1001,$B469)&gt;1),"INVALID",IFERROR(IF(IF(INDEX(Accounts!$T$2:$T$11,$F469),ROUND(IF($E469="",$C469,MIN($C469,$E469))-(H469),6)&lt;=0,ROUND(IF($E469="",$C469,MIN($C469,$E469))-(H469),6)&lt;0),"BREACHED","OK"),"INCOMPLETE")),"INVALID"))))</f>
        <v/>
      </c>
      <c r="J469" s="33">
        <f>IF(OR(I469="OK",I469="BREACHED"),-INT(ROUND(-(H469)*100,6))/100,I469)</f>
        <v/>
      </c>
    </row>
    <row r="470" ht="18" customHeight="1">
      <c r="A470" s="9" t="n"/>
      <c r="B470" s="32" t="n"/>
      <c r="C470" s="12" t="n"/>
      <c r="D470" s="12" t="n"/>
      <c r="E470" s="12" t="n"/>
      <c r="F470" s="15">
        <f>IFERROR(MATCH($A470,Accounts!$A$2:$A$11,0),"")</f>
        <v/>
      </c>
      <c r="G470" s="14">
        <f>IFERROR(IF(OR($A470="",$F470=""),"",IF(INDEX(Accounts!$P$2:$P$11,$F470)="static",INDEX(Accounts!$Q$2:$Q$11,$F470),IF(INDEX(Accounts!$P$2:$P$11,$F470)="eod_trailing",MAX(INDEX(Accounts!$Q$2:$Q$11,$F470),_xlfn.MAXIFS($C$2:$C$1001,$A$2:$A$1001,$A470,$B$2:$B$1001,"&lt;"&amp;$B470)),MAX(INDEX(Accounts!$Q$2:$Q$11,$F470),_xlfn.MAXIFS($C$2:$C$1001,$A$2:$A$1001,$A470,$B$2:$B$1001,"&lt;"&amp;$B470),_xlfn.MAXIFS($D$2:$D$1001,$A$2:$A$1001,$A470,$B$2:$B$1001,"&lt;="&amp;$B470),$C470)))),"")</f>
        <v/>
      </c>
      <c r="H470" s="15">
        <f>IFERROR(IF(G470="","",IF(INDEX(Accounts!$P$2:$P$11,$F470)="static",INDEX(Accounts!$Q$2:$Q$11,$F470)-INDEX(Accounts!$R$2:$R$11,$F470),IF(INDEX(Accounts!$S$2:$S$11,$F470)="NONE",G470-INDEX(Accounts!$R$2:$R$11,$F470),MIN(G470-INDEX(Accounts!$R$2:$R$11,$F470),INDEX(Accounts!$Q$2:$Q$11,$F470)+INDEX(Accounts!$S$2:$S$11,$F470))))),"")</f>
        <v/>
      </c>
      <c r="I470" s="16">
        <f>IF(AND($A470="",$B470="",$C470="",$D470="",$E470=""),"",IF(OR($A470="",$F470=""),"UNKNOWN_ACCOUNT",IF(OR($B470="",$C470=""),"INCOMPLETE",IFERROR(IF(OR(NOT(ISNUMBER($B470)),NOT(ISNUMBER($C470)),IF(C470="",FALSE,IF(ISNUMBER(C470),OR(C470&lt;=0,C470&gt;100000000,ROUND(C470*100,6)&lt;&gt;INT(ROUND(C470*100,6))),TRUE)),IF(D470="",FALSE,IF(ISNUMBER(D470),OR(D470&lt;=0,D470&gt;100000000,ROUND(D470*100,6)&lt;&gt;INT(ROUND(D470*100,6))),TRUE)),IF(E470="",FALSE,IF(ISNUMBER(E470),OR(E470&lt;=0,E470&gt;100000000,ROUND(E470*100,6)&lt;&gt;INT(ROUND(E470*100,6))),TRUE)),AND($D470&lt;&gt;"",$D470&lt;MAX($C470,$E470)),AND($E470&lt;&gt;"",$E470&gt;MIN($C470,IF($D470="",$C470,$D470))),COUNTIFS($A$2:$A$1001,$A470,$B$2:$B$1001,$B470)&gt;1),"INVALID",IFERROR(IF(IF(INDEX(Accounts!$T$2:$T$11,$F470),ROUND(IF($E470="",$C470,MIN($C470,$E470))-(H470),6)&lt;=0,ROUND(IF($E470="",$C470,MIN($C470,$E470))-(H470),6)&lt;0),"BREACHED","OK"),"INCOMPLETE")),"INVALID"))))</f>
        <v/>
      </c>
      <c r="J470" s="33">
        <f>IF(OR(I470="OK",I470="BREACHED"),-INT(ROUND(-(H470)*100,6))/100,I470)</f>
        <v/>
      </c>
    </row>
    <row r="471" ht="18" customHeight="1">
      <c r="A471" s="9" t="n"/>
      <c r="B471" s="32" t="n"/>
      <c r="C471" s="12" t="n"/>
      <c r="D471" s="12" t="n"/>
      <c r="E471" s="12" t="n"/>
      <c r="F471" s="15">
        <f>IFERROR(MATCH($A471,Accounts!$A$2:$A$11,0),"")</f>
        <v/>
      </c>
      <c r="G471" s="14">
        <f>IFERROR(IF(OR($A471="",$F471=""),"",IF(INDEX(Accounts!$P$2:$P$11,$F471)="static",INDEX(Accounts!$Q$2:$Q$11,$F471),IF(INDEX(Accounts!$P$2:$P$11,$F471)="eod_trailing",MAX(INDEX(Accounts!$Q$2:$Q$11,$F471),_xlfn.MAXIFS($C$2:$C$1001,$A$2:$A$1001,$A471,$B$2:$B$1001,"&lt;"&amp;$B471)),MAX(INDEX(Accounts!$Q$2:$Q$11,$F471),_xlfn.MAXIFS($C$2:$C$1001,$A$2:$A$1001,$A471,$B$2:$B$1001,"&lt;"&amp;$B471),_xlfn.MAXIFS($D$2:$D$1001,$A$2:$A$1001,$A471,$B$2:$B$1001,"&lt;="&amp;$B471),$C471)))),"")</f>
        <v/>
      </c>
      <c r="H471" s="15">
        <f>IFERROR(IF(G471="","",IF(INDEX(Accounts!$P$2:$P$11,$F471)="static",INDEX(Accounts!$Q$2:$Q$11,$F471)-INDEX(Accounts!$R$2:$R$11,$F471),IF(INDEX(Accounts!$S$2:$S$11,$F471)="NONE",G471-INDEX(Accounts!$R$2:$R$11,$F471),MIN(G471-INDEX(Accounts!$R$2:$R$11,$F471),INDEX(Accounts!$Q$2:$Q$11,$F471)+INDEX(Accounts!$S$2:$S$11,$F471))))),"")</f>
        <v/>
      </c>
      <c r="I471" s="16">
        <f>IF(AND($A471="",$B471="",$C471="",$D471="",$E471=""),"",IF(OR($A471="",$F471=""),"UNKNOWN_ACCOUNT",IF(OR($B471="",$C471=""),"INCOMPLETE",IFERROR(IF(OR(NOT(ISNUMBER($B471)),NOT(ISNUMBER($C471)),IF(C471="",FALSE,IF(ISNUMBER(C471),OR(C471&lt;=0,C471&gt;100000000,ROUND(C471*100,6)&lt;&gt;INT(ROUND(C471*100,6))),TRUE)),IF(D471="",FALSE,IF(ISNUMBER(D471),OR(D471&lt;=0,D471&gt;100000000,ROUND(D471*100,6)&lt;&gt;INT(ROUND(D471*100,6))),TRUE)),IF(E471="",FALSE,IF(ISNUMBER(E471),OR(E471&lt;=0,E471&gt;100000000,ROUND(E471*100,6)&lt;&gt;INT(ROUND(E471*100,6))),TRUE)),AND($D471&lt;&gt;"",$D471&lt;MAX($C471,$E471)),AND($E471&lt;&gt;"",$E471&gt;MIN($C471,IF($D471="",$C471,$D471))),COUNTIFS($A$2:$A$1001,$A471,$B$2:$B$1001,$B471)&gt;1),"INVALID",IFERROR(IF(IF(INDEX(Accounts!$T$2:$T$11,$F471),ROUND(IF($E471="",$C471,MIN($C471,$E471))-(H471),6)&lt;=0,ROUND(IF($E471="",$C471,MIN($C471,$E471))-(H471),6)&lt;0),"BREACHED","OK"),"INCOMPLETE")),"INVALID"))))</f>
        <v/>
      </c>
      <c r="J471" s="33">
        <f>IF(OR(I471="OK",I471="BREACHED"),-INT(ROUND(-(H471)*100,6))/100,I471)</f>
        <v/>
      </c>
    </row>
    <row r="472" ht="18" customHeight="1">
      <c r="A472" s="9" t="n"/>
      <c r="B472" s="32" t="n"/>
      <c r="C472" s="12" t="n"/>
      <c r="D472" s="12" t="n"/>
      <c r="E472" s="12" t="n"/>
      <c r="F472" s="15">
        <f>IFERROR(MATCH($A472,Accounts!$A$2:$A$11,0),"")</f>
        <v/>
      </c>
      <c r="G472" s="14">
        <f>IFERROR(IF(OR($A472="",$F472=""),"",IF(INDEX(Accounts!$P$2:$P$11,$F472)="static",INDEX(Accounts!$Q$2:$Q$11,$F472),IF(INDEX(Accounts!$P$2:$P$11,$F472)="eod_trailing",MAX(INDEX(Accounts!$Q$2:$Q$11,$F472),_xlfn.MAXIFS($C$2:$C$1001,$A$2:$A$1001,$A472,$B$2:$B$1001,"&lt;"&amp;$B472)),MAX(INDEX(Accounts!$Q$2:$Q$11,$F472),_xlfn.MAXIFS($C$2:$C$1001,$A$2:$A$1001,$A472,$B$2:$B$1001,"&lt;"&amp;$B472),_xlfn.MAXIFS($D$2:$D$1001,$A$2:$A$1001,$A472,$B$2:$B$1001,"&lt;="&amp;$B472),$C472)))),"")</f>
        <v/>
      </c>
      <c r="H472" s="15">
        <f>IFERROR(IF(G472="","",IF(INDEX(Accounts!$P$2:$P$11,$F472)="static",INDEX(Accounts!$Q$2:$Q$11,$F472)-INDEX(Accounts!$R$2:$R$11,$F472),IF(INDEX(Accounts!$S$2:$S$11,$F472)="NONE",G472-INDEX(Accounts!$R$2:$R$11,$F472),MIN(G472-INDEX(Accounts!$R$2:$R$11,$F472),INDEX(Accounts!$Q$2:$Q$11,$F472)+INDEX(Accounts!$S$2:$S$11,$F472))))),"")</f>
        <v/>
      </c>
      <c r="I472" s="16">
        <f>IF(AND($A472="",$B472="",$C472="",$D472="",$E472=""),"",IF(OR($A472="",$F472=""),"UNKNOWN_ACCOUNT",IF(OR($B472="",$C472=""),"INCOMPLETE",IFERROR(IF(OR(NOT(ISNUMBER($B472)),NOT(ISNUMBER($C472)),IF(C472="",FALSE,IF(ISNUMBER(C472),OR(C472&lt;=0,C472&gt;100000000,ROUND(C472*100,6)&lt;&gt;INT(ROUND(C472*100,6))),TRUE)),IF(D472="",FALSE,IF(ISNUMBER(D472),OR(D472&lt;=0,D472&gt;100000000,ROUND(D472*100,6)&lt;&gt;INT(ROUND(D472*100,6))),TRUE)),IF(E472="",FALSE,IF(ISNUMBER(E472),OR(E472&lt;=0,E472&gt;100000000,ROUND(E472*100,6)&lt;&gt;INT(ROUND(E472*100,6))),TRUE)),AND($D472&lt;&gt;"",$D472&lt;MAX($C472,$E472)),AND($E472&lt;&gt;"",$E472&gt;MIN($C472,IF($D472="",$C472,$D472))),COUNTIFS($A$2:$A$1001,$A472,$B$2:$B$1001,$B472)&gt;1),"INVALID",IFERROR(IF(IF(INDEX(Accounts!$T$2:$T$11,$F472),ROUND(IF($E472="",$C472,MIN($C472,$E472))-(H472),6)&lt;=0,ROUND(IF($E472="",$C472,MIN($C472,$E472))-(H472),6)&lt;0),"BREACHED","OK"),"INCOMPLETE")),"INVALID"))))</f>
        <v/>
      </c>
      <c r="J472" s="33">
        <f>IF(OR(I472="OK",I472="BREACHED"),-INT(ROUND(-(H472)*100,6))/100,I472)</f>
        <v/>
      </c>
    </row>
    <row r="473" ht="18" customHeight="1">
      <c r="A473" s="9" t="n"/>
      <c r="B473" s="32" t="n"/>
      <c r="C473" s="12" t="n"/>
      <c r="D473" s="12" t="n"/>
      <c r="E473" s="12" t="n"/>
      <c r="F473" s="15">
        <f>IFERROR(MATCH($A473,Accounts!$A$2:$A$11,0),"")</f>
        <v/>
      </c>
      <c r="G473" s="14">
        <f>IFERROR(IF(OR($A473="",$F473=""),"",IF(INDEX(Accounts!$P$2:$P$11,$F473)="static",INDEX(Accounts!$Q$2:$Q$11,$F473),IF(INDEX(Accounts!$P$2:$P$11,$F473)="eod_trailing",MAX(INDEX(Accounts!$Q$2:$Q$11,$F473),_xlfn.MAXIFS($C$2:$C$1001,$A$2:$A$1001,$A473,$B$2:$B$1001,"&lt;"&amp;$B473)),MAX(INDEX(Accounts!$Q$2:$Q$11,$F473),_xlfn.MAXIFS($C$2:$C$1001,$A$2:$A$1001,$A473,$B$2:$B$1001,"&lt;"&amp;$B473),_xlfn.MAXIFS($D$2:$D$1001,$A$2:$A$1001,$A473,$B$2:$B$1001,"&lt;="&amp;$B473),$C473)))),"")</f>
        <v/>
      </c>
      <c r="H473" s="15">
        <f>IFERROR(IF(G473="","",IF(INDEX(Accounts!$P$2:$P$11,$F473)="static",INDEX(Accounts!$Q$2:$Q$11,$F473)-INDEX(Accounts!$R$2:$R$11,$F473),IF(INDEX(Accounts!$S$2:$S$11,$F473)="NONE",G473-INDEX(Accounts!$R$2:$R$11,$F473),MIN(G473-INDEX(Accounts!$R$2:$R$11,$F473),INDEX(Accounts!$Q$2:$Q$11,$F473)+INDEX(Accounts!$S$2:$S$11,$F473))))),"")</f>
        <v/>
      </c>
      <c r="I473" s="16">
        <f>IF(AND($A473="",$B473="",$C473="",$D473="",$E473=""),"",IF(OR($A473="",$F473=""),"UNKNOWN_ACCOUNT",IF(OR($B473="",$C473=""),"INCOMPLETE",IFERROR(IF(OR(NOT(ISNUMBER($B473)),NOT(ISNUMBER($C473)),IF(C473="",FALSE,IF(ISNUMBER(C473),OR(C473&lt;=0,C473&gt;100000000,ROUND(C473*100,6)&lt;&gt;INT(ROUND(C473*100,6))),TRUE)),IF(D473="",FALSE,IF(ISNUMBER(D473),OR(D473&lt;=0,D473&gt;100000000,ROUND(D473*100,6)&lt;&gt;INT(ROUND(D473*100,6))),TRUE)),IF(E473="",FALSE,IF(ISNUMBER(E473),OR(E473&lt;=0,E473&gt;100000000,ROUND(E473*100,6)&lt;&gt;INT(ROUND(E473*100,6))),TRUE)),AND($D473&lt;&gt;"",$D473&lt;MAX($C473,$E473)),AND($E473&lt;&gt;"",$E473&gt;MIN($C473,IF($D473="",$C473,$D473))),COUNTIFS($A$2:$A$1001,$A473,$B$2:$B$1001,$B473)&gt;1),"INVALID",IFERROR(IF(IF(INDEX(Accounts!$T$2:$T$11,$F473),ROUND(IF($E473="",$C473,MIN($C473,$E473))-(H473),6)&lt;=0,ROUND(IF($E473="",$C473,MIN($C473,$E473))-(H473),6)&lt;0),"BREACHED","OK"),"INCOMPLETE")),"INVALID"))))</f>
        <v/>
      </c>
      <c r="J473" s="33">
        <f>IF(OR(I473="OK",I473="BREACHED"),-INT(ROUND(-(H473)*100,6))/100,I473)</f>
        <v/>
      </c>
    </row>
    <row r="474" ht="18" customHeight="1">
      <c r="A474" s="9" t="n"/>
      <c r="B474" s="32" t="n"/>
      <c r="C474" s="12" t="n"/>
      <c r="D474" s="12" t="n"/>
      <c r="E474" s="12" t="n"/>
      <c r="F474" s="15">
        <f>IFERROR(MATCH($A474,Accounts!$A$2:$A$11,0),"")</f>
        <v/>
      </c>
      <c r="G474" s="14">
        <f>IFERROR(IF(OR($A474="",$F474=""),"",IF(INDEX(Accounts!$P$2:$P$11,$F474)="static",INDEX(Accounts!$Q$2:$Q$11,$F474),IF(INDEX(Accounts!$P$2:$P$11,$F474)="eod_trailing",MAX(INDEX(Accounts!$Q$2:$Q$11,$F474),_xlfn.MAXIFS($C$2:$C$1001,$A$2:$A$1001,$A474,$B$2:$B$1001,"&lt;"&amp;$B474)),MAX(INDEX(Accounts!$Q$2:$Q$11,$F474),_xlfn.MAXIFS($C$2:$C$1001,$A$2:$A$1001,$A474,$B$2:$B$1001,"&lt;"&amp;$B474),_xlfn.MAXIFS($D$2:$D$1001,$A$2:$A$1001,$A474,$B$2:$B$1001,"&lt;="&amp;$B474),$C474)))),"")</f>
        <v/>
      </c>
      <c r="H474" s="15">
        <f>IFERROR(IF(G474="","",IF(INDEX(Accounts!$P$2:$P$11,$F474)="static",INDEX(Accounts!$Q$2:$Q$11,$F474)-INDEX(Accounts!$R$2:$R$11,$F474),IF(INDEX(Accounts!$S$2:$S$11,$F474)="NONE",G474-INDEX(Accounts!$R$2:$R$11,$F474),MIN(G474-INDEX(Accounts!$R$2:$R$11,$F474),INDEX(Accounts!$Q$2:$Q$11,$F474)+INDEX(Accounts!$S$2:$S$11,$F474))))),"")</f>
        <v/>
      </c>
      <c r="I474" s="16">
        <f>IF(AND($A474="",$B474="",$C474="",$D474="",$E474=""),"",IF(OR($A474="",$F474=""),"UNKNOWN_ACCOUNT",IF(OR($B474="",$C474=""),"INCOMPLETE",IFERROR(IF(OR(NOT(ISNUMBER($B474)),NOT(ISNUMBER($C474)),IF(C474="",FALSE,IF(ISNUMBER(C474),OR(C474&lt;=0,C474&gt;100000000,ROUND(C474*100,6)&lt;&gt;INT(ROUND(C474*100,6))),TRUE)),IF(D474="",FALSE,IF(ISNUMBER(D474),OR(D474&lt;=0,D474&gt;100000000,ROUND(D474*100,6)&lt;&gt;INT(ROUND(D474*100,6))),TRUE)),IF(E474="",FALSE,IF(ISNUMBER(E474),OR(E474&lt;=0,E474&gt;100000000,ROUND(E474*100,6)&lt;&gt;INT(ROUND(E474*100,6))),TRUE)),AND($D474&lt;&gt;"",$D474&lt;MAX($C474,$E474)),AND($E474&lt;&gt;"",$E474&gt;MIN($C474,IF($D474="",$C474,$D474))),COUNTIFS($A$2:$A$1001,$A474,$B$2:$B$1001,$B474)&gt;1),"INVALID",IFERROR(IF(IF(INDEX(Accounts!$T$2:$T$11,$F474),ROUND(IF($E474="",$C474,MIN($C474,$E474))-(H474),6)&lt;=0,ROUND(IF($E474="",$C474,MIN($C474,$E474))-(H474),6)&lt;0),"BREACHED","OK"),"INCOMPLETE")),"INVALID"))))</f>
        <v/>
      </c>
      <c r="J474" s="33">
        <f>IF(OR(I474="OK",I474="BREACHED"),-INT(ROUND(-(H474)*100,6))/100,I474)</f>
        <v/>
      </c>
    </row>
    <row r="475" ht="18" customHeight="1">
      <c r="A475" s="9" t="n"/>
      <c r="B475" s="32" t="n"/>
      <c r="C475" s="12" t="n"/>
      <c r="D475" s="12" t="n"/>
      <c r="E475" s="12" t="n"/>
      <c r="F475" s="15">
        <f>IFERROR(MATCH($A475,Accounts!$A$2:$A$11,0),"")</f>
        <v/>
      </c>
      <c r="G475" s="14">
        <f>IFERROR(IF(OR($A475="",$F475=""),"",IF(INDEX(Accounts!$P$2:$P$11,$F475)="static",INDEX(Accounts!$Q$2:$Q$11,$F475),IF(INDEX(Accounts!$P$2:$P$11,$F475)="eod_trailing",MAX(INDEX(Accounts!$Q$2:$Q$11,$F475),_xlfn.MAXIFS($C$2:$C$1001,$A$2:$A$1001,$A475,$B$2:$B$1001,"&lt;"&amp;$B475)),MAX(INDEX(Accounts!$Q$2:$Q$11,$F475),_xlfn.MAXIFS($C$2:$C$1001,$A$2:$A$1001,$A475,$B$2:$B$1001,"&lt;"&amp;$B475),_xlfn.MAXIFS($D$2:$D$1001,$A$2:$A$1001,$A475,$B$2:$B$1001,"&lt;="&amp;$B475),$C475)))),"")</f>
        <v/>
      </c>
      <c r="H475" s="15">
        <f>IFERROR(IF(G475="","",IF(INDEX(Accounts!$P$2:$P$11,$F475)="static",INDEX(Accounts!$Q$2:$Q$11,$F475)-INDEX(Accounts!$R$2:$R$11,$F475),IF(INDEX(Accounts!$S$2:$S$11,$F475)="NONE",G475-INDEX(Accounts!$R$2:$R$11,$F475),MIN(G475-INDEX(Accounts!$R$2:$R$11,$F475),INDEX(Accounts!$Q$2:$Q$11,$F475)+INDEX(Accounts!$S$2:$S$11,$F475))))),"")</f>
        <v/>
      </c>
      <c r="I475" s="16">
        <f>IF(AND($A475="",$B475="",$C475="",$D475="",$E475=""),"",IF(OR($A475="",$F475=""),"UNKNOWN_ACCOUNT",IF(OR($B475="",$C475=""),"INCOMPLETE",IFERROR(IF(OR(NOT(ISNUMBER($B475)),NOT(ISNUMBER($C475)),IF(C475="",FALSE,IF(ISNUMBER(C475),OR(C475&lt;=0,C475&gt;100000000,ROUND(C475*100,6)&lt;&gt;INT(ROUND(C475*100,6))),TRUE)),IF(D475="",FALSE,IF(ISNUMBER(D475),OR(D475&lt;=0,D475&gt;100000000,ROUND(D475*100,6)&lt;&gt;INT(ROUND(D475*100,6))),TRUE)),IF(E475="",FALSE,IF(ISNUMBER(E475),OR(E475&lt;=0,E475&gt;100000000,ROUND(E475*100,6)&lt;&gt;INT(ROUND(E475*100,6))),TRUE)),AND($D475&lt;&gt;"",$D475&lt;MAX($C475,$E475)),AND($E475&lt;&gt;"",$E475&gt;MIN($C475,IF($D475="",$C475,$D475))),COUNTIFS($A$2:$A$1001,$A475,$B$2:$B$1001,$B475)&gt;1),"INVALID",IFERROR(IF(IF(INDEX(Accounts!$T$2:$T$11,$F475),ROUND(IF($E475="",$C475,MIN($C475,$E475))-(H475),6)&lt;=0,ROUND(IF($E475="",$C475,MIN($C475,$E475))-(H475),6)&lt;0),"BREACHED","OK"),"INCOMPLETE")),"INVALID"))))</f>
        <v/>
      </c>
      <c r="J475" s="33">
        <f>IF(OR(I475="OK",I475="BREACHED"),-INT(ROUND(-(H475)*100,6))/100,I475)</f>
        <v/>
      </c>
    </row>
    <row r="476" ht="18" customHeight="1">
      <c r="A476" s="9" t="n"/>
      <c r="B476" s="32" t="n"/>
      <c r="C476" s="12" t="n"/>
      <c r="D476" s="12" t="n"/>
      <c r="E476" s="12" t="n"/>
      <c r="F476" s="15">
        <f>IFERROR(MATCH($A476,Accounts!$A$2:$A$11,0),"")</f>
        <v/>
      </c>
      <c r="G476" s="14">
        <f>IFERROR(IF(OR($A476="",$F476=""),"",IF(INDEX(Accounts!$P$2:$P$11,$F476)="static",INDEX(Accounts!$Q$2:$Q$11,$F476),IF(INDEX(Accounts!$P$2:$P$11,$F476)="eod_trailing",MAX(INDEX(Accounts!$Q$2:$Q$11,$F476),_xlfn.MAXIFS($C$2:$C$1001,$A$2:$A$1001,$A476,$B$2:$B$1001,"&lt;"&amp;$B476)),MAX(INDEX(Accounts!$Q$2:$Q$11,$F476),_xlfn.MAXIFS($C$2:$C$1001,$A$2:$A$1001,$A476,$B$2:$B$1001,"&lt;"&amp;$B476),_xlfn.MAXIFS($D$2:$D$1001,$A$2:$A$1001,$A476,$B$2:$B$1001,"&lt;="&amp;$B476),$C476)))),"")</f>
        <v/>
      </c>
      <c r="H476" s="15">
        <f>IFERROR(IF(G476="","",IF(INDEX(Accounts!$P$2:$P$11,$F476)="static",INDEX(Accounts!$Q$2:$Q$11,$F476)-INDEX(Accounts!$R$2:$R$11,$F476),IF(INDEX(Accounts!$S$2:$S$11,$F476)="NONE",G476-INDEX(Accounts!$R$2:$R$11,$F476),MIN(G476-INDEX(Accounts!$R$2:$R$11,$F476),INDEX(Accounts!$Q$2:$Q$11,$F476)+INDEX(Accounts!$S$2:$S$11,$F476))))),"")</f>
        <v/>
      </c>
      <c r="I476" s="16">
        <f>IF(AND($A476="",$B476="",$C476="",$D476="",$E476=""),"",IF(OR($A476="",$F476=""),"UNKNOWN_ACCOUNT",IF(OR($B476="",$C476=""),"INCOMPLETE",IFERROR(IF(OR(NOT(ISNUMBER($B476)),NOT(ISNUMBER($C476)),IF(C476="",FALSE,IF(ISNUMBER(C476),OR(C476&lt;=0,C476&gt;100000000,ROUND(C476*100,6)&lt;&gt;INT(ROUND(C476*100,6))),TRUE)),IF(D476="",FALSE,IF(ISNUMBER(D476),OR(D476&lt;=0,D476&gt;100000000,ROUND(D476*100,6)&lt;&gt;INT(ROUND(D476*100,6))),TRUE)),IF(E476="",FALSE,IF(ISNUMBER(E476),OR(E476&lt;=0,E476&gt;100000000,ROUND(E476*100,6)&lt;&gt;INT(ROUND(E476*100,6))),TRUE)),AND($D476&lt;&gt;"",$D476&lt;MAX($C476,$E476)),AND($E476&lt;&gt;"",$E476&gt;MIN($C476,IF($D476="",$C476,$D476))),COUNTIFS($A$2:$A$1001,$A476,$B$2:$B$1001,$B476)&gt;1),"INVALID",IFERROR(IF(IF(INDEX(Accounts!$T$2:$T$11,$F476),ROUND(IF($E476="",$C476,MIN($C476,$E476))-(H476),6)&lt;=0,ROUND(IF($E476="",$C476,MIN($C476,$E476))-(H476),6)&lt;0),"BREACHED","OK"),"INCOMPLETE")),"INVALID"))))</f>
        <v/>
      </c>
      <c r="J476" s="33">
        <f>IF(OR(I476="OK",I476="BREACHED"),-INT(ROUND(-(H476)*100,6))/100,I476)</f>
        <v/>
      </c>
    </row>
    <row r="477" ht="18" customHeight="1">
      <c r="A477" s="9" t="n"/>
      <c r="B477" s="32" t="n"/>
      <c r="C477" s="12" t="n"/>
      <c r="D477" s="12" t="n"/>
      <c r="E477" s="12" t="n"/>
      <c r="F477" s="15">
        <f>IFERROR(MATCH($A477,Accounts!$A$2:$A$11,0),"")</f>
        <v/>
      </c>
      <c r="G477" s="14">
        <f>IFERROR(IF(OR($A477="",$F477=""),"",IF(INDEX(Accounts!$P$2:$P$11,$F477)="static",INDEX(Accounts!$Q$2:$Q$11,$F477),IF(INDEX(Accounts!$P$2:$P$11,$F477)="eod_trailing",MAX(INDEX(Accounts!$Q$2:$Q$11,$F477),_xlfn.MAXIFS($C$2:$C$1001,$A$2:$A$1001,$A477,$B$2:$B$1001,"&lt;"&amp;$B477)),MAX(INDEX(Accounts!$Q$2:$Q$11,$F477),_xlfn.MAXIFS($C$2:$C$1001,$A$2:$A$1001,$A477,$B$2:$B$1001,"&lt;"&amp;$B477),_xlfn.MAXIFS($D$2:$D$1001,$A$2:$A$1001,$A477,$B$2:$B$1001,"&lt;="&amp;$B477),$C477)))),"")</f>
        <v/>
      </c>
      <c r="H477" s="15">
        <f>IFERROR(IF(G477="","",IF(INDEX(Accounts!$P$2:$P$11,$F477)="static",INDEX(Accounts!$Q$2:$Q$11,$F477)-INDEX(Accounts!$R$2:$R$11,$F477),IF(INDEX(Accounts!$S$2:$S$11,$F477)="NONE",G477-INDEX(Accounts!$R$2:$R$11,$F477),MIN(G477-INDEX(Accounts!$R$2:$R$11,$F477),INDEX(Accounts!$Q$2:$Q$11,$F477)+INDEX(Accounts!$S$2:$S$11,$F477))))),"")</f>
        <v/>
      </c>
      <c r="I477" s="16">
        <f>IF(AND($A477="",$B477="",$C477="",$D477="",$E477=""),"",IF(OR($A477="",$F477=""),"UNKNOWN_ACCOUNT",IF(OR($B477="",$C477=""),"INCOMPLETE",IFERROR(IF(OR(NOT(ISNUMBER($B477)),NOT(ISNUMBER($C477)),IF(C477="",FALSE,IF(ISNUMBER(C477),OR(C477&lt;=0,C477&gt;100000000,ROUND(C477*100,6)&lt;&gt;INT(ROUND(C477*100,6))),TRUE)),IF(D477="",FALSE,IF(ISNUMBER(D477),OR(D477&lt;=0,D477&gt;100000000,ROUND(D477*100,6)&lt;&gt;INT(ROUND(D477*100,6))),TRUE)),IF(E477="",FALSE,IF(ISNUMBER(E477),OR(E477&lt;=0,E477&gt;100000000,ROUND(E477*100,6)&lt;&gt;INT(ROUND(E477*100,6))),TRUE)),AND($D477&lt;&gt;"",$D477&lt;MAX($C477,$E477)),AND($E477&lt;&gt;"",$E477&gt;MIN($C477,IF($D477="",$C477,$D477))),COUNTIFS($A$2:$A$1001,$A477,$B$2:$B$1001,$B477)&gt;1),"INVALID",IFERROR(IF(IF(INDEX(Accounts!$T$2:$T$11,$F477),ROUND(IF($E477="",$C477,MIN($C477,$E477))-(H477),6)&lt;=0,ROUND(IF($E477="",$C477,MIN($C477,$E477))-(H477),6)&lt;0),"BREACHED","OK"),"INCOMPLETE")),"INVALID"))))</f>
        <v/>
      </c>
      <c r="J477" s="33">
        <f>IF(OR(I477="OK",I477="BREACHED"),-INT(ROUND(-(H477)*100,6))/100,I477)</f>
        <v/>
      </c>
    </row>
    <row r="478" ht="18" customHeight="1">
      <c r="A478" s="9" t="n"/>
      <c r="B478" s="32" t="n"/>
      <c r="C478" s="12" t="n"/>
      <c r="D478" s="12" t="n"/>
      <c r="E478" s="12" t="n"/>
      <c r="F478" s="15">
        <f>IFERROR(MATCH($A478,Accounts!$A$2:$A$11,0),"")</f>
        <v/>
      </c>
      <c r="G478" s="14">
        <f>IFERROR(IF(OR($A478="",$F478=""),"",IF(INDEX(Accounts!$P$2:$P$11,$F478)="static",INDEX(Accounts!$Q$2:$Q$11,$F478),IF(INDEX(Accounts!$P$2:$P$11,$F478)="eod_trailing",MAX(INDEX(Accounts!$Q$2:$Q$11,$F478),_xlfn.MAXIFS($C$2:$C$1001,$A$2:$A$1001,$A478,$B$2:$B$1001,"&lt;"&amp;$B478)),MAX(INDEX(Accounts!$Q$2:$Q$11,$F478),_xlfn.MAXIFS($C$2:$C$1001,$A$2:$A$1001,$A478,$B$2:$B$1001,"&lt;"&amp;$B478),_xlfn.MAXIFS($D$2:$D$1001,$A$2:$A$1001,$A478,$B$2:$B$1001,"&lt;="&amp;$B478),$C478)))),"")</f>
        <v/>
      </c>
      <c r="H478" s="15">
        <f>IFERROR(IF(G478="","",IF(INDEX(Accounts!$P$2:$P$11,$F478)="static",INDEX(Accounts!$Q$2:$Q$11,$F478)-INDEX(Accounts!$R$2:$R$11,$F478),IF(INDEX(Accounts!$S$2:$S$11,$F478)="NONE",G478-INDEX(Accounts!$R$2:$R$11,$F478),MIN(G478-INDEX(Accounts!$R$2:$R$11,$F478),INDEX(Accounts!$Q$2:$Q$11,$F478)+INDEX(Accounts!$S$2:$S$11,$F478))))),"")</f>
        <v/>
      </c>
      <c r="I478" s="16">
        <f>IF(AND($A478="",$B478="",$C478="",$D478="",$E478=""),"",IF(OR($A478="",$F478=""),"UNKNOWN_ACCOUNT",IF(OR($B478="",$C478=""),"INCOMPLETE",IFERROR(IF(OR(NOT(ISNUMBER($B478)),NOT(ISNUMBER($C478)),IF(C478="",FALSE,IF(ISNUMBER(C478),OR(C478&lt;=0,C478&gt;100000000,ROUND(C478*100,6)&lt;&gt;INT(ROUND(C478*100,6))),TRUE)),IF(D478="",FALSE,IF(ISNUMBER(D478),OR(D478&lt;=0,D478&gt;100000000,ROUND(D478*100,6)&lt;&gt;INT(ROUND(D478*100,6))),TRUE)),IF(E478="",FALSE,IF(ISNUMBER(E478),OR(E478&lt;=0,E478&gt;100000000,ROUND(E478*100,6)&lt;&gt;INT(ROUND(E478*100,6))),TRUE)),AND($D478&lt;&gt;"",$D478&lt;MAX($C478,$E478)),AND($E478&lt;&gt;"",$E478&gt;MIN($C478,IF($D478="",$C478,$D478))),COUNTIFS($A$2:$A$1001,$A478,$B$2:$B$1001,$B478)&gt;1),"INVALID",IFERROR(IF(IF(INDEX(Accounts!$T$2:$T$11,$F478),ROUND(IF($E478="",$C478,MIN($C478,$E478))-(H478),6)&lt;=0,ROUND(IF($E478="",$C478,MIN($C478,$E478))-(H478),6)&lt;0),"BREACHED","OK"),"INCOMPLETE")),"INVALID"))))</f>
        <v/>
      </c>
      <c r="J478" s="33">
        <f>IF(OR(I478="OK",I478="BREACHED"),-INT(ROUND(-(H478)*100,6))/100,I478)</f>
        <v/>
      </c>
    </row>
    <row r="479" ht="18" customHeight="1">
      <c r="A479" s="9" t="n"/>
      <c r="B479" s="32" t="n"/>
      <c r="C479" s="12" t="n"/>
      <c r="D479" s="12" t="n"/>
      <c r="E479" s="12" t="n"/>
      <c r="F479" s="15">
        <f>IFERROR(MATCH($A479,Accounts!$A$2:$A$11,0),"")</f>
        <v/>
      </c>
      <c r="G479" s="14">
        <f>IFERROR(IF(OR($A479="",$F479=""),"",IF(INDEX(Accounts!$P$2:$P$11,$F479)="static",INDEX(Accounts!$Q$2:$Q$11,$F479),IF(INDEX(Accounts!$P$2:$P$11,$F479)="eod_trailing",MAX(INDEX(Accounts!$Q$2:$Q$11,$F479),_xlfn.MAXIFS($C$2:$C$1001,$A$2:$A$1001,$A479,$B$2:$B$1001,"&lt;"&amp;$B479)),MAX(INDEX(Accounts!$Q$2:$Q$11,$F479),_xlfn.MAXIFS($C$2:$C$1001,$A$2:$A$1001,$A479,$B$2:$B$1001,"&lt;"&amp;$B479),_xlfn.MAXIFS($D$2:$D$1001,$A$2:$A$1001,$A479,$B$2:$B$1001,"&lt;="&amp;$B479),$C479)))),"")</f>
        <v/>
      </c>
      <c r="H479" s="15">
        <f>IFERROR(IF(G479="","",IF(INDEX(Accounts!$P$2:$P$11,$F479)="static",INDEX(Accounts!$Q$2:$Q$11,$F479)-INDEX(Accounts!$R$2:$R$11,$F479),IF(INDEX(Accounts!$S$2:$S$11,$F479)="NONE",G479-INDEX(Accounts!$R$2:$R$11,$F479),MIN(G479-INDEX(Accounts!$R$2:$R$11,$F479),INDEX(Accounts!$Q$2:$Q$11,$F479)+INDEX(Accounts!$S$2:$S$11,$F479))))),"")</f>
        <v/>
      </c>
      <c r="I479" s="16">
        <f>IF(AND($A479="",$B479="",$C479="",$D479="",$E479=""),"",IF(OR($A479="",$F479=""),"UNKNOWN_ACCOUNT",IF(OR($B479="",$C479=""),"INCOMPLETE",IFERROR(IF(OR(NOT(ISNUMBER($B479)),NOT(ISNUMBER($C479)),IF(C479="",FALSE,IF(ISNUMBER(C479),OR(C479&lt;=0,C479&gt;100000000,ROUND(C479*100,6)&lt;&gt;INT(ROUND(C479*100,6))),TRUE)),IF(D479="",FALSE,IF(ISNUMBER(D479),OR(D479&lt;=0,D479&gt;100000000,ROUND(D479*100,6)&lt;&gt;INT(ROUND(D479*100,6))),TRUE)),IF(E479="",FALSE,IF(ISNUMBER(E479),OR(E479&lt;=0,E479&gt;100000000,ROUND(E479*100,6)&lt;&gt;INT(ROUND(E479*100,6))),TRUE)),AND($D479&lt;&gt;"",$D479&lt;MAX($C479,$E479)),AND($E479&lt;&gt;"",$E479&gt;MIN($C479,IF($D479="",$C479,$D479))),COUNTIFS($A$2:$A$1001,$A479,$B$2:$B$1001,$B479)&gt;1),"INVALID",IFERROR(IF(IF(INDEX(Accounts!$T$2:$T$11,$F479),ROUND(IF($E479="",$C479,MIN($C479,$E479))-(H479),6)&lt;=0,ROUND(IF($E479="",$C479,MIN($C479,$E479))-(H479),6)&lt;0),"BREACHED","OK"),"INCOMPLETE")),"INVALID"))))</f>
        <v/>
      </c>
      <c r="J479" s="33">
        <f>IF(OR(I479="OK",I479="BREACHED"),-INT(ROUND(-(H479)*100,6))/100,I479)</f>
        <v/>
      </c>
    </row>
    <row r="480" ht="18" customHeight="1">
      <c r="A480" s="9" t="n"/>
      <c r="B480" s="32" t="n"/>
      <c r="C480" s="12" t="n"/>
      <c r="D480" s="12" t="n"/>
      <c r="E480" s="12" t="n"/>
      <c r="F480" s="15">
        <f>IFERROR(MATCH($A480,Accounts!$A$2:$A$11,0),"")</f>
        <v/>
      </c>
      <c r="G480" s="14">
        <f>IFERROR(IF(OR($A480="",$F480=""),"",IF(INDEX(Accounts!$P$2:$P$11,$F480)="static",INDEX(Accounts!$Q$2:$Q$11,$F480),IF(INDEX(Accounts!$P$2:$P$11,$F480)="eod_trailing",MAX(INDEX(Accounts!$Q$2:$Q$11,$F480),_xlfn.MAXIFS($C$2:$C$1001,$A$2:$A$1001,$A480,$B$2:$B$1001,"&lt;"&amp;$B480)),MAX(INDEX(Accounts!$Q$2:$Q$11,$F480),_xlfn.MAXIFS($C$2:$C$1001,$A$2:$A$1001,$A480,$B$2:$B$1001,"&lt;"&amp;$B480),_xlfn.MAXIFS($D$2:$D$1001,$A$2:$A$1001,$A480,$B$2:$B$1001,"&lt;="&amp;$B480),$C480)))),"")</f>
        <v/>
      </c>
      <c r="H480" s="15">
        <f>IFERROR(IF(G480="","",IF(INDEX(Accounts!$P$2:$P$11,$F480)="static",INDEX(Accounts!$Q$2:$Q$11,$F480)-INDEX(Accounts!$R$2:$R$11,$F480),IF(INDEX(Accounts!$S$2:$S$11,$F480)="NONE",G480-INDEX(Accounts!$R$2:$R$11,$F480),MIN(G480-INDEX(Accounts!$R$2:$R$11,$F480),INDEX(Accounts!$Q$2:$Q$11,$F480)+INDEX(Accounts!$S$2:$S$11,$F480))))),"")</f>
        <v/>
      </c>
      <c r="I480" s="16">
        <f>IF(AND($A480="",$B480="",$C480="",$D480="",$E480=""),"",IF(OR($A480="",$F480=""),"UNKNOWN_ACCOUNT",IF(OR($B480="",$C480=""),"INCOMPLETE",IFERROR(IF(OR(NOT(ISNUMBER($B480)),NOT(ISNUMBER($C480)),IF(C480="",FALSE,IF(ISNUMBER(C480),OR(C480&lt;=0,C480&gt;100000000,ROUND(C480*100,6)&lt;&gt;INT(ROUND(C480*100,6))),TRUE)),IF(D480="",FALSE,IF(ISNUMBER(D480),OR(D480&lt;=0,D480&gt;100000000,ROUND(D480*100,6)&lt;&gt;INT(ROUND(D480*100,6))),TRUE)),IF(E480="",FALSE,IF(ISNUMBER(E480),OR(E480&lt;=0,E480&gt;100000000,ROUND(E480*100,6)&lt;&gt;INT(ROUND(E480*100,6))),TRUE)),AND($D480&lt;&gt;"",$D480&lt;MAX($C480,$E480)),AND($E480&lt;&gt;"",$E480&gt;MIN($C480,IF($D480="",$C480,$D480))),COUNTIFS($A$2:$A$1001,$A480,$B$2:$B$1001,$B480)&gt;1),"INVALID",IFERROR(IF(IF(INDEX(Accounts!$T$2:$T$11,$F480),ROUND(IF($E480="",$C480,MIN($C480,$E480))-(H480),6)&lt;=0,ROUND(IF($E480="",$C480,MIN($C480,$E480))-(H480),6)&lt;0),"BREACHED","OK"),"INCOMPLETE")),"INVALID"))))</f>
        <v/>
      </c>
      <c r="J480" s="33">
        <f>IF(OR(I480="OK",I480="BREACHED"),-INT(ROUND(-(H480)*100,6))/100,I480)</f>
        <v/>
      </c>
    </row>
    <row r="481" ht="18" customHeight="1">
      <c r="A481" s="9" t="n"/>
      <c r="B481" s="32" t="n"/>
      <c r="C481" s="12" t="n"/>
      <c r="D481" s="12" t="n"/>
      <c r="E481" s="12" t="n"/>
      <c r="F481" s="15">
        <f>IFERROR(MATCH($A481,Accounts!$A$2:$A$11,0),"")</f>
        <v/>
      </c>
      <c r="G481" s="14">
        <f>IFERROR(IF(OR($A481="",$F481=""),"",IF(INDEX(Accounts!$P$2:$P$11,$F481)="static",INDEX(Accounts!$Q$2:$Q$11,$F481),IF(INDEX(Accounts!$P$2:$P$11,$F481)="eod_trailing",MAX(INDEX(Accounts!$Q$2:$Q$11,$F481),_xlfn.MAXIFS($C$2:$C$1001,$A$2:$A$1001,$A481,$B$2:$B$1001,"&lt;"&amp;$B481)),MAX(INDEX(Accounts!$Q$2:$Q$11,$F481),_xlfn.MAXIFS($C$2:$C$1001,$A$2:$A$1001,$A481,$B$2:$B$1001,"&lt;"&amp;$B481),_xlfn.MAXIFS($D$2:$D$1001,$A$2:$A$1001,$A481,$B$2:$B$1001,"&lt;="&amp;$B481),$C481)))),"")</f>
        <v/>
      </c>
      <c r="H481" s="15">
        <f>IFERROR(IF(G481="","",IF(INDEX(Accounts!$P$2:$P$11,$F481)="static",INDEX(Accounts!$Q$2:$Q$11,$F481)-INDEX(Accounts!$R$2:$R$11,$F481),IF(INDEX(Accounts!$S$2:$S$11,$F481)="NONE",G481-INDEX(Accounts!$R$2:$R$11,$F481),MIN(G481-INDEX(Accounts!$R$2:$R$11,$F481),INDEX(Accounts!$Q$2:$Q$11,$F481)+INDEX(Accounts!$S$2:$S$11,$F481))))),"")</f>
        <v/>
      </c>
      <c r="I481" s="16">
        <f>IF(AND($A481="",$B481="",$C481="",$D481="",$E481=""),"",IF(OR($A481="",$F481=""),"UNKNOWN_ACCOUNT",IF(OR($B481="",$C481=""),"INCOMPLETE",IFERROR(IF(OR(NOT(ISNUMBER($B481)),NOT(ISNUMBER($C481)),IF(C481="",FALSE,IF(ISNUMBER(C481),OR(C481&lt;=0,C481&gt;100000000,ROUND(C481*100,6)&lt;&gt;INT(ROUND(C481*100,6))),TRUE)),IF(D481="",FALSE,IF(ISNUMBER(D481),OR(D481&lt;=0,D481&gt;100000000,ROUND(D481*100,6)&lt;&gt;INT(ROUND(D481*100,6))),TRUE)),IF(E481="",FALSE,IF(ISNUMBER(E481),OR(E481&lt;=0,E481&gt;100000000,ROUND(E481*100,6)&lt;&gt;INT(ROUND(E481*100,6))),TRUE)),AND($D481&lt;&gt;"",$D481&lt;MAX($C481,$E481)),AND($E481&lt;&gt;"",$E481&gt;MIN($C481,IF($D481="",$C481,$D481))),COUNTIFS($A$2:$A$1001,$A481,$B$2:$B$1001,$B481)&gt;1),"INVALID",IFERROR(IF(IF(INDEX(Accounts!$T$2:$T$11,$F481),ROUND(IF($E481="",$C481,MIN($C481,$E481))-(H481),6)&lt;=0,ROUND(IF($E481="",$C481,MIN($C481,$E481))-(H481),6)&lt;0),"BREACHED","OK"),"INCOMPLETE")),"INVALID"))))</f>
        <v/>
      </c>
      <c r="J481" s="33">
        <f>IF(OR(I481="OK",I481="BREACHED"),-INT(ROUND(-(H481)*100,6))/100,I481)</f>
        <v/>
      </c>
    </row>
    <row r="482" ht="18" customHeight="1">
      <c r="A482" s="9" t="n"/>
      <c r="B482" s="32" t="n"/>
      <c r="C482" s="12" t="n"/>
      <c r="D482" s="12" t="n"/>
      <c r="E482" s="12" t="n"/>
      <c r="F482" s="15">
        <f>IFERROR(MATCH($A482,Accounts!$A$2:$A$11,0),"")</f>
        <v/>
      </c>
      <c r="G482" s="14">
        <f>IFERROR(IF(OR($A482="",$F482=""),"",IF(INDEX(Accounts!$P$2:$P$11,$F482)="static",INDEX(Accounts!$Q$2:$Q$11,$F482),IF(INDEX(Accounts!$P$2:$P$11,$F482)="eod_trailing",MAX(INDEX(Accounts!$Q$2:$Q$11,$F482),_xlfn.MAXIFS($C$2:$C$1001,$A$2:$A$1001,$A482,$B$2:$B$1001,"&lt;"&amp;$B482)),MAX(INDEX(Accounts!$Q$2:$Q$11,$F482),_xlfn.MAXIFS($C$2:$C$1001,$A$2:$A$1001,$A482,$B$2:$B$1001,"&lt;"&amp;$B482),_xlfn.MAXIFS($D$2:$D$1001,$A$2:$A$1001,$A482,$B$2:$B$1001,"&lt;="&amp;$B482),$C482)))),"")</f>
        <v/>
      </c>
      <c r="H482" s="15">
        <f>IFERROR(IF(G482="","",IF(INDEX(Accounts!$P$2:$P$11,$F482)="static",INDEX(Accounts!$Q$2:$Q$11,$F482)-INDEX(Accounts!$R$2:$R$11,$F482),IF(INDEX(Accounts!$S$2:$S$11,$F482)="NONE",G482-INDEX(Accounts!$R$2:$R$11,$F482),MIN(G482-INDEX(Accounts!$R$2:$R$11,$F482),INDEX(Accounts!$Q$2:$Q$11,$F482)+INDEX(Accounts!$S$2:$S$11,$F482))))),"")</f>
        <v/>
      </c>
      <c r="I482" s="16">
        <f>IF(AND($A482="",$B482="",$C482="",$D482="",$E482=""),"",IF(OR($A482="",$F482=""),"UNKNOWN_ACCOUNT",IF(OR($B482="",$C482=""),"INCOMPLETE",IFERROR(IF(OR(NOT(ISNUMBER($B482)),NOT(ISNUMBER($C482)),IF(C482="",FALSE,IF(ISNUMBER(C482),OR(C482&lt;=0,C482&gt;100000000,ROUND(C482*100,6)&lt;&gt;INT(ROUND(C482*100,6))),TRUE)),IF(D482="",FALSE,IF(ISNUMBER(D482),OR(D482&lt;=0,D482&gt;100000000,ROUND(D482*100,6)&lt;&gt;INT(ROUND(D482*100,6))),TRUE)),IF(E482="",FALSE,IF(ISNUMBER(E482),OR(E482&lt;=0,E482&gt;100000000,ROUND(E482*100,6)&lt;&gt;INT(ROUND(E482*100,6))),TRUE)),AND($D482&lt;&gt;"",$D482&lt;MAX($C482,$E482)),AND($E482&lt;&gt;"",$E482&gt;MIN($C482,IF($D482="",$C482,$D482))),COUNTIFS($A$2:$A$1001,$A482,$B$2:$B$1001,$B482)&gt;1),"INVALID",IFERROR(IF(IF(INDEX(Accounts!$T$2:$T$11,$F482),ROUND(IF($E482="",$C482,MIN($C482,$E482))-(H482),6)&lt;=0,ROUND(IF($E482="",$C482,MIN($C482,$E482))-(H482),6)&lt;0),"BREACHED","OK"),"INCOMPLETE")),"INVALID"))))</f>
        <v/>
      </c>
      <c r="J482" s="33">
        <f>IF(OR(I482="OK",I482="BREACHED"),-INT(ROUND(-(H482)*100,6))/100,I482)</f>
        <v/>
      </c>
    </row>
    <row r="483" ht="18" customHeight="1">
      <c r="A483" s="9" t="n"/>
      <c r="B483" s="32" t="n"/>
      <c r="C483" s="12" t="n"/>
      <c r="D483" s="12" t="n"/>
      <c r="E483" s="12" t="n"/>
      <c r="F483" s="15">
        <f>IFERROR(MATCH($A483,Accounts!$A$2:$A$11,0),"")</f>
        <v/>
      </c>
      <c r="G483" s="14">
        <f>IFERROR(IF(OR($A483="",$F483=""),"",IF(INDEX(Accounts!$P$2:$P$11,$F483)="static",INDEX(Accounts!$Q$2:$Q$11,$F483),IF(INDEX(Accounts!$P$2:$P$11,$F483)="eod_trailing",MAX(INDEX(Accounts!$Q$2:$Q$11,$F483),_xlfn.MAXIFS($C$2:$C$1001,$A$2:$A$1001,$A483,$B$2:$B$1001,"&lt;"&amp;$B483)),MAX(INDEX(Accounts!$Q$2:$Q$11,$F483),_xlfn.MAXIFS($C$2:$C$1001,$A$2:$A$1001,$A483,$B$2:$B$1001,"&lt;"&amp;$B483),_xlfn.MAXIFS($D$2:$D$1001,$A$2:$A$1001,$A483,$B$2:$B$1001,"&lt;="&amp;$B483),$C483)))),"")</f>
        <v/>
      </c>
      <c r="H483" s="15">
        <f>IFERROR(IF(G483="","",IF(INDEX(Accounts!$P$2:$P$11,$F483)="static",INDEX(Accounts!$Q$2:$Q$11,$F483)-INDEX(Accounts!$R$2:$R$11,$F483),IF(INDEX(Accounts!$S$2:$S$11,$F483)="NONE",G483-INDEX(Accounts!$R$2:$R$11,$F483),MIN(G483-INDEX(Accounts!$R$2:$R$11,$F483),INDEX(Accounts!$Q$2:$Q$11,$F483)+INDEX(Accounts!$S$2:$S$11,$F483))))),"")</f>
        <v/>
      </c>
      <c r="I483" s="16">
        <f>IF(AND($A483="",$B483="",$C483="",$D483="",$E483=""),"",IF(OR($A483="",$F483=""),"UNKNOWN_ACCOUNT",IF(OR($B483="",$C483=""),"INCOMPLETE",IFERROR(IF(OR(NOT(ISNUMBER($B483)),NOT(ISNUMBER($C483)),IF(C483="",FALSE,IF(ISNUMBER(C483),OR(C483&lt;=0,C483&gt;100000000,ROUND(C483*100,6)&lt;&gt;INT(ROUND(C483*100,6))),TRUE)),IF(D483="",FALSE,IF(ISNUMBER(D483),OR(D483&lt;=0,D483&gt;100000000,ROUND(D483*100,6)&lt;&gt;INT(ROUND(D483*100,6))),TRUE)),IF(E483="",FALSE,IF(ISNUMBER(E483),OR(E483&lt;=0,E483&gt;100000000,ROUND(E483*100,6)&lt;&gt;INT(ROUND(E483*100,6))),TRUE)),AND($D483&lt;&gt;"",$D483&lt;MAX($C483,$E483)),AND($E483&lt;&gt;"",$E483&gt;MIN($C483,IF($D483="",$C483,$D483))),COUNTIFS($A$2:$A$1001,$A483,$B$2:$B$1001,$B483)&gt;1),"INVALID",IFERROR(IF(IF(INDEX(Accounts!$T$2:$T$11,$F483),ROUND(IF($E483="",$C483,MIN($C483,$E483))-(H483),6)&lt;=0,ROUND(IF($E483="",$C483,MIN($C483,$E483))-(H483),6)&lt;0),"BREACHED","OK"),"INCOMPLETE")),"INVALID"))))</f>
        <v/>
      </c>
      <c r="J483" s="33">
        <f>IF(OR(I483="OK",I483="BREACHED"),-INT(ROUND(-(H483)*100,6))/100,I483)</f>
        <v/>
      </c>
    </row>
    <row r="484" ht="18" customHeight="1">
      <c r="A484" s="9" t="n"/>
      <c r="B484" s="32" t="n"/>
      <c r="C484" s="12" t="n"/>
      <c r="D484" s="12" t="n"/>
      <c r="E484" s="12" t="n"/>
      <c r="F484" s="15">
        <f>IFERROR(MATCH($A484,Accounts!$A$2:$A$11,0),"")</f>
        <v/>
      </c>
      <c r="G484" s="14">
        <f>IFERROR(IF(OR($A484="",$F484=""),"",IF(INDEX(Accounts!$P$2:$P$11,$F484)="static",INDEX(Accounts!$Q$2:$Q$11,$F484),IF(INDEX(Accounts!$P$2:$P$11,$F484)="eod_trailing",MAX(INDEX(Accounts!$Q$2:$Q$11,$F484),_xlfn.MAXIFS($C$2:$C$1001,$A$2:$A$1001,$A484,$B$2:$B$1001,"&lt;"&amp;$B484)),MAX(INDEX(Accounts!$Q$2:$Q$11,$F484),_xlfn.MAXIFS($C$2:$C$1001,$A$2:$A$1001,$A484,$B$2:$B$1001,"&lt;"&amp;$B484),_xlfn.MAXIFS($D$2:$D$1001,$A$2:$A$1001,$A484,$B$2:$B$1001,"&lt;="&amp;$B484),$C484)))),"")</f>
        <v/>
      </c>
      <c r="H484" s="15">
        <f>IFERROR(IF(G484="","",IF(INDEX(Accounts!$P$2:$P$11,$F484)="static",INDEX(Accounts!$Q$2:$Q$11,$F484)-INDEX(Accounts!$R$2:$R$11,$F484),IF(INDEX(Accounts!$S$2:$S$11,$F484)="NONE",G484-INDEX(Accounts!$R$2:$R$11,$F484),MIN(G484-INDEX(Accounts!$R$2:$R$11,$F484),INDEX(Accounts!$Q$2:$Q$11,$F484)+INDEX(Accounts!$S$2:$S$11,$F484))))),"")</f>
        <v/>
      </c>
      <c r="I484" s="16">
        <f>IF(AND($A484="",$B484="",$C484="",$D484="",$E484=""),"",IF(OR($A484="",$F484=""),"UNKNOWN_ACCOUNT",IF(OR($B484="",$C484=""),"INCOMPLETE",IFERROR(IF(OR(NOT(ISNUMBER($B484)),NOT(ISNUMBER($C484)),IF(C484="",FALSE,IF(ISNUMBER(C484),OR(C484&lt;=0,C484&gt;100000000,ROUND(C484*100,6)&lt;&gt;INT(ROUND(C484*100,6))),TRUE)),IF(D484="",FALSE,IF(ISNUMBER(D484),OR(D484&lt;=0,D484&gt;100000000,ROUND(D484*100,6)&lt;&gt;INT(ROUND(D484*100,6))),TRUE)),IF(E484="",FALSE,IF(ISNUMBER(E484),OR(E484&lt;=0,E484&gt;100000000,ROUND(E484*100,6)&lt;&gt;INT(ROUND(E484*100,6))),TRUE)),AND($D484&lt;&gt;"",$D484&lt;MAX($C484,$E484)),AND($E484&lt;&gt;"",$E484&gt;MIN($C484,IF($D484="",$C484,$D484))),COUNTIFS($A$2:$A$1001,$A484,$B$2:$B$1001,$B484)&gt;1),"INVALID",IFERROR(IF(IF(INDEX(Accounts!$T$2:$T$11,$F484),ROUND(IF($E484="",$C484,MIN($C484,$E484))-(H484),6)&lt;=0,ROUND(IF($E484="",$C484,MIN($C484,$E484))-(H484),6)&lt;0),"BREACHED","OK"),"INCOMPLETE")),"INVALID"))))</f>
        <v/>
      </c>
      <c r="J484" s="33">
        <f>IF(OR(I484="OK",I484="BREACHED"),-INT(ROUND(-(H484)*100,6))/100,I484)</f>
        <v/>
      </c>
    </row>
    <row r="485" ht="18" customHeight="1">
      <c r="A485" s="9" t="n"/>
      <c r="B485" s="32" t="n"/>
      <c r="C485" s="12" t="n"/>
      <c r="D485" s="12" t="n"/>
      <c r="E485" s="12" t="n"/>
      <c r="F485" s="15">
        <f>IFERROR(MATCH($A485,Accounts!$A$2:$A$11,0),"")</f>
        <v/>
      </c>
      <c r="G485" s="14">
        <f>IFERROR(IF(OR($A485="",$F485=""),"",IF(INDEX(Accounts!$P$2:$P$11,$F485)="static",INDEX(Accounts!$Q$2:$Q$11,$F485),IF(INDEX(Accounts!$P$2:$P$11,$F485)="eod_trailing",MAX(INDEX(Accounts!$Q$2:$Q$11,$F485),_xlfn.MAXIFS($C$2:$C$1001,$A$2:$A$1001,$A485,$B$2:$B$1001,"&lt;"&amp;$B485)),MAX(INDEX(Accounts!$Q$2:$Q$11,$F485),_xlfn.MAXIFS($C$2:$C$1001,$A$2:$A$1001,$A485,$B$2:$B$1001,"&lt;"&amp;$B485),_xlfn.MAXIFS($D$2:$D$1001,$A$2:$A$1001,$A485,$B$2:$B$1001,"&lt;="&amp;$B485),$C485)))),"")</f>
        <v/>
      </c>
      <c r="H485" s="15">
        <f>IFERROR(IF(G485="","",IF(INDEX(Accounts!$P$2:$P$11,$F485)="static",INDEX(Accounts!$Q$2:$Q$11,$F485)-INDEX(Accounts!$R$2:$R$11,$F485),IF(INDEX(Accounts!$S$2:$S$11,$F485)="NONE",G485-INDEX(Accounts!$R$2:$R$11,$F485),MIN(G485-INDEX(Accounts!$R$2:$R$11,$F485),INDEX(Accounts!$Q$2:$Q$11,$F485)+INDEX(Accounts!$S$2:$S$11,$F485))))),"")</f>
        <v/>
      </c>
      <c r="I485" s="16">
        <f>IF(AND($A485="",$B485="",$C485="",$D485="",$E485=""),"",IF(OR($A485="",$F485=""),"UNKNOWN_ACCOUNT",IF(OR($B485="",$C485=""),"INCOMPLETE",IFERROR(IF(OR(NOT(ISNUMBER($B485)),NOT(ISNUMBER($C485)),IF(C485="",FALSE,IF(ISNUMBER(C485),OR(C485&lt;=0,C485&gt;100000000,ROUND(C485*100,6)&lt;&gt;INT(ROUND(C485*100,6))),TRUE)),IF(D485="",FALSE,IF(ISNUMBER(D485),OR(D485&lt;=0,D485&gt;100000000,ROUND(D485*100,6)&lt;&gt;INT(ROUND(D485*100,6))),TRUE)),IF(E485="",FALSE,IF(ISNUMBER(E485),OR(E485&lt;=0,E485&gt;100000000,ROUND(E485*100,6)&lt;&gt;INT(ROUND(E485*100,6))),TRUE)),AND($D485&lt;&gt;"",$D485&lt;MAX($C485,$E485)),AND($E485&lt;&gt;"",$E485&gt;MIN($C485,IF($D485="",$C485,$D485))),COUNTIFS($A$2:$A$1001,$A485,$B$2:$B$1001,$B485)&gt;1),"INVALID",IFERROR(IF(IF(INDEX(Accounts!$T$2:$T$11,$F485),ROUND(IF($E485="",$C485,MIN($C485,$E485))-(H485),6)&lt;=0,ROUND(IF($E485="",$C485,MIN($C485,$E485))-(H485),6)&lt;0),"BREACHED","OK"),"INCOMPLETE")),"INVALID"))))</f>
        <v/>
      </c>
      <c r="J485" s="33">
        <f>IF(OR(I485="OK",I485="BREACHED"),-INT(ROUND(-(H485)*100,6))/100,I485)</f>
        <v/>
      </c>
    </row>
    <row r="486" ht="18" customHeight="1">
      <c r="A486" s="9" t="n"/>
      <c r="B486" s="32" t="n"/>
      <c r="C486" s="12" t="n"/>
      <c r="D486" s="12" t="n"/>
      <c r="E486" s="12" t="n"/>
      <c r="F486" s="15">
        <f>IFERROR(MATCH($A486,Accounts!$A$2:$A$11,0),"")</f>
        <v/>
      </c>
      <c r="G486" s="14">
        <f>IFERROR(IF(OR($A486="",$F486=""),"",IF(INDEX(Accounts!$P$2:$P$11,$F486)="static",INDEX(Accounts!$Q$2:$Q$11,$F486),IF(INDEX(Accounts!$P$2:$P$11,$F486)="eod_trailing",MAX(INDEX(Accounts!$Q$2:$Q$11,$F486),_xlfn.MAXIFS($C$2:$C$1001,$A$2:$A$1001,$A486,$B$2:$B$1001,"&lt;"&amp;$B486)),MAX(INDEX(Accounts!$Q$2:$Q$11,$F486),_xlfn.MAXIFS($C$2:$C$1001,$A$2:$A$1001,$A486,$B$2:$B$1001,"&lt;"&amp;$B486),_xlfn.MAXIFS($D$2:$D$1001,$A$2:$A$1001,$A486,$B$2:$B$1001,"&lt;="&amp;$B486),$C486)))),"")</f>
        <v/>
      </c>
      <c r="H486" s="15">
        <f>IFERROR(IF(G486="","",IF(INDEX(Accounts!$P$2:$P$11,$F486)="static",INDEX(Accounts!$Q$2:$Q$11,$F486)-INDEX(Accounts!$R$2:$R$11,$F486),IF(INDEX(Accounts!$S$2:$S$11,$F486)="NONE",G486-INDEX(Accounts!$R$2:$R$11,$F486),MIN(G486-INDEX(Accounts!$R$2:$R$11,$F486),INDEX(Accounts!$Q$2:$Q$11,$F486)+INDEX(Accounts!$S$2:$S$11,$F486))))),"")</f>
        <v/>
      </c>
      <c r="I486" s="16">
        <f>IF(AND($A486="",$B486="",$C486="",$D486="",$E486=""),"",IF(OR($A486="",$F486=""),"UNKNOWN_ACCOUNT",IF(OR($B486="",$C486=""),"INCOMPLETE",IFERROR(IF(OR(NOT(ISNUMBER($B486)),NOT(ISNUMBER($C486)),IF(C486="",FALSE,IF(ISNUMBER(C486),OR(C486&lt;=0,C486&gt;100000000,ROUND(C486*100,6)&lt;&gt;INT(ROUND(C486*100,6))),TRUE)),IF(D486="",FALSE,IF(ISNUMBER(D486),OR(D486&lt;=0,D486&gt;100000000,ROUND(D486*100,6)&lt;&gt;INT(ROUND(D486*100,6))),TRUE)),IF(E486="",FALSE,IF(ISNUMBER(E486),OR(E486&lt;=0,E486&gt;100000000,ROUND(E486*100,6)&lt;&gt;INT(ROUND(E486*100,6))),TRUE)),AND($D486&lt;&gt;"",$D486&lt;MAX($C486,$E486)),AND($E486&lt;&gt;"",$E486&gt;MIN($C486,IF($D486="",$C486,$D486))),COUNTIFS($A$2:$A$1001,$A486,$B$2:$B$1001,$B486)&gt;1),"INVALID",IFERROR(IF(IF(INDEX(Accounts!$T$2:$T$11,$F486),ROUND(IF($E486="",$C486,MIN($C486,$E486))-(H486),6)&lt;=0,ROUND(IF($E486="",$C486,MIN($C486,$E486))-(H486),6)&lt;0),"BREACHED","OK"),"INCOMPLETE")),"INVALID"))))</f>
        <v/>
      </c>
      <c r="J486" s="33">
        <f>IF(OR(I486="OK",I486="BREACHED"),-INT(ROUND(-(H486)*100,6))/100,I486)</f>
        <v/>
      </c>
    </row>
    <row r="487" ht="18" customHeight="1">
      <c r="A487" s="9" t="n"/>
      <c r="B487" s="32" t="n"/>
      <c r="C487" s="12" t="n"/>
      <c r="D487" s="12" t="n"/>
      <c r="E487" s="12" t="n"/>
      <c r="F487" s="15">
        <f>IFERROR(MATCH($A487,Accounts!$A$2:$A$11,0),"")</f>
        <v/>
      </c>
      <c r="G487" s="14">
        <f>IFERROR(IF(OR($A487="",$F487=""),"",IF(INDEX(Accounts!$P$2:$P$11,$F487)="static",INDEX(Accounts!$Q$2:$Q$11,$F487),IF(INDEX(Accounts!$P$2:$P$11,$F487)="eod_trailing",MAX(INDEX(Accounts!$Q$2:$Q$11,$F487),_xlfn.MAXIFS($C$2:$C$1001,$A$2:$A$1001,$A487,$B$2:$B$1001,"&lt;"&amp;$B487)),MAX(INDEX(Accounts!$Q$2:$Q$11,$F487),_xlfn.MAXIFS($C$2:$C$1001,$A$2:$A$1001,$A487,$B$2:$B$1001,"&lt;"&amp;$B487),_xlfn.MAXIFS($D$2:$D$1001,$A$2:$A$1001,$A487,$B$2:$B$1001,"&lt;="&amp;$B487),$C487)))),"")</f>
        <v/>
      </c>
      <c r="H487" s="15">
        <f>IFERROR(IF(G487="","",IF(INDEX(Accounts!$P$2:$P$11,$F487)="static",INDEX(Accounts!$Q$2:$Q$11,$F487)-INDEX(Accounts!$R$2:$R$11,$F487),IF(INDEX(Accounts!$S$2:$S$11,$F487)="NONE",G487-INDEX(Accounts!$R$2:$R$11,$F487),MIN(G487-INDEX(Accounts!$R$2:$R$11,$F487),INDEX(Accounts!$Q$2:$Q$11,$F487)+INDEX(Accounts!$S$2:$S$11,$F487))))),"")</f>
        <v/>
      </c>
      <c r="I487" s="16">
        <f>IF(AND($A487="",$B487="",$C487="",$D487="",$E487=""),"",IF(OR($A487="",$F487=""),"UNKNOWN_ACCOUNT",IF(OR($B487="",$C487=""),"INCOMPLETE",IFERROR(IF(OR(NOT(ISNUMBER($B487)),NOT(ISNUMBER($C487)),IF(C487="",FALSE,IF(ISNUMBER(C487),OR(C487&lt;=0,C487&gt;100000000,ROUND(C487*100,6)&lt;&gt;INT(ROUND(C487*100,6))),TRUE)),IF(D487="",FALSE,IF(ISNUMBER(D487),OR(D487&lt;=0,D487&gt;100000000,ROUND(D487*100,6)&lt;&gt;INT(ROUND(D487*100,6))),TRUE)),IF(E487="",FALSE,IF(ISNUMBER(E487),OR(E487&lt;=0,E487&gt;100000000,ROUND(E487*100,6)&lt;&gt;INT(ROUND(E487*100,6))),TRUE)),AND($D487&lt;&gt;"",$D487&lt;MAX($C487,$E487)),AND($E487&lt;&gt;"",$E487&gt;MIN($C487,IF($D487="",$C487,$D487))),COUNTIFS($A$2:$A$1001,$A487,$B$2:$B$1001,$B487)&gt;1),"INVALID",IFERROR(IF(IF(INDEX(Accounts!$T$2:$T$11,$F487),ROUND(IF($E487="",$C487,MIN($C487,$E487))-(H487),6)&lt;=0,ROUND(IF($E487="",$C487,MIN($C487,$E487))-(H487),6)&lt;0),"BREACHED","OK"),"INCOMPLETE")),"INVALID"))))</f>
        <v/>
      </c>
      <c r="J487" s="33">
        <f>IF(OR(I487="OK",I487="BREACHED"),-INT(ROUND(-(H487)*100,6))/100,I487)</f>
        <v/>
      </c>
    </row>
    <row r="488" ht="18" customHeight="1">
      <c r="A488" s="9" t="n"/>
      <c r="B488" s="32" t="n"/>
      <c r="C488" s="12" t="n"/>
      <c r="D488" s="12" t="n"/>
      <c r="E488" s="12" t="n"/>
      <c r="F488" s="15">
        <f>IFERROR(MATCH($A488,Accounts!$A$2:$A$11,0),"")</f>
        <v/>
      </c>
      <c r="G488" s="14">
        <f>IFERROR(IF(OR($A488="",$F488=""),"",IF(INDEX(Accounts!$P$2:$P$11,$F488)="static",INDEX(Accounts!$Q$2:$Q$11,$F488),IF(INDEX(Accounts!$P$2:$P$11,$F488)="eod_trailing",MAX(INDEX(Accounts!$Q$2:$Q$11,$F488),_xlfn.MAXIFS($C$2:$C$1001,$A$2:$A$1001,$A488,$B$2:$B$1001,"&lt;"&amp;$B488)),MAX(INDEX(Accounts!$Q$2:$Q$11,$F488),_xlfn.MAXIFS($C$2:$C$1001,$A$2:$A$1001,$A488,$B$2:$B$1001,"&lt;"&amp;$B488),_xlfn.MAXIFS($D$2:$D$1001,$A$2:$A$1001,$A488,$B$2:$B$1001,"&lt;="&amp;$B488),$C488)))),"")</f>
        <v/>
      </c>
      <c r="H488" s="15">
        <f>IFERROR(IF(G488="","",IF(INDEX(Accounts!$P$2:$P$11,$F488)="static",INDEX(Accounts!$Q$2:$Q$11,$F488)-INDEX(Accounts!$R$2:$R$11,$F488),IF(INDEX(Accounts!$S$2:$S$11,$F488)="NONE",G488-INDEX(Accounts!$R$2:$R$11,$F488),MIN(G488-INDEX(Accounts!$R$2:$R$11,$F488),INDEX(Accounts!$Q$2:$Q$11,$F488)+INDEX(Accounts!$S$2:$S$11,$F488))))),"")</f>
        <v/>
      </c>
      <c r="I488" s="16">
        <f>IF(AND($A488="",$B488="",$C488="",$D488="",$E488=""),"",IF(OR($A488="",$F488=""),"UNKNOWN_ACCOUNT",IF(OR($B488="",$C488=""),"INCOMPLETE",IFERROR(IF(OR(NOT(ISNUMBER($B488)),NOT(ISNUMBER($C488)),IF(C488="",FALSE,IF(ISNUMBER(C488),OR(C488&lt;=0,C488&gt;100000000,ROUND(C488*100,6)&lt;&gt;INT(ROUND(C488*100,6))),TRUE)),IF(D488="",FALSE,IF(ISNUMBER(D488),OR(D488&lt;=0,D488&gt;100000000,ROUND(D488*100,6)&lt;&gt;INT(ROUND(D488*100,6))),TRUE)),IF(E488="",FALSE,IF(ISNUMBER(E488),OR(E488&lt;=0,E488&gt;100000000,ROUND(E488*100,6)&lt;&gt;INT(ROUND(E488*100,6))),TRUE)),AND($D488&lt;&gt;"",$D488&lt;MAX($C488,$E488)),AND($E488&lt;&gt;"",$E488&gt;MIN($C488,IF($D488="",$C488,$D488))),COUNTIFS($A$2:$A$1001,$A488,$B$2:$B$1001,$B488)&gt;1),"INVALID",IFERROR(IF(IF(INDEX(Accounts!$T$2:$T$11,$F488),ROUND(IF($E488="",$C488,MIN($C488,$E488))-(H488),6)&lt;=0,ROUND(IF($E488="",$C488,MIN($C488,$E488))-(H488),6)&lt;0),"BREACHED","OK"),"INCOMPLETE")),"INVALID"))))</f>
        <v/>
      </c>
      <c r="J488" s="33">
        <f>IF(OR(I488="OK",I488="BREACHED"),-INT(ROUND(-(H488)*100,6))/100,I488)</f>
        <v/>
      </c>
    </row>
    <row r="489" ht="18" customHeight="1">
      <c r="A489" s="9" t="n"/>
      <c r="B489" s="32" t="n"/>
      <c r="C489" s="12" t="n"/>
      <c r="D489" s="12" t="n"/>
      <c r="E489" s="12" t="n"/>
      <c r="F489" s="15">
        <f>IFERROR(MATCH($A489,Accounts!$A$2:$A$11,0),"")</f>
        <v/>
      </c>
      <c r="G489" s="14">
        <f>IFERROR(IF(OR($A489="",$F489=""),"",IF(INDEX(Accounts!$P$2:$P$11,$F489)="static",INDEX(Accounts!$Q$2:$Q$11,$F489),IF(INDEX(Accounts!$P$2:$P$11,$F489)="eod_trailing",MAX(INDEX(Accounts!$Q$2:$Q$11,$F489),_xlfn.MAXIFS($C$2:$C$1001,$A$2:$A$1001,$A489,$B$2:$B$1001,"&lt;"&amp;$B489)),MAX(INDEX(Accounts!$Q$2:$Q$11,$F489),_xlfn.MAXIFS($C$2:$C$1001,$A$2:$A$1001,$A489,$B$2:$B$1001,"&lt;"&amp;$B489),_xlfn.MAXIFS($D$2:$D$1001,$A$2:$A$1001,$A489,$B$2:$B$1001,"&lt;="&amp;$B489),$C489)))),"")</f>
        <v/>
      </c>
      <c r="H489" s="15">
        <f>IFERROR(IF(G489="","",IF(INDEX(Accounts!$P$2:$P$11,$F489)="static",INDEX(Accounts!$Q$2:$Q$11,$F489)-INDEX(Accounts!$R$2:$R$11,$F489),IF(INDEX(Accounts!$S$2:$S$11,$F489)="NONE",G489-INDEX(Accounts!$R$2:$R$11,$F489),MIN(G489-INDEX(Accounts!$R$2:$R$11,$F489),INDEX(Accounts!$Q$2:$Q$11,$F489)+INDEX(Accounts!$S$2:$S$11,$F489))))),"")</f>
        <v/>
      </c>
      <c r="I489" s="16">
        <f>IF(AND($A489="",$B489="",$C489="",$D489="",$E489=""),"",IF(OR($A489="",$F489=""),"UNKNOWN_ACCOUNT",IF(OR($B489="",$C489=""),"INCOMPLETE",IFERROR(IF(OR(NOT(ISNUMBER($B489)),NOT(ISNUMBER($C489)),IF(C489="",FALSE,IF(ISNUMBER(C489),OR(C489&lt;=0,C489&gt;100000000,ROUND(C489*100,6)&lt;&gt;INT(ROUND(C489*100,6))),TRUE)),IF(D489="",FALSE,IF(ISNUMBER(D489),OR(D489&lt;=0,D489&gt;100000000,ROUND(D489*100,6)&lt;&gt;INT(ROUND(D489*100,6))),TRUE)),IF(E489="",FALSE,IF(ISNUMBER(E489),OR(E489&lt;=0,E489&gt;100000000,ROUND(E489*100,6)&lt;&gt;INT(ROUND(E489*100,6))),TRUE)),AND($D489&lt;&gt;"",$D489&lt;MAX($C489,$E489)),AND($E489&lt;&gt;"",$E489&gt;MIN($C489,IF($D489="",$C489,$D489))),COUNTIFS($A$2:$A$1001,$A489,$B$2:$B$1001,$B489)&gt;1),"INVALID",IFERROR(IF(IF(INDEX(Accounts!$T$2:$T$11,$F489),ROUND(IF($E489="",$C489,MIN($C489,$E489))-(H489),6)&lt;=0,ROUND(IF($E489="",$C489,MIN($C489,$E489))-(H489),6)&lt;0),"BREACHED","OK"),"INCOMPLETE")),"INVALID"))))</f>
        <v/>
      </c>
      <c r="J489" s="33">
        <f>IF(OR(I489="OK",I489="BREACHED"),-INT(ROUND(-(H489)*100,6))/100,I489)</f>
        <v/>
      </c>
    </row>
    <row r="490" ht="18" customHeight="1">
      <c r="A490" s="9" t="n"/>
      <c r="B490" s="32" t="n"/>
      <c r="C490" s="12" t="n"/>
      <c r="D490" s="12" t="n"/>
      <c r="E490" s="12" t="n"/>
      <c r="F490" s="15">
        <f>IFERROR(MATCH($A490,Accounts!$A$2:$A$11,0),"")</f>
        <v/>
      </c>
      <c r="G490" s="14">
        <f>IFERROR(IF(OR($A490="",$F490=""),"",IF(INDEX(Accounts!$P$2:$P$11,$F490)="static",INDEX(Accounts!$Q$2:$Q$11,$F490),IF(INDEX(Accounts!$P$2:$P$11,$F490)="eod_trailing",MAX(INDEX(Accounts!$Q$2:$Q$11,$F490),_xlfn.MAXIFS($C$2:$C$1001,$A$2:$A$1001,$A490,$B$2:$B$1001,"&lt;"&amp;$B490)),MAX(INDEX(Accounts!$Q$2:$Q$11,$F490),_xlfn.MAXIFS($C$2:$C$1001,$A$2:$A$1001,$A490,$B$2:$B$1001,"&lt;"&amp;$B490),_xlfn.MAXIFS($D$2:$D$1001,$A$2:$A$1001,$A490,$B$2:$B$1001,"&lt;="&amp;$B490),$C490)))),"")</f>
        <v/>
      </c>
      <c r="H490" s="15">
        <f>IFERROR(IF(G490="","",IF(INDEX(Accounts!$P$2:$P$11,$F490)="static",INDEX(Accounts!$Q$2:$Q$11,$F490)-INDEX(Accounts!$R$2:$R$11,$F490),IF(INDEX(Accounts!$S$2:$S$11,$F490)="NONE",G490-INDEX(Accounts!$R$2:$R$11,$F490),MIN(G490-INDEX(Accounts!$R$2:$R$11,$F490),INDEX(Accounts!$Q$2:$Q$11,$F490)+INDEX(Accounts!$S$2:$S$11,$F490))))),"")</f>
        <v/>
      </c>
      <c r="I490" s="16">
        <f>IF(AND($A490="",$B490="",$C490="",$D490="",$E490=""),"",IF(OR($A490="",$F490=""),"UNKNOWN_ACCOUNT",IF(OR($B490="",$C490=""),"INCOMPLETE",IFERROR(IF(OR(NOT(ISNUMBER($B490)),NOT(ISNUMBER($C490)),IF(C490="",FALSE,IF(ISNUMBER(C490),OR(C490&lt;=0,C490&gt;100000000,ROUND(C490*100,6)&lt;&gt;INT(ROUND(C490*100,6))),TRUE)),IF(D490="",FALSE,IF(ISNUMBER(D490),OR(D490&lt;=0,D490&gt;100000000,ROUND(D490*100,6)&lt;&gt;INT(ROUND(D490*100,6))),TRUE)),IF(E490="",FALSE,IF(ISNUMBER(E490),OR(E490&lt;=0,E490&gt;100000000,ROUND(E490*100,6)&lt;&gt;INT(ROUND(E490*100,6))),TRUE)),AND($D490&lt;&gt;"",$D490&lt;MAX($C490,$E490)),AND($E490&lt;&gt;"",$E490&gt;MIN($C490,IF($D490="",$C490,$D490))),COUNTIFS($A$2:$A$1001,$A490,$B$2:$B$1001,$B490)&gt;1),"INVALID",IFERROR(IF(IF(INDEX(Accounts!$T$2:$T$11,$F490),ROUND(IF($E490="",$C490,MIN($C490,$E490))-(H490),6)&lt;=0,ROUND(IF($E490="",$C490,MIN($C490,$E490))-(H490),6)&lt;0),"BREACHED","OK"),"INCOMPLETE")),"INVALID"))))</f>
        <v/>
      </c>
      <c r="J490" s="33">
        <f>IF(OR(I490="OK",I490="BREACHED"),-INT(ROUND(-(H490)*100,6))/100,I490)</f>
        <v/>
      </c>
    </row>
    <row r="491" ht="18" customHeight="1">
      <c r="A491" s="9" t="n"/>
      <c r="B491" s="32" t="n"/>
      <c r="C491" s="12" t="n"/>
      <c r="D491" s="12" t="n"/>
      <c r="E491" s="12" t="n"/>
      <c r="F491" s="15">
        <f>IFERROR(MATCH($A491,Accounts!$A$2:$A$11,0),"")</f>
        <v/>
      </c>
      <c r="G491" s="14">
        <f>IFERROR(IF(OR($A491="",$F491=""),"",IF(INDEX(Accounts!$P$2:$P$11,$F491)="static",INDEX(Accounts!$Q$2:$Q$11,$F491),IF(INDEX(Accounts!$P$2:$P$11,$F491)="eod_trailing",MAX(INDEX(Accounts!$Q$2:$Q$11,$F491),_xlfn.MAXIFS($C$2:$C$1001,$A$2:$A$1001,$A491,$B$2:$B$1001,"&lt;"&amp;$B491)),MAX(INDEX(Accounts!$Q$2:$Q$11,$F491),_xlfn.MAXIFS($C$2:$C$1001,$A$2:$A$1001,$A491,$B$2:$B$1001,"&lt;"&amp;$B491),_xlfn.MAXIFS($D$2:$D$1001,$A$2:$A$1001,$A491,$B$2:$B$1001,"&lt;="&amp;$B491),$C491)))),"")</f>
        <v/>
      </c>
      <c r="H491" s="15">
        <f>IFERROR(IF(G491="","",IF(INDEX(Accounts!$P$2:$P$11,$F491)="static",INDEX(Accounts!$Q$2:$Q$11,$F491)-INDEX(Accounts!$R$2:$R$11,$F491),IF(INDEX(Accounts!$S$2:$S$11,$F491)="NONE",G491-INDEX(Accounts!$R$2:$R$11,$F491),MIN(G491-INDEX(Accounts!$R$2:$R$11,$F491),INDEX(Accounts!$Q$2:$Q$11,$F491)+INDEX(Accounts!$S$2:$S$11,$F491))))),"")</f>
        <v/>
      </c>
      <c r="I491" s="16">
        <f>IF(AND($A491="",$B491="",$C491="",$D491="",$E491=""),"",IF(OR($A491="",$F491=""),"UNKNOWN_ACCOUNT",IF(OR($B491="",$C491=""),"INCOMPLETE",IFERROR(IF(OR(NOT(ISNUMBER($B491)),NOT(ISNUMBER($C491)),IF(C491="",FALSE,IF(ISNUMBER(C491),OR(C491&lt;=0,C491&gt;100000000,ROUND(C491*100,6)&lt;&gt;INT(ROUND(C491*100,6))),TRUE)),IF(D491="",FALSE,IF(ISNUMBER(D491),OR(D491&lt;=0,D491&gt;100000000,ROUND(D491*100,6)&lt;&gt;INT(ROUND(D491*100,6))),TRUE)),IF(E491="",FALSE,IF(ISNUMBER(E491),OR(E491&lt;=0,E491&gt;100000000,ROUND(E491*100,6)&lt;&gt;INT(ROUND(E491*100,6))),TRUE)),AND($D491&lt;&gt;"",$D491&lt;MAX($C491,$E491)),AND($E491&lt;&gt;"",$E491&gt;MIN($C491,IF($D491="",$C491,$D491))),COUNTIFS($A$2:$A$1001,$A491,$B$2:$B$1001,$B491)&gt;1),"INVALID",IFERROR(IF(IF(INDEX(Accounts!$T$2:$T$11,$F491),ROUND(IF($E491="",$C491,MIN($C491,$E491))-(H491),6)&lt;=0,ROUND(IF($E491="",$C491,MIN($C491,$E491))-(H491),6)&lt;0),"BREACHED","OK"),"INCOMPLETE")),"INVALID"))))</f>
        <v/>
      </c>
      <c r="J491" s="33">
        <f>IF(OR(I491="OK",I491="BREACHED"),-INT(ROUND(-(H491)*100,6))/100,I491)</f>
        <v/>
      </c>
    </row>
    <row r="492" ht="18" customHeight="1">
      <c r="A492" s="9" t="n"/>
      <c r="B492" s="32" t="n"/>
      <c r="C492" s="12" t="n"/>
      <c r="D492" s="12" t="n"/>
      <c r="E492" s="12" t="n"/>
      <c r="F492" s="15">
        <f>IFERROR(MATCH($A492,Accounts!$A$2:$A$11,0),"")</f>
        <v/>
      </c>
      <c r="G492" s="14">
        <f>IFERROR(IF(OR($A492="",$F492=""),"",IF(INDEX(Accounts!$P$2:$P$11,$F492)="static",INDEX(Accounts!$Q$2:$Q$11,$F492),IF(INDEX(Accounts!$P$2:$P$11,$F492)="eod_trailing",MAX(INDEX(Accounts!$Q$2:$Q$11,$F492),_xlfn.MAXIFS($C$2:$C$1001,$A$2:$A$1001,$A492,$B$2:$B$1001,"&lt;"&amp;$B492)),MAX(INDEX(Accounts!$Q$2:$Q$11,$F492),_xlfn.MAXIFS($C$2:$C$1001,$A$2:$A$1001,$A492,$B$2:$B$1001,"&lt;"&amp;$B492),_xlfn.MAXIFS($D$2:$D$1001,$A$2:$A$1001,$A492,$B$2:$B$1001,"&lt;="&amp;$B492),$C492)))),"")</f>
        <v/>
      </c>
      <c r="H492" s="15">
        <f>IFERROR(IF(G492="","",IF(INDEX(Accounts!$P$2:$P$11,$F492)="static",INDEX(Accounts!$Q$2:$Q$11,$F492)-INDEX(Accounts!$R$2:$R$11,$F492),IF(INDEX(Accounts!$S$2:$S$11,$F492)="NONE",G492-INDEX(Accounts!$R$2:$R$11,$F492),MIN(G492-INDEX(Accounts!$R$2:$R$11,$F492),INDEX(Accounts!$Q$2:$Q$11,$F492)+INDEX(Accounts!$S$2:$S$11,$F492))))),"")</f>
        <v/>
      </c>
      <c r="I492" s="16">
        <f>IF(AND($A492="",$B492="",$C492="",$D492="",$E492=""),"",IF(OR($A492="",$F492=""),"UNKNOWN_ACCOUNT",IF(OR($B492="",$C492=""),"INCOMPLETE",IFERROR(IF(OR(NOT(ISNUMBER($B492)),NOT(ISNUMBER($C492)),IF(C492="",FALSE,IF(ISNUMBER(C492),OR(C492&lt;=0,C492&gt;100000000,ROUND(C492*100,6)&lt;&gt;INT(ROUND(C492*100,6))),TRUE)),IF(D492="",FALSE,IF(ISNUMBER(D492),OR(D492&lt;=0,D492&gt;100000000,ROUND(D492*100,6)&lt;&gt;INT(ROUND(D492*100,6))),TRUE)),IF(E492="",FALSE,IF(ISNUMBER(E492),OR(E492&lt;=0,E492&gt;100000000,ROUND(E492*100,6)&lt;&gt;INT(ROUND(E492*100,6))),TRUE)),AND($D492&lt;&gt;"",$D492&lt;MAX($C492,$E492)),AND($E492&lt;&gt;"",$E492&gt;MIN($C492,IF($D492="",$C492,$D492))),COUNTIFS($A$2:$A$1001,$A492,$B$2:$B$1001,$B492)&gt;1),"INVALID",IFERROR(IF(IF(INDEX(Accounts!$T$2:$T$11,$F492),ROUND(IF($E492="",$C492,MIN($C492,$E492))-(H492),6)&lt;=0,ROUND(IF($E492="",$C492,MIN($C492,$E492))-(H492),6)&lt;0),"BREACHED","OK"),"INCOMPLETE")),"INVALID"))))</f>
        <v/>
      </c>
      <c r="J492" s="33">
        <f>IF(OR(I492="OK",I492="BREACHED"),-INT(ROUND(-(H492)*100,6))/100,I492)</f>
        <v/>
      </c>
    </row>
    <row r="493" ht="18" customHeight="1">
      <c r="A493" s="9" t="n"/>
      <c r="B493" s="32" t="n"/>
      <c r="C493" s="12" t="n"/>
      <c r="D493" s="12" t="n"/>
      <c r="E493" s="12" t="n"/>
      <c r="F493" s="15">
        <f>IFERROR(MATCH($A493,Accounts!$A$2:$A$11,0),"")</f>
        <v/>
      </c>
      <c r="G493" s="14">
        <f>IFERROR(IF(OR($A493="",$F493=""),"",IF(INDEX(Accounts!$P$2:$P$11,$F493)="static",INDEX(Accounts!$Q$2:$Q$11,$F493),IF(INDEX(Accounts!$P$2:$P$11,$F493)="eod_trailing",MAX(INDEX(Accounts!$Q$2:$Q$11,$F493),_xlfn.MAXIFS($C$2:$C$1001,$A$2:$A$1001,$A493,$B$2:$B$1001,"&lt;"&amp;$B493)),MAX(INDEX(Accounts!$Q$2:$Q$11,$F493),_xlfn.MAXIFS($C$2:$C$1001,$A$2:$A$1001,$A493,$B$2:$B$1001,"&lt;"&amp;$B493),_xlfn.MAXIFS($D$2:$D$1001,$A$2:$A$1001,$A493,$B$2:$B$1001,"&lt;="&amp;$B493),$C493)))),"")</f>
        <v/>
      </c>
      <c r="H493" s="15">
        <f>IFERROR(IF(G493="","",IF(INDEX(Accounts!$P$2:$P$11,$F493)="static",INDEX(Accounts!$Q$2:$Q$11,$F493)-INDEX(Accounts!$R$2:$R$11,$F493),IF(INDEX(Accounts!$S$2:$S$11,$F493)="NONE",G493-INDEX(Accounts!$R$2:$R$11,$F493),MIN(G493-INDEX(Accounts!$R$2:$R$11,$F493),INDEX(Accounts!$Q$2:$Q$11,$F493)+INDEX(Accounts!$S$2:$S$11,$F493))))),"")</f>
        <v/>
      </c>
      <c r="I493" s="16">
        <f>IF(AND($A493="",$B493="",$C493="",$D493="",$E493=""),"",IF(OR($A493="",$F493=""),"UNKNOWN_ACCOUNT",IF(OR($B493="",$C493=""),"INCOMPLETE",IFERROR(IF(OR(NOT(ISNUMBER($B493)),NOT(ISNUMBER($C493)),IF(C493="",FALSE,IF(ISNUMBER(C493),OR(C493&lt;=0,C493&gt;100000000,ROUND(C493*100,6)&lt;&gt;INT(ROUND(C493*100,6))),TRUE)),IF(D493="",FALSE,IF(ISNUMBER(D493),OR(D493&lt;=0,D493&gt;100000000,ROUND(D493*100,6)&lt;&gt;INT(ROUND(D493*100,6))),TRUE)),IF(E493="",FALSE,IF(ISNUMBER(E493),OR(E493&lt;=0,E493&gt;100000000,ROUND(E493*100,6)&lt;&gt;INT(ROUND(E493*100,6))),TRUE)),AND($D493&lt;&gt;"",$D493&lt;MAX($C493,$E493)),AND($E493&lt;&gt;"",$E493&gt;MIN($C493,IF($D493="",$C493,$D493))),COUNTIFS($A$2:$A$1001,$A493,$B$2:$B$1001,$B493)&gt;1),"INVALID",IFERROR(IF(IF(INDEX(Accounts!$T$2:$T$11,$F493),ROUND(IF($E493="",$C493,MIN($C493,$E493))-(H493),6)&lt;=0,ROUND(IF($E493="",$C493,MIN($C493,$E493))-(H493),6)&lt;0),"BREACHED","OK"),"INCOMPLETE")),"INVALID"))))</f>
        <v/>
      </c>
      <c r="J493" s="33">
        <f>IF(OR(I493="OK",I493="BREACHED"),-INT(ROUND(-(H493)*100,6))/100,I493)</f>
        <v/>
      </c>
    </row>
    <row r="494" ht="18" customHeight="1">
      <c r="A494" s="9" t="n"/>
      <c r="B494" s="32" t="n"/>
      <c r="C494" s="12" t="n"/>
      <c r="D494" s="12" t="n"/>
      <c r="E494" s="12" t="n"/>
      <c r="F494" s="15">
        <f>IFERROR(MATCH($A494,Accounts!$A$2:$A$11,0),"")</f>
        <v/>
      </c>
      <c r="G494" s="14">
        <f>IFERROR(IF(OR($A494="",$F494=""),"",IF(INDEX(Accounts!$P$2:$P$11,$F494)="static",INDEX(Accounts!$Q$2:$Q$11,$F494),IF(INDEX(Accounts!$P$2:$P$11,$F494)="eod_trailing",MAX(INDEX(Accounts!$Q$2:$Q$11,$F494),_xlfn.MAXIFS($C$2:$C$1001,$A$2:$A$1001,$A494,$B$2:$B$1001,"&lt;"&amp;$B494)),MAX(INDEX(Accounts!$Q$2:$Q$11,$F494),_xlfn.MAXIFS($C$2:$C$1001,$A$2:$A$1001,$A494,$B$2:$B$1001,"&lt;"&amp;$B494),_xlfn.MAXIFS($D$2:$D$1001,$A$2:$A$1001,$A494,$B$2:$B$1001,"&lt;="&amp;$B494),$C494)))),"")</f>
        <v/>
      </c>
      <c r="H494" s="15">
        <f>IFERROR(IF(G494="","",IF(INDEX(Accounts!$P$2:$P$11,$F494)="static",INDEX(Accounts!$Q$2:$Q$11,$F494)-INDEX(Accounts!$R$2:$R$11,$F494),IF(INDEX(Accounts!$S$2:$S$11,$F494)="NONE",G494-INDEX(Accounts!$R$2:$R$11,$F494),MIN(G494-INDEX(Accounts!$R$2:$R$11,$F494),INDEX(Accounts!$Q$2:$Q$11,$F494)+INDEX(Accounts!$S$2:$S$11,$F494))))),"")</f>
        <v/>
      </c>
      <c r="I494" s="16">
        <f>IF(AND($A494="",$B494="",$C494="",$D494="",$E494=""),"",IF(OR($A494="",$F494=""),"UNKNOWN_ACCOUNT",IF(OR($B494="",$C494=""),"INCOMPLETE",IFERROR(IF(OR(NOT(ISNUMBER($B494)),NOT(ISNUMBER($C494)),IF(C494="",FALSE,IF(ISNUMBER(C494),OR(C494&lt;=0,C494&gt;100000000,ROUND(C494*100,6)&lt;&gt;INT(ROUND(C494*100,6))),TRUE)),IF(D494="",FALSE,IF(ISNUMBER(D494),OR(D494&lt;=0,D494&gt;100000000,ROUND(D494*100,6)&lt;&gt;INT(ROUND(D494*100,6))),TRUE)),IF(E494="",FALSE,IF(ISNUMBER(E494),OR(E494&lt;=0,E494&gt;100000000,ROUND(E494*100,6)&lt;&gt;INT(ROUND(E494*100,6))),TRUE)),AND($D494&lt;&gt;"",$D494&lt;MAX($C494,$E494)),AND($E494&lt;&gt;"",$E494&gt;MIN($C494,IF($D494="",$C494,$D494))),COUNTIFS($A$2:$A$1001,$A494,$B$2:$B$1001,$B494)&gt;1),"INVALID",IFERROR(IF(IF(INDEX(Accounts!$T$2:$T$11,$F494),ROUND(IF($E494="",$C494,MIN($C494,$E494))-(H494),6)&lt;=0,ROUND(IF($E494="",$C494,MIN($C494,$E494))-(H494),6)&lt;0),"BREACHED","OK"),"INCOMPLETE")),"INVALID"))))</f>
        <v/>
      </c>
      <c r="J494" s="33">
        <f>IF(OR(I494="OK",I494="BREACHED"),-INT(ROUND(-(H494)*100,6))/100,I494)</f>
        <v/>
      </c>
    </row>
    <row r="495" ht="18" customHeight="1">
      <c r="A495" s="9" t="n"/>
      <c r="B495" s="32" t="n"/>
      <c r="C495" s="12" t="n"/>
      <c r="D495" s="12" t="n"/>
      <c r="E495" s="12" t="n"/>
      <c r="F495" s="15">
        <f>IFERROR(MATCH($A495,Accounts!$A$2:$A$11,0),"")</f>
        <v/>
      </c>
      <c r="G495" s="14">
        <f>IFERROR(IF(OR($A495="",$F495=""),"",IF(INDEX(Accounts!$P$2:$P$11,$F495)="static",INDEX(Accounts!$Q$2:$Q$11,$F495),IF(INDEX(Accounts!$P$2:$P$11,$F495)="eod_trailing",MAX(INDEX(Accounts!$Q$2:$Q$11,$F495),_xlfn.MAXIFS($C$2:$C$1001,$A$2:$A$1001,$A495,$B$2:$B$1001,"&lt;"&amp;$B495)),MAX(INDEX(Accounts!$Q$2:$Q$11,$F495),_xlfn.MAXIFS($C$2:$C$1001,$A$2:$A$1001,$A495,$B$2:$B$1001,"&lt;"&amp;$B495),_xlfn.MAXIFS($D$2:$D$1001,$A$2:$A$1001,$A495,$B$2:$B$1001,"&lt;="&amp;$B495),$C495)))),"")</f>
        <v/>
      </c>
      <c r="H495" s="15">
        <f>IFERROR(IF(G495="","",IF(INDEX(Accounts!$P$2:$P$11,$F495)="static",INDEX(Accounts!$Q$2:$Q$11,$F495)-INDEX(Accounts!$R$2:$R$11,$F495),IF(INDEX(Accounts!$S$2:$S$11,$F495)="NONE",G495-INDEX(Accounts!$R$2:$R$11,$F495),MIN(G495-INDEX(Accounts!$R$2:$R$11,$F495),INDEX(Accounts!$Q$2:$Q$11,$F495)+INDEX(Accounts!$S$2:$S$11,$F495))))),"")</f>
        <v/>
      </c>
      <c r="I495" s="16">
        <f>IF(AND($A495="",$B495="",$C495="",$D495="",$E495=""),"",IF(OR($A495="",$F495=""),"UNKNOWN_ACCOUNT",IF(OR($B495="",$C495=""),"INCOMPLETE",IFERROR(IF(OR(NOT(ISNUMBER($B495)),NOT(ISNUMBER($C495)),IF(C495="",FALSE,IF(ISNUMBER(C495),OR(C495&lt;=0,C495&gt;100000000,ROUND(C495*100,6)&lt;&gt;INT(ROUND(C495*100,6))),TRUE)),IF(D495="",FALSE,IF(ISNUMBER(D495),OR(D495&lt;=0,D495&gt;100000000,ROUND(D495*100,6)&lt;&gt;INT(ROUND(D495*100,6))),TRUE)),IF(E495="",FALSE,IF(ISNUMBER(E495),OR(E495&lt;=0,E495&gt;100000000,ROUND(E495*100,6)&lt;&gt;INT(ROUND(E495*100,6))),TRUE)),AND($D495&lt;&gt;"",$D495&lt;MAX($C495,$E495)),AND($E495&lt;&gt;"",$E495&gt;MIN($C495,IF($D495="",$C495,$D495))),COUNTIFS($A$2:$A$1001,$A495,$B$2:$B$1001,$B495)&gt;1),"INVALID",IFERROR(IF(IF(INDEX(Accounts!$T$2:$T$11,$F495),ROUND(IF($E495="",$C495,MIN($C495,$E495))-(H495),6)&lt;=0,ROUND(IF($E495="",$C495,MIN($C495,$E495))-(H495),6)&lt;0),"BREACHED","OK"),"INCOMPLETE")),"INVALID"))))</f>
        <v/>
      </c>
      <c r="J495" s="33">
        <f>IF(OR(I495="OK",I495="BREACHED"),-INT(ROUND(-(H495)*100,6))/100,I495)</f>
        <v/>
      </c>
    </row>
    <row r="496" ht="18" customHeight="1">
      <c r="A496" s="9" t="n"/>
      <c r="B496" s="32" t="n"/>
      <c r="C496" s="12" t="n"/>
      <c r="D496" s="12" t="n"/>
      <c r="E496" s="12" t="n"/>
      <c r="F496" s="15">
        <f>IFERROR(MATCH($A496,Accounts!$A$2:$A$11,0),"")</f>
        <v/>
      </c>
      <c r="G496" s="14">
        <f>IFERROR(IF(OR($A496="",$F496=""),"",IF(INDEX(Accounts!$P$2:$P$11,$F496)="static",INDEX(Accounts!$Q$2:$Q$11,$F496),IF(INDEX(Accounts!$P$2:$P$11,$F496)="eod_trailing",MAX(INDEX(Accounts!$Q$2:$Q$11,$F496),_xlfn.MAXIFS($C$2:$C$1001,$A$2:$A$1001,$A496,$B$2:$B$1001,"&lt;"&amp;$B496)),MAX(INDEX(Accounts!$Q$2:$Q$11,$F496),_xlfn.MAXIFS($C$2:$C$1001,$A$2:$A$1001,$A496,$B$2:$B$1001,"&lt;"&amp;$B496),_xlfn.MAXIFS($D$2:$D$1001,$A$2:$A$1001,$A496,$B$2:$B$1001,"&lt;="&amp;$B496),$C496)))),"")</f>
        <v/>
      </c>
      <c r="H496" s="15">
        <f>IFERROR(IF(G496="","",IF(INDEX(Accounts!$P$2:$P$11,$F496)="static",INDEX(Accounts!$Q$2:$Q$11,$F496)-INDEX(Accounts!$R$2:$R$11,$F496),IF(INDEX(Accounts!$S$2:$S$11,$F496)="NONE",G496-INDEX(Accounts!$R$2:$R$11,$F496),MIN(G496-INDEX(Accounts!$R$2:$R$11,$F496),INDEX(Accounts!$Q$2:$Q$11,$F496)+INDEX(Accounts!$S$2:$S$11,$F496))))),"")</f>
        <v/>
      </c>
      <c r="I496" s="16">
        <f>IF(AND($A496="",$B496="",$C496="",$D496="",$E496=""),"",IF(OR($A496="",$F496=""),"UNKNOWN_ACCOUNT",IF(OR($B496="",$C496=""),"INCOMPLETE",IFERROR(IF(OR(NOT(ISNUMBER($B496)),NOT(ISNUMBER($C496)),IF(C496="",FALSE,IF(ISNUMBER(C496),OR(C496&lt;=0,C496&gt;100000000,ROUND(C496*100,6)&lt;&gt;INT(ROUND(C496*100,6))),TRUE)),IF(D496="",FALSE,IF(ISNUMBER(D496),OR(D496&lt;=0,D496&gt;100000000,ROUND(D496*100,6)&lt;&gt;INT(ROUND(D496*100,6))),TRUE)),IF(E496="",FALSE,IF(ISNUMBER(E496),OR(E496&lt;=0,E496&gt;100000000,ROUND(E496*100,6)&lt;&gt;INT(ROUND(E496*100,6))),TRUE)),AND($D496&lt;&gt;"",$D496&lt;MAX($C496,$E496)),AND($E496&lt;&gt;"",$E496&gt;MIN($C496,IF($D496="",$C496,$D496))),COUNTIFS($A$2:$A$1001,$A496,$B$2:$B$1001,$B496)&gt;1),"INVALID",IFERROR(IF(IF(INDEX(Accounts!$T$2:$T$11,$F496),ROUND(IF($E496="",$C496,MIN($C496,$E496))-(H496),6)&lt;=0,ROUND(IF($E496="",$C496,MIN($C496,$E496))-(H496),6)&lt;0),"BREACHED","OK"),"INCOMPLETE")),"INVALID"))))</f>
        <v/>
      </c>
      <c r="J496" s="33">
        <f>IF(OR(I496="OK",I496="BREACHED"),-INT(ROUND(-(H496)*100,6))/100,I496)</f>
        <v/>
      </c>
    </row>
    <row r="497" ht="18" customHeight="1">
      <c r="A497" s="9" t="n"/>
      <c r="B497" s="32" t="n"/>
      <c r="C497" s="12" t="n"/>
      <c r="D497" s="12" t="n"/>
      <c r="E497" s="12" t="n"/>
      <c r="F497" s="15">
        <f>IFERROR(MATCH($A497,Accounts!$A$2:$A$11,0),"")</f>
        <v/>
      </c>
      <c r="G497" s="14">
        <f>IFERROR(IF(OR($A497="",$F497=""),"",IF(INDEX(Accounts!$P$2:$P$11,$F497)="static",INDEX(Accounts!$Q$2:$Q$11,$F497),IF(INDEX(Accounts!$P$2:$P$11,$F497)="eod_trailing",MAX(INDEX(Accounts!$Q$2:$Q$11,$F497),_xlfn.MAXIFS($C$2:$C$1001,$A$2:$A$1001,$A497,$B$2:$B$1001,"&lt;"&amp;$B497)),MAX(INDEX(Accounts!$Q$2:$Q$11,$F497),_xlfn.MAXIFS($C$2:$C$1001,$A$2:$A$1001,$A497,$B$2:$B$1001,"&lt;"&amp;$B497),_xlfn.MAXIFS($D$2:$D$1001,$A$2:$A$1001,$A497,$B$2:$B$1001,"&lt;="&amp;$B497),$C497)))),"")</f>
        <v/>
      </c>
      <c r="H497" s="15">
        <f>IFERROR(IF(G497="","",IF(INDEX(Accounts!$P$2:$P$11,$F497)="static",INDEX(Accounts!$Q$2:$Q$11,$F497)-INDEX(Accounts!$R$2:$R$11,$F497),IF(INDEX(Accounts!$S$2:$S$11,$F497)="NONE",G497-INDEX(Accounts!$R$2:$R$11,$F497),MIN(G497-INDEX(Accounts!$R$2:$R$11,$F497),INDEX(Accounts!$Q$2:$Q$11,$F497)+INDEX(Accounts!$S$2:$S$11,$F497))))),"")</f>
        <v/>
      </c>
      <c r="I497" s="16">
        <f>IF(AND($A497="",$B497="",$C497="",$D497="",$E497=""),"",IF(OR($A497="",$F497=""),"UNKNOWN_ACCOUNT",IF(OR($B497="",$C497=""),"INCOMPLETE",IFERROR(IF(OR(NOT(ISNUMBER($B497)),NOT(ISNUMBER($C497)),IF(C497="",FALSE,IF(ISNUMBER(C497),OR(C497&lt;=0,C497&gt;100000000,ROUND(C497*100,6)&lt;&gt;INT(ROUND(C497*100,6))),TRUE)),IF(D497="",FALSE,IF(ISNUMBER(D497),OR(D497&lt;=0,D497&gt;100000000,ROUND(D497*100,6)&lt;&gt;INT(ROUND(D497*100,6))),TRUE)),IF(E497="",FALSE,IF(ISNUMBER(E497),OR(E497&lt;=0,E497&gt;100000000,ROUND(E497*100,6)&lt;&gt;INT(ROUND(E497*100,6))),TRUE)),AND($D497&lt;&gt;"",$D497&lt;MAX($C497,$E497)),AND($E497&lt;&gt;"",$E497&gt;MIN($C497,IF($D497="",$C497,$D497))),COUNTIFS($A$2:$A$1001,$A497,$B$2:$B$1001,$B497)&gt;1),"INVALID",IFERROR(IF(IF(INDEX(Accounts!$T$2:$T$11,$F497),ROUND(IF($E497="",$C497,MIN($C497,$E497))-(H497),6)&lt;=0,ROUND(IF($E497="",$C497,MIN($C497,$E497))-(H497),6)&lt;0),"BREACHED","OK"),"INCOMPLETE")),"INVALID"))))</f>
        <v/>
      </c>
      <c r="J497" s="33">
        <f>IF(OR(I497="OK",I497="BREACHED"),-INT(ROUND(-(H497)*100,6))/100,I497)</f>
        <v/>
      </c>
    </row>
    <row r="498" ht="18" customHeight="1">
      <c r="A498" s="9" t="n"/>
      <c r="B498" s="32" t="n"/>
      <c r="C498" s="12" t="n"/>
      <c r="D498" s="12" t="n"/>
      <c r="E498" s="12" t="n"/>
      <c r="F498" s="15">
        <f>IFERROR(MATCH($A498,Accounts!$A$2:$A$11,0),"")</f>
        <v/>
      </c>
      <c r="G498" s="14">
        <f>IFERROR(IF(OR($A498="",$F498=""),"",IF(INDEX(Accounts!$P$2:$P$11,$F498)="static",INDEX(Accounts!$Q$2:$Q$11,$F498),IF(INDEX(Accounts!$P$2:$P$11,$F498)="eod_trailing",MAX(INDEX(Accounts!$Q$2:$Q$11,$F498),_xlfn.MAXIFS($C$2:$C$1001,$A$2:$A$1001,$A498,$B$2:$B$1001,"&lt;"&amp;$B498)),MAX(INDEX(Accounts!$Q$2:$Q$11,$F498),_xlfn.MAXIFS($C$2:$C$1001,$A$2:$A$1001,$A498,$B$2:$B$1001,"&lt;"&amp;$B498),_xlfn.MAXIFS($D$2:$D$1001,$A$2:$A$1001,$A498,$B$2:$B$1001,"&lt;="&amp;$B498),$C498)))),"")</f>
        <v/>
      </c>
      <c r="H498" s="15">
        <f>IFERROR(IF(G498="","",IF(INDEX(Accounts!$P$2:$P$11,$F498)="static",INDEX(Accounts!$Q$2:$Q$11,$F498)-INDEX(Accounts!$R$2:$R$11,$F498),IF(INDEX(Accounts!$S$2:$S$11,$F498)="NONE",G498-INDEX(Accounts!$R$2:$R$11,$F498),MIN(G498-INDEX(Accounts!$R$2:$R$11,$F498),INDEX(Accounts!$Q$2:$Q$11,$F498)+INDEX(Accounts!$S$2:$S$11,$F498))))),"")</f>
        <v/>
      </c>
      <c r="I498" s="16">
        <f>IF(AND($A498="",$B498="",$C498="",$D498="",$E498=""),"",IF(OR($A498="",$F498=""),"UNKNOWN_ACCOUNT",IF(OR($B498="",$C498=""),"INCOMPLETE",IFERROR(IF(OR(NOT(ISNUMBER($B498)),NOT(ISNUMBER($C498)),IF(C498="",FALSE,IF(ISNUMBER(C498),OR(C498&lt;=0,C498&gt;100000000,ROUND(C498*100,6)&lt;&gt;INT(ROUND(C498*100,6))),TRUE)),IF(D498="",FALSE,IF(ISNUMBER(D498),OR(D498&lt;=0,D498&gt;100000000,ROUND(D498*100,6)&lt;&gt;INT(ROUND(D498*100,6))),TRUE)),IF(E498="",FALSE,IF(ISNUMBER(E498),OR(E498&lt;=0,E498&gt;100000000,ROUND(E498*100,6)&lt;&gt;INT(ROUND(E498*100,6))),TRUE)),AND($D498&lt;&gt;"",$D498&lt;MAX($C498,$E498)),AND($E498&lt;&gt;"",$E498&gt;MIN($C498,IF($D498="",$C498,$D498))),COUNTIFS($A$2:$A$1001,$A498,$B$2:$B$1001,$B498)&gt;1),"INVALID",IFERROR(IF(IF(INDEX(Accounts!$T$2:$T$11,$F498),ROUND(IF($E498="",$C498,MIN($C498,$E498))-(H498),6)&lt;=0,ROUND(IF($E498="",$C498,MIN($C498,$E498))-(H498),6)&lt;0),"BREACHED","OK"),"INCOMPLETE")),"INVALID"))))</f>
        <v/>
      </c>
      <c r="J498" s="33">
        <f>IF(OR(I498="OK",I498="BREACHED"),-INT(ROUND(-(H498)*100,6))/100,I498)</f>
        <v/>
      </c>
    </row>
    <row r="499" ht="18" customHeight="1">
      <c r="A499" s="9" t="n"/>
      <c r="B499" s="32" t="n"/>
      <c r="C499" s="12" t="n"/>
      <c r="D499" s="12" t="n"/>
      <c r="E499" s="12" t="n"/>
      <c r="F499" s="15">
        <f>IFERROR(MATCH($A499,Accounts!$A$2:$A$11,0),"")</f>
        <v/>
      </c>
      <c r="G499" s="14">
        <f>IFERROR(IF(OR($A499="",$F499=""),"",IF(INDEX(Accounts!$P$2:$P$11,$F499)="static",INDEX(Accounts!$Q$2:$Q$11,$F499),IF(INDEX(Accounts!$P$2:$P$11,$F499)="eod_trailing",MAX(INDEX(Accounts!$Q$2:$Q$11,$F499),_xlfn.MAXIFS($C$2:$C$1001,$A$2:$A$1001,$A499,$B$2:$B$1001,"&lt;"&amp;$B499)),MAX(INDEX(Accounts!$Q$2:$Q$11,$F499),_xlfn.MAXIFS($C$2:$C$1001,$A$2:$A$1001,$A499,$B$2:$B$1001,"&lt;"&amp;$B499),_xlfn.MAXIFS($D$2:$D$1001,$A$2:$A$1001,$A499,$B$2:$B$1001,"&lt;="&amp;$B499),$C499)))),"")</f>
        <v/>
      </c>
      <c r="H499" s="15">
        <f>IFERROR(IF(G499="","",IF(INDEX(Accounts!$P$2:$P$11,$F499)="static",INDEX(Accounts!$Q$2:$Q$11,$F499)-INDEX(Accounts!$R$2:$R$11,$F499),IF(INDEX(Accounts!$S$2:$S$11,$F499)="NONE",G499-INDEX(Accounts!$R$2:$R$11,$F499),MIN(G499-INDEX(Accounts!$R$2:$R$11,$F499),INDEX(Accounts!$Q$2:$Q$11,$F499)+INDEX(Accounts!$S$2:$S$11,$F499))))),"")</f>
        <v/>
      </c>
      <c r="I499" s="16">
        <f>IF(AND($A499="",$B499="",$C499="",$D499="",$E499=""),"",IF(OR($A499="",$F499=""),"UNKNOWN_ACCOUNT",IF(OR($B499="",$C499=""),"INCOMPLETE",IFERROR(IF(OR(NOT(ISNUMBER($B499)),NOT(ISNUMBER($C499)),IF(C499="",FALSE,IF(ISNUMBER(C499),OR(C499&lt;=0,C499&gt;100000000,ROUND(C499*100,6)&lt;&gt;INT(ROUND(C499*100,6))),TRUE)),IF(D499="",FALSE,IF(ISNUMBER(D499),OR(D499&lt;=0,D499&gt;100000000,ROUND(D499*100,6)&lt;&gt;INT(ROUND(D499*100,6))),TRUE)),IF(E499="",FALSE,IF(ISNUMBER(E499),OR(E499&lt;=0,E499&gt;100000000,ROUND(E499*100,6)&lt;&gt;INT(ROUND(E499*100,6))),TRUE)),AND($D499&lt;&gt;"",$D499&lt;MAX($C499,$E499)),AND($E499&lt;&gt;"",$E499&gt;MIN($C499,IF($D499="",$C499,$D499))),COUNTIFS($A$2:$A$1001,$A499,$B$2:$B$1001,$B499)&gt;1),"INVALID",IFERROR(IF(IF(INDEX(Accounts!$T$2:$T$11,$F499),ROUND(IF($E499="",$C499,MIN($C499,$E499))-(H499),6)&lt;=0,ROUND(IF($E499="",$C499,MIN($C499,$E499))-(H499),6)&lt;0),"BREACHED","OK"),"INCOMPLETE")),"INVALID"))))</f>
        <v/>
      </c>
      <c r="J499" s="33">
        <f>IF(OR(I499="OK",I499="BREACHED"),-INT(ROUND(-(H499)*100,6))/100,I499)</f>
        <v/>
      </c>
    </row>
    <row r="500" ht="18" customHeight="1">
      <c r="A500" s="9" t="n"/>
      <c r="B500" s="32" t="n"/>
      <c r="C500" s="12" t="n"/>
      <c r="D500" s="12" t="n"/>
      <c r="E500" s="12" t="n"/>
      <c r="F500" s="15">
        <f>IFERROR(MATCH($A500,Accounts!$A$2:$A$11,0),"")</f>
        <v/>
      </c>
      <c r="G500" s="14">
        <f>IFERROR(IF(OR($A500="",$F500=""),"",IF(INDEX(Accounts!$P$2:$P$11,$F500)="static",INDEX(Accounts!$Q$2:$Q$11,$F500),IF(INDEX(Accounts!$P$2:$P$11,$F500)="eod_trailing",MAX(INDEX(Accounts!$Q$2:$Q$11,$F500),_xlfn.MAXIFS($C$2:$C$1001,$A$2:$A$1001,$A500,$B$2:$B$1001,"&lt;"&amp;$B500)),MAX(INDEX(Accounts!$Q$2:$Q$11,$F500),_xlfn.MAXIFS($C$2:$C$1001,$A$2:$A$1001,$A500,$B$2:$B$1001,"&lt;"&amp;$B500),_xlfn.MAXIFS($D$2:$D$1001,$A$2:$A$1001,$A500,$B$2:$B$1001,"&lt;="&amp;$B500),$C500)))),"")</f>
        <v/>
      </c>
      <c r="H500" s="15">
        <f>IFERROR(IF(G500="","",IF(INDEX(Accounts!$P$2:$P$11,$F500)="static",INDEX(Accounts!$Q$2:$Q$11,$F500)-INDEX(Accounts!$R$2:$R$11,$F500),IF(INDEX(Accounts!$S$2:$S$11,$F500)="NONE",G500-INDEX(Accounts!$R$2:$R$11,$F500),MIN(G500-INDEX(Accounts!$R$2:$R$11,$F500),INDEX(Accounts!$Q$2:$Q$11,$F500)+INDEX(Accounts!$S$2:$S$11,$F500))))),"")</f>
        <v/>
      </c>
      <c r="I500" s="16">
        <f>IF(AND($A500="",$B500="",$C500="",$D500="",$E500=""),"",IF(OR($A500="",$F500=""),"UNKNOWN_ACCOUNT",IF(OR($B500="",$C500=""),"INCOMPLETE",IFERROR(IF(OR(NOT(ISNUMBER($B500)),NOT(ISNUMBER($C500)),IF(C500="",FALSE,IF(ISNUMBER(C500),OR(C500&lt;=0,C500&gt;100000000,ROUND(C500*100,6)&lt;&gt;INT(ROUND(C500*100,6))),TRUE)),IF(D500="",FALSE,IF(ISNUMBER(D500),OR(D500&lt;=0,D500&gt;100000000,ROUND(D500*100,6)&lt;&gt;INT(ROUND(D500*100,6))),TRUE)),IF(E500="",FALSE,IF(ISNUMBER(E500),OR(E500&lt;=0,E500&gt;100000000,ROUND(E500*100,6)&lt;&gt;INT(ROUND(E500*100,6))),TRUE)),AND($D500&lt;&gt;"",$D500&lt;MAX($C500,$E500)),AND($E500&lt;&gt;"",$E500&gt;MIN($C500,IF($D500="",$C500,$D500))),COUNTIFS($A$2:$A$1001,$A500,$B$2:$B$1001,$B500)&gt;1),"INVALID",IFERROR(IF(IF(INDEX(Accounts!$T$2:$T$11,$F500),ROUND(IF($E500="",$C500,MIN($C500,$E500))-(H500),6)&lt;=0,ROUND(IF($E500="",$C500,MIN($C500,$E500))-(H500),6)&lt;0),"BREACHED","OK"),"INCOMPLETE")),"INVALID"))))</f>
        <v/>
      </c>
      <c r="J500" s="33">
        <f>IF(OR(I500="OK",I500="BREACHED"),-INT(ROUND(-(H500)*100,6))/100,I500)</f>
        <v/>
      </c>
    </row>
    <row r="501" ht="18" customHeight="1">
      <c r="A501" s="9" t="n"/>
      <c r="B501" s="32" t="n"/>
      <c r="C501" s="12" t="n"/>
      <c r="D501" s="12" t="n"/>
      <c r="E501" s="12" t="n"/>
      <c r="F501" s="15">
        <f>IFERROR(MATCH($A501,Accounts!$A$2:$A$11,0),"")</f>
        <v/>
      </c>
      <c r="G501" s="14">
        <f>IFERROR(IF(OR($A501="",$F501=""),"",IF(INDEX(Accounts!$P$2:$P$11,$F501)="static",INDEX(Accounts!$Q$2:$Q$11,$F501),IF(INDEX(Accounts!$P$2:$P$11,$F501)="eod_trailing",MAX(INDEX(Accounts!$Q$2:$Q$11,$F501),_xlfn.MAXIFS($C$2:$C$1001,$A$2:$A$1001,$A501,$B$2:$B$1001,"&lt;"&amp;$B501)),MAX(INDEX(Accounts!$Q$2:$Q$11,$F501),_xlfn.MAXIFS($C$2:$C$1001,$A$2:$A$1001,$A501,$B$2:$B$1001,"&lt;"&amp;$B501),_xlfn.MAXIFS($D$2:$D$1001,$A$2:$A$1001,$A501,$B$2:$B$1001,"&lt;="&amp;$B501),$C501)))),"")</f>
        <v/>
      </c>
      <c r="H501" s="15">
        <f>IFERROR(IF(G501="","",IF(INDEX(Accounts!$P$2:$P$11,$F501)="static",INDEX(Accounts!$Q$2:$Q$11,$F501)-INDEX(Accounts!$R$2:$R$11,$F501),IF(INDEX(Accounts!$S$2:$S$11,$F501)="NONE",G501-INDEX(Accounts!$R$2:$R$11,$F501),MIN(G501-INDEX(Accounts!$R$2:$R$11,$F501),INDEX(Accounts!$Q$2:$Q$11,$F501)+INDEX(Accounts!$S$2:$S$11,$F501))))),"")</f>
        <v/>
      </c>
      <c r="I501" s="16">
        <f>IF(AND($A501="",$B501="",$C501="",$D501="",$E501=""),"",IF(OR($A501="",$F501=""),"UNKNOWN_ACCOUNT",IF(OR($B501="",$C501=""),"INCOMPLETE",IFERROR(IF(OR(NOT(ISNUMBER($B501)),NOT(ISNUMBER($C501)),IF(C501="",FALSE,IF(ISNUMBER(C501),OR(C501&lt;=0,C501&gt;100000000,ROUND(C501*100,6)&lt;&gt;INT(ROUND(C501*100,6))),TRUE)),IF(D501="",FALSE,IF(ISNUMBER(D501),OR(D501&lt;=0,D501&gt;100000000,ROUND(D501*100,6)&lt;&gt;INT(ROUND(D501*100,6))),TRUE)),IF(E501="",FALSE,IF(ISNUMBER(E501),OR(E501&lt;=0,E501&gt;100000000,ROUND(E501*100,6)&lt;&gt;INT(ROUND(E501*100,6))),TRUE)),AND($D501&lt;&gt;"",$D501&lt;MAX($C501,$E501)),AND($E501&lt;&gt;"",$E501&gt;MIN($C501,IF($D501="",$C501,$D501))),COUNTIFS($A$2:$A$1001,$A501,$B$2:$B$1001,$B501)&gt;1),"INVALID",IFERROR(IF(IF(INDEX(Accounts!$T$2:$T$11,$F501),ROUND(IF($E501="",$C501,MIN($C501,$E501))-(H501),6)&lt;=0,ROUND(IF($E501="",$C501,MIN($C501,$E501))-(H501),6)&lt;0),"BREACHED","OK"),"INCOMPLETE")),"INVALID"))))</f>
        <v/>
      </c>
      <c r="J501" s="33">
        <f>IF(OR(I501="OK",I501="BREACHED"),-INT(ROUND(-(H501)*100,6))/100,I501)</f>
        <v/>
      </c>
    </row>
    <row r="502" ht="18" customHeight="1">
      <c r="A502" s="9" t="n"/>
      <c r="B502" s="32" t="n"/>
      <c r="C502" s="12" t="n"/>
      <c r="D502" s="12" t="n"/>
      <c r="E502" s="12" t="n"/>
      <c r="F502" s="15">
        <f>IFERROR(MATCH($A502,Accounts!$A$2:$A$11,0),"")</f>
        <v/>
      </c>
      <c r="G502" s="14">
        <f>IFERROR(IF(OR($A502="",$F502=""),"",IF(INDEX(Accounts!$P$2:$P$11,$F502)="static",INDEX(Accounts!$Q$2:$Q$11,$F502),IF(INDEX(Accounts!$P$2:$P$11,$F502)="eod_trailing",MAX(INDEX(Accounts!$Q$2:$Q$11,$F502),_xlfn.MAXIFS($C$2:$C$1001,$A$2:$A$1001,$A502,$B$2:$B$1001,"&lt;"&amp;$B502)),MAX(INDEX(Accounts!$Q$2:$Q$11,$F502),_xlfn.MAXIFS($C$2:$C$1001,$A$2:$A$1001,$A502,$B$2:$B$1001,"&lt;"&amp;$B502),_xlfn.MAXIFS($D$2:$D$1001,$A$2:$A$1001,$A502,$B$2:$B$1001,"&lt;="&amp;$B502),$C502)))),"")</f>
        <v/>
      </c>
      <c r="H502" s="15">
        <f>IFERROR(IF(G502="","",IF(INDEX(Accounts!$P$2:$P$11,$F502)="static",INDEX(Accounts!$Q$2:$Q$11,$F502)-INDEX(Accounts!$R$2:$R$11,$F502),IF(INDEX(Accounts!$S$2:$S$11,$F502)="NONE",G502-INDEX(Accounts!$R$2:$R$11,$F502),MIN(G502-INDEX(Accounts!$R$2:$R$11,$F502),INDEX(Accounts!$Q$2:$Q$11,$F502)+INDEX(Accounts!$S$2:$S$11,$F502))))),"")</f>
        <v/>
      </c>
      <c r="I502" s="16">
        <f>IF(AND($A502="",$B502="",$C502="",$D502="",$E502=""),"",IF(OR($A502="",$F502=""),"UNKNOWN_ACCOUNT",IF(OR($B502="",$C502=""),"INCOMPLETE",IFERROR(IF(OR(NOT(ISNUMBER($B502)),NOT(ISNUMBER($C502)),IF(C502="",FALSE,IF(ISNUMBER(C502),OR(C502&lt;=0,C502&gt;100000000,ROUND(C502*100,6)&lt;&gt;INT(ROUND(C502*100,6))),TRUE)),IF(D502="",FALSE,IF(ISNUMBER(D502),OR(D502&lt;=0,D502&gt;100000000,ROUND(D502*100,6)&lt;&gt;INT(ROUND(D502*100,6))),TRUE)),IF(E502="",FALSE,IF(ISNUMBER(E502),OR(E502&lt;=0,E502&gt;100000000,ROUND(E502*100,6)&lt;&gt;INT(ROUND(E502*100,6))),TRUE)),AND($D502&lt;&gt;"",$D502&lt;MAX($C502,$E502)),AND($E502&lt;&gt;"",$E502&gt;MIN($C502,IF($D502="",$C502,$D502))),COUNTIFS($A$2:$A$1001,$A502,$B$2:$B$1001,$B502)&gt;1),"INVALID",IFERROR(IF(IF(INDEX(Accounts!$T$2:$T$11,$F502),ROUND(IF($E502="",$C502,MIN($C502,$E502))-(H502),6)&lt;=0,ROUND(IF($E502="",$C502,MIN($C502,$E502))-(H502),6)&lt;0),"BREACHED","OK"),"INCOMPLETE")),"INVALID"))))</f>
        <v/>
      </c>
      <c r="J502" s="33">
        <f>IF(OR(I502="OK",I502="BREACHED"),-INT(ROUND(-(H502)*100,6))/100,I502)</f>
        <v/>
      </c>
    </row>
    <row r="503" ht="18" customHeight="1">
      <c r="A503" s="9" t="n"/>
      <c r="B503" s="32" t="n"/>
      <c r="C503" s="12" t="n"/>
      <c r="D503" s="12" t="n"/>
      <c r="E503" s="12" t="n"/>
      <c r="F503" s="15">
        <f>IFERROR(MATCH($A503,Accounts!$A$2:$A$11,0),"")</f>
        <v/>
      </c>
      <c r="G503" s="14">
        <f>IFERROR(IF(OR($A503="",$F503=""),"",IF(INDEX(Accounts!$P$2:$P$11,$F503)="static",INDEX(Accounts!$Q$2:$Q$11,$F503),IF(INDEX(Accounts!$P$2:$P$11,$F503)="eod_trailing",MAX(INDEX(Accounts!$Q$2:$Q$11,$F503),_xlfn.MAXIFS($C$2:$C$1001,$A$2:$A$1001,$A503,$B$2:$B$1001,"&lt;"&amp;$B503)),MAX(INDEX(Accounts!$Q$2:$Q$11,$F503),_xlfn.MAXIFS($C$2:$C$1001,$A$2:$A$1001,$A503,$B$2:$B$1001,"&lt;"&amp;$B503),_xlfn.MAXIFS($D$2:$D$1001,$A$2:$A$1001,$A503,$B$2:$B$1001,"&lt;="&amp;$B503),$C503)))),"")</f>
        <v/>
      </c>
      <c r="H503" s="15">
        <f>IFERROR(IF(G503="","",IF(INDEX(Accounts!$P$2:$P$11,$F503)="static",INDEX(Accounts!$Q$2:$Q$11,$F503)-INDEX(Accounts!$R$2:$R$11,$F503),IF(INDEX(Accounts!$S$2:$S$11,$F503)="NONE",G503-INDEX(Accounts!$R$2:$R$11,$F503),MIN(G503-INDEX(Accounts!$R$2:$R$11,$F503),INDEX(Accounts!$Q$2:$Q$11,$F503)+INDEX(Accounts!$S$2:$S$11,$F503))))),"")</f>
        <v/>
      </c>
      <c r="I503" s="16">
        <f>IF(AND($A503="",$B503="",$C503="",$D503="",$E503=""),"",IF(OR($A503="",$F503=""),"UNKNOWN_ACCOUNT",IF(OR($B503="",$C503=""),"INCOMPLETE",IFERROR(IF(OR(NOT(ISNUMBER($B503)),NOT(ISNUMBER($C503)),IF(C503="",FALSE,IF(ISNUMBER(C503),OR(C503&lt;=0,C503&gt;100000000,ROUND(C503*100,6)&lt;&gt;INT(ROUND(C503*100,6))),TRUE)),IF(D503="",FALSE,IF(ISNUMBER(D503),OR(D503&lt;=0,D503&gt;100000000,ROUND(D503*100,6)&lt;&gt;INT(ROUND(D503*100,6))),TRUE)),IF(E503="",FALSE,IF(ISNUMBER(E503),OR(E503&lt;=0,E503&gt;100000000,ROUND(E503*100,6)&lt;&gt;INT(ROUND(E503*100,6))),TRUE)),AND($D503&lt;&gt;"",$D503&lt;MAX($C503,$E503)),AND($E503&lt;&gt;"",$E503&gt;MIN($C503,IF($D503="",$C503,$D503))),COUNTIFS($A$2:$A$1001,$A503,$B$2:$B$1001,$B503)&gt;1),"INVALID",IFERROR(IF(IF(INDEX(Accounts!$T$2:$T$11,$F503),ROUND(IF($E503="",$C503,MIN($C503,$E503))-(H503),6)&lt;=0,ROUND(IF($E503="",$C503,MIN($C503,$E503))-(H503),6)&lt;0),"BREACHED","OK"),"INCOMPLETE")),"INVALID"))))</f>
        <v/>
      </c>
      <c r="J503" s="33">
        <f>IF(OR(I503="OK",I503="BREACHED"),-INT(ROUND(-(H503)*100,6))/100,I503)</f>
        <v/>
      </c>
    </row>
    <row r="504" ht="18" customHeight="1">
      <c r="A504" s="9" t="n"/>
      <c r="B504" s="32" t="n"/>
      <c r="C504" s="12" t="n"/>
      <c r="D504" s="12" t="n"/>
      <c r="E504" s="12" t="n"/>
      <c r="F504" s="15">
        <f>IFERROR(MATCH($A504,Accounts!$A$2:$A$11,0),"")</f>
        <v/>
      </c>
      <c r="G504" s="14">
        <f>IFERROR(IF(OR($A504="",$F504=""),"",IF(INDEX(Accounts!$P$2:$P$11,$F504)="static",INDEX(Accounts!$Q$2:$Q$11,$F504),IF(INDEX(Accounts!$P$2:$P$11,$F504)="eod_trailing",MAX(INDEX(Accounts!$Q$2:$Q$11,$F504),_xlfn.MAXIFS($C$2:$C$1001,$A$2:$A$1001,$A504,$B$2:$B$1001,"&lt;"&amp;$B504)),MAX(INDEX(Accounts!$Q$2:$Q$11,$F504),_xlfn.MAXIFS($C$2:$C$1001,$A$2:$A$1001,$A504,$B$2:$B$1001,"&lt;"&amp;$B504),_xlfn.MAXIFS($D$2:$D$1001,$A$2:$A$1001,$A504,$B$2:$B$1001,"&lt;="&amp;$B504),$C504)))),"")</f>
        <v/>
      </c>
      <c r="H504" s="15">
        <f>IFERROR(IF(G504="","",IF(INDEX(Accounts!$P$2:$P$11,$F504)="static",INDEX(Accounts!$Q$2:$Q$11,$F504)-INDEX(Accounts!$R$2:$R$11,$F504),IF(INDEX(Accounts!$S$2:$S$11,$F504)="NONE",G504-INDEX(Accounts!$R$2:$R$11,$F504),MIN(G504-INDEX(Accounts!$R$2:$R$11,$F504),INDEX(Accounts!$Q$2:$Q$11,$F504)+INDEX(Accounts!$S$2:$S$11,$F504))))),"")</f>
        <v/>
      </c>
      <c r="I504" s="16">
        <f>IF(AND($A504="",$B504="",$C504="",$D504="",$E504=""),"",IF(OR($A504="",$F504=""),"UNKNOWN_ACCOUNT",IF(OR($B504="",$C504=""),"INCOMPLETE",IFERROR(IF(OR(NOT(ISNUMBER($B504)),NOT(ISNUMBER($C504)),IF(C504="",FALSE,IF(ISNUMBER(C504),OR(C504&lt;=0,C504&gt;100000000,ROUND(C504*100,6)&lt;&gt;INT(ROUND(C504*100,6))),TRUE)),IF(D504="",FALSE,IF(ISNUMBER(D504),OR(D504&lt;=0,D504&gt;100000000,ROUND(D504*100,6)&lt;&gt;INT(ROUND(D504*100,6))),TRUE)),IF(E504="",FALSE,IF(ISNUMBER(E504),OR(E504&lt;=0,E504&gt;100000000,ROUND(E504*100,6)&lt;&gt;INT(ROUND(E504*100,6))),TRUE)),AND($D504&lt;&gt;"",$D504&lt;MAX($C504,$E504)),AND($E504&lt;&gt;"",$E504&gt;MIN($C504,IF($D504="",$C504,$D504))),COUNTIFS($A$2:$A$1001,$A504,$B$2:$B$1001,$B504)&gt;1),"INVALID",IFERROR(IF(IF(INDEX(Accounts!$T$2:$T$11,$F504),ROUND(IF($E504="",$C504,MIN($C504,$E504))-(H504),6)&lt;=0,ROUND(IF($E504="",$C504,MIN($C504,$E504))-(H504),6)&lt;0),"BREACHED","OK"),"INCOMPLETE")),"INVALID"))))</f>
        <v/>
      </c>
      <c r="J504" s="33">
        <f>IF(OR(I504="OK",I504="BREACHED"),-INT(ROUND(-(H504)*100,6))/100,I504)</f>
        <v/>
      </c>
    </row>
    <row r="505" ht="18" customHeight="1">
      <c r="A505" s="9" t="n"/>
      <c r="B505" s="32" t="n"/>
      <c r="C505" s="12" t="n"/>
      <c r="D505" s="12" t="n"/>
      <c r="E505" s="12" t="n"/>
      <c r="F505" s="15">
        <f>IFERROR(MATCH($A505,Accounts!$A$2:$A$11,0),"")</f>
        <v/>
      </c>
      <c r="G505" s="14">
        <f>IFERROR(IF(OR($A505="",$F505=""),"",IF(INDEX(Accounts!$P$2:$P$11,$F505)="static",INDEX(Accounts!$Q$2:$Q$11,$F505),IF(INDEX(Accounts!$P$2:$P$11,$F505)="eod_trailing",MAX(INDEX(Accounts!$Q$2:$Q$11,$F505),_xlfn.MAXIFS($C$2:$C$1001,$A$2:$A$1001,$A505,$B$2:$B$1001,"&lt;"&amp;$B505)),MAX(INDEX(Accounts!$Q$2:$Q$11,$F505),_xlfn.MAXIFS($C$2:$C$1001,$A$2:$A$1001,$A505,$B$2:$B$1001,"&lt;"&amp;$B505),_xlfn.MAXIFS($D$2:$D$1001,$A$2:$A$1001,$A505,$B$2:$B$1001,"&lt;="&amp;$B505),$C505)))),"")</f>
        <v/>
      </c>
      <c r="H505" s="15">
        <f>IFERROR(IF(G505="","",IF(INDEX(Accounts!$P$2:$P$11,$F505)="static",INDEX(Accounts!$Q$2:$Q$11,$F505)-INDEX(Accounts!$R$2:$R$11,$F505),IF(INDEX(Accounts!$S$2:$S$11,$F505)="NONE",G505-INDEX(Accounts!$R$2:$R$11,$F505),MIN(G505-INDEX(Accounts!$R$2:$R$11,$F505),INDEX(Accounts!$Q$2:$Q$11,$F505)+INDEX(Accounts!$S$2:$S$11,$F505))))),"")</f>
        <v/>
      </c>
      <c r="I505" s="16">
        <f>IF(AND($A505="",$B505="",$C505="",$D505="",$E505=""),"",IF(OR($A505="",$F505=""),"UNKNOWN_ACCOUNT",IF(OR($B505="",$C505=""),"INCOMPLETE",IFERROR(IF(OR(NOT(ISNUMBER($B505)),NOT(ISNUMBER($C505)),IF(C505="",FALSE,IF(ISNUMBER(C505),OR(C505&lt;=0,C505&gt;100000000,ROUND(C505*100,6)&lt;&gt;INT(ROUND(C505*100,6))),TRUE)),IF(D505="",FALSE,IF(ISNUMBER(D505),OR(D505&lt;=0,D505&gt;100000000,ROUND(D505*100,6)&lt;&gt;INT(ROUND(D505*100,6))),TRUE)),IF(E505="",FALSE,IF(ISNUMBER(E505),OR(E505&lt;=0,E505&gt;100000000,ROUND(E505*100,6)&lt;&gt;INT(ROUND(E505*100,6))),TRUE)),AND($D505&lt;&gt;"",$D505&lt;MAX($C505,$E505)),AND($E505&lt;&gt;"",$E505&gt;MIN($C505,IF($D505="",$C505,$D505))),COUNTIFS($A$2:$A$1001,$A505,$B$2:$B$1001,$B505)&gt;1),"INVALID",IFERROR(IF(IF(INDEX(Accounts!$T$2:$T$11,$F505),ROUND(IF($E505="",$C505,MIN($C505,$E505))-(H505),6)&lt;=0,ROUND(IF($E505="",$C505,MIN($C505,$E505))-(H505),6)&lt;0),"BREACHED","OK"),"INCOMPLETE")),"INVALID"))))</f>
        <v/>
      </c>
      <c r="J505" s="33">
        <f>IF(OR(I505="OK",I505="BREACHED"),-INT(ROUND(-(H505)*100,6))/100,I505)</f>
        <v/>
      </c>
    </row>
    <row r="506" ht="18" customHeight="1">
      <c r="A506" s="9" t="n"/>
      <c r="B506" s="32" t="n"/>
      <c r="C506" s="12" t="n"/>
      <c r="D506" s="12" t="n"/>
      <c r="E506" s="12" t="n"/>
      <c r="F506" s="15">
        <f>IFERROR(MATCH($A506,Accounts!$A$2:$A$11,0),"")</f>
        <v/>
      </c>
      <c r="G506" s="14">
        <f>IFERROR(IF(OR($A506="",$F506=""),"",IF(INDEX(Accounts!$P$2:$P$11,$F506)="static",INDEX(Accounts!$Q$2:$Q$11,$F506),IF(INDEX(Accounts!$P$2:$P$11,$F506)="eod_trailing",MAX(INDEX(Accounts!$Q$2:$Q$11,$F506),_xlfn.MAXIFS($C$2:$C$1001,$A$2:$A$1001,$A506,$B$2:$B$1001,"&lt;"&amp;$B506)),MAX(INDEX(Accounts!$Q$2:$Q$11,$F506),_xlfn.MAXIFS($C$2:$C$1001,$A$2:$A$1001,$A506,$B$2:$B$1001,"&lt;"&amp;$B506),_xlfn.MAXIFS($D$2:$D$1001,$A$2:$A$1001,$A506,$B$2:$B$1001,"&lt;="&amp;$B506),$C506)))),"")</f>
        <v/>
      </c>
      <c r="H506" s="15">
        <f>IFERROR(IF(G506="","",IF(INDEX(Accounts!$P$2:$P$11,$F506)="static",INDEX(Accounts!$Q$2:$Q$11,$F506)-INDEX(Accounts!$R$2:$R$11,$F506),IF(INDEX(Accounts!$S$2:$S$11,$F506)="NONE",G506-INDEX(Accounts!$R$2:$R$11,$F506),MIN(G506-INDEX(Accounts!$R$2:$R$11,$F506),INDEX(Accounts!$Q$2:$Q$11,$F506)+INDEX(Accounts!$S$2:$S$11,$F506))))),"")</f>
        <v/>
      </c>
      <c r="I506" s="16">
        <f>IF(AND($A506="",$B506="",$C506="",$D506="",$E506=""),"",IF(OR($A506="",$F506=""),"UNKNOWN_ACCOUNT",IF(OR($B506="",$C506=""),"INCOMPLETE",IFERROR(IF(OR(NOT(ISNUMBER($B506)),NOT(ISNUMBER($C506)),IF(C506="",FALSE,IF(ISNUMBER(C506),OR(C506&lt;=0,C506&gt;100000000,ROUND(C506*100,6)&lt;&gt;INT(ROUND(C506*100,6))),TRUE)),IF(D506="",FALSE,IF(ISNUMBER(D506),OR(D506&lt;=0,D506&gt;100000000,ROUND(D506*100,6)&lt;&gt;INT(ROUND(D506*100,6))),TRUE)),IF(E506="",FALSE,IF(ISNUMBER(E506),OR(E506&lt;=0,E506&gt;100000000,ROUND(E506*100,6)&lt;&gt;INT(ROUND(E506*100,6))),TRUE)),AND($D506&lt;&gt;"",$D506&lt;MAX($C506,$E506)),AND($E506&lt;&gt;"",$E506&gt;MIN($C506,IF($D506="",$C506,$D506))),COUNTIFS($A$2:$A$1001,$A506,$B$2:$B$1001,$B506)&gt;1),"INVALID",IFERROR(IF(IF(INDEX(Accounts!$T$2:$T$11,$F506),ROUND(IF($E506="",$C506,MIN($C506,$E506))-(H506),6)&lt;=0,ROUND(IF($E506="",$C506,MIN($C506,$E506))-(H506),6)&lt;0),"BREACHED","OK"),"INCOMPLETE")),"INVALID"))))</f>
        <v/>
      </c>
      <c r="J506" s="33">
        <f>IF(OR(I506="OK",I506="BREACHED"),-INT(ROUND(-(H506)*100,6))/100,I506)</f>
        <v/>
      </c>
    </row>
    <row r="507" ht="18" customHeight="1">
      <c r="A507" s="9" t="n"/>
      <c r="B507" s="32" t="n"/>
      <c r="C507" s="12" t="n"/>
      <c r="D507" s="12" t="n"/>
      <c r="E507" s="12" t="n"/>
      <c r="F507" s="15">
        <f>IFERROR(MATCH($A507,Accounts!$A$2:$A$11,0),"")</f>
        <v/>
      </c>
      <c r="G507" s="14">
        <f>IFERROR(IF(OR($A507="",$F507=""),"",IF(INDEX(Accounts!$P$2:$P$11,$F507)="static",INDEX(Accounts!$Q$2:$Q$11,$F507),IF(INDEX(Accounts!$P$2:$P$11,$F507)="eod_trailing",MAX(INDEX(Accounts!$Q$2:$Q$11,$F507),_xlfn.MAXIFS($C$2:$C$1001,$A$2:$A$1001,$A507,$B$2:$B$1001,"&lt;"&amp;$B507)),MAX(INDEX(Accounts!$Q$2:$Q$11,$F507),_xlfn.MAXIFS($C$2:$C$1001,$A$2:$A$1001,$A507,$B$2:$B$1001,"&lt;"&amp;$B507),_xlfn.MAXIFS($D$2:$D$1001,$A$2:$A$1001,$A507,$B$2:$B$1001,"&lt;="&amp;$B507),$C507)))),"")</f>
        <v/>
      </c>
      <c r="H507" s="15">
        <f>IFERROR(IF(G507="","",IF(INDEX(Accounts!$P$2:$P$11,$F507)="static",INDEX(Accounts!$Q$2:$Q$11,$F507)-INDEX(Accounts!$R$2:$R$11,$F507),IF(INDEX(Accounts!$S$2:$S$11,$F507)="NONE",G507-INDEX(Accounts!$R$2:$R$11,$F507),MIN(G507-INDEX(Accounts!$R$2:$R$11,$F507),INDEX(Accounts!$Q$2:$Q$11,$F507)+INDEX(Accounts!$S$2:$S$11,$F507))))),"")</f>
        <v/>
      </c>
      <c r="I507" s="16">
        <f>IF(AND($A507="",$B507="",$C507="",$D507="",$E507=""),"",IF(OR($A507="",$F507=""),"UNKNOWN_ACCOUNT",IF(OR($B507="",$C507=""),"INCOMPLETE",IFERROR(IF(OR(NOT(ISNUMBER($B507)),NOT(ISNUMBER($C507)),IF(C507="",FALSE,IF(ISNUMBER(C507),OR(C507&lt;=0,C507&gt;100000000,ROUND(C507*100,6)&lt;&gt;INT(ROUND(C507*100,6))),TRUE)),IF(D507="",FALSE,IF(ISNUMBER(D507),OR(D507&lt;=0,D507&gt;100000000,ROUND(D507*100,6)&lt;&gt;INT(ROUND(D507*100,6))),TRUE)),IF(E507="",FALSE,IF(ISNUMBER(E507),OR(E507&lt;=0,E507&gt;100000000,ROUND(E507*100,6)&lt;&gt;INT(ROUND(E507*100,6))),TRUE)),AND($D507&lt;&gt;"",$D507&lt;MAX($C507,$E507)),AND($E507&lt;&gt;"",$E507&gt;MIN($C507,IF($D507="",$C507,$D507))),COUNTIFS($A$2:$A$1001,$A507,$B$2:$B$1001,$B507)&gt;1),"INVALID",IFERROR(IF(IF(INDEX(Accounts!$T$2:$T$11,$F507),ROUND(IF($E507="",$C507,MIN($C507,$E507))-(H507),6)&lt;=0,ROUND(IF($E507="",$C507,MIN($C507,$E507))-(H507),6)&lt;0),"BREACHED","OK"),"INCOMPLETE")),"INVALID"))))</f>
        <v/>
      </c>
      <c r="J507" s="33">
        <f>IF(OR(I507="OK",I507="BREACHED"),-INT(ROUND(-(H507)*100,6))/100,I507)</f>
        <v/>
      </c>
    </row>
    <row r="508" ht="18" customHeight="1">
      <c r="A508" s="9" t="n"/>
      <c r="B508" s="32" t="n"/>
      <c r="C508" s="12" t="n"/>
      <c r="D508" s="12" t="n"/>
      <c r="E508" s="12" t="n"/>
      <c r="F508" s="15">
        <f>IFERROR(MATCH($A508,Accounts!$A$2:$A$11,0),"")</f>
        <v/>
      </c>
      <c r="G508" s="14">
        <f>IFERROR(IF(OR($A508="",$F508=""),"",IF(INDEX(Accounts!$P$2:$P$11,$F508)="static",INDEX(Accounts!$Q$2:$Q$11,$F508),IF(INDEX(Accounts!$P$2:$P$11,$F508)="eod_trailing",MAX(INDEX(Accounts!$Q$2:$Q$11,$F508),_xlfn.MAXIFS($C$2:$C$1001,$A$2:$A$1001,$A508,$B$2:$B$1001,"&lt;"&amp;$B508)),MAX(INDEX(Accounts!$Q$2:$Q$11,$F508),_xlfn.MAXIFS($C$2:$C$1001,$A$2:$A$1001,$A508,$B$2:$B$1001,"&lt;"&amp;$B508),_xlfn.MAXIFS($D$2:$D$1001,$A$2:$A$1001,$A508,$B$2:$B$1001,"&lt;="&amp;$B508),$C508)))),"")</f>
        <v/>
      </c>
      <c r="H508" s="15">
        <f>IFERROR(IF(G508="","",IF(INDEX(Accounts!$P$2:$P$11,$F508)="static",INDEX(Accounts!$Q$2:$Q$11,$F508)-INDEX(Accounts!$R$2:$R$11,$F508),IF(INDEX(Accounts!$S$2:$S$11,$F508)="NONE",G508-INDEX(Accounts!$R$2:$R$11,$F508),MIN(G508-INDEX(Accounts!$R$2:$R$11,$F508),INDEX(Accounts!$Q$2:$Q$11,$F508)+INDEX(Accounts!$S$2:$S$11,$F508))))),"")</f>
        <v/>
      </c>
      <c r="I508" s="16">
        <f>IF(AND($A508="",$B508="",$C508="",$D508="",$E508=""),"",IF(OR($A508="",$F508=""),"UNKNOWN_ACCOUNT",IF(OR($B508="",$C508=""),"INCOMPLETE",IFERROR(IF(OR(NOT(ISNUMBER($B508)),NOT(ISNUMBER($C508)),IF(C508="",FALSE,IF(ISNUMBER(C508),OR(C508&lt;=0,C508&gt;100000000,ROUND(C508*100,6)&lt;&gt;INT(ROUND(C508*100,6))),TRUE)),IF(D508="",FALSE,IF(ISNUMBER(D508),OR(D508&lt;=0,D508&gt;100000000,ROUND(D508*100,6)&lt;&gt;INT(ROUND(D508*100,6))),TRUE)),IF(E508="",FALSE,IF(ISNUMBER(E508),OR(E508&lt;=0,E508&gt;100000000,ROUND(E508*100,6)&lt;&gt;INT(ROUND(E508*100,6))),TRUE)),AND($D508&lt;&gt;"",$D508&lt;MAX($C508,$E508)),AND($E508&lt;&gt;"",$E508&gt;MIN($C508,IF($D508="",$C508,$D508))),COUNTIFS($A$2:$A$1001,$A508,$B$2:$B$1001,$B508)&gt;1),"INVALID",IFERROR(IF(IF(INDEX(Accounts!$T$2:$T$11,$F508),ROUND(IF($E508="",$C508,MIN($C508,$E508))-(H508),6)&lt;=0,ROUND(IF($E508="",$C508,MIN($C508,$E508))-(H508),6)&lt;0),"BREACHED","OK"),"INCOMPLETE")),"INVALID"))))</f>
        <v/>
      </c>
      <c r="J508" s="33">
        <f>IF(OR(I508="OK",I508="BREACHED"),-INT(ROUND(-(H508)*100,6))/100,I508)</f>
        <v/>
      </c>
    </row>
    <row r="509" ht="18" customHeight="1">
      <c r="A509" s="9" t="n"/>
      <c r="B509" s="32" t="n"/>
      <c r="C509" s="12" t="n"/>
      <c r="D509" s="12" t="n"/>
      <c r="E509" s="12" t="n"/>
      <c r="F509" s="15">
        <f>IFERROR(MATCH($A509,Accounts!$A$2:$A$11,0),"")</f>
        <v/>
      </c>
      <c r="G509" s="14">
        <f>IFERROR(IF(OR($A509="",$F509=""),"",IF(INDEX(Accounts!$P$2:$P$11,$F509)="static",INDEX(Accounts!$Q$2:$Q$11,$F509),IF(INDEX(Accounts!$P$2:$P$11,$F509)="eod_trailing",MAX(INDEX(Accounts!$Q$2:$Q$11,$F509),_xlfn.MAXIFS($C$2:$C$1001,$A$2:$A$1001,$A509,$B$2:$B$1001,"&lt;"&amp;$B509)),MAX(INDEX(Accounts!$Q$2:$Q$11,$F509),_xlfn.MAXIFS($C$2:$C$1001,$A$2:$A$1001,$A509,$B$2:$B$1001,"&lt;"&amp;$B509),_xlfn.MAXIFS($D$2:$D$1001,$A$2:$A$1001,$A509,$B$2:$B$1001,"&lt;="&amp;$B509),$C509)))),"")</f>
        <v/>
      </c>
      <c r="H509" s="15">
        <f>IFERROR(IF(G509="","",IF(INDEX(Accounts!$P$2:$P$11,$F509)="static",INDEX(Accounts!$Q$2:$Q$11,$F509)-INDEX(Accounts!$R$2:$R$11,$F509),IF(INDEX(Accounts!$S$2:$S$11,$F509)="NONE",G509-INDEX(Accounts!$R$2:$R$11,$F509),MIN(G509-INDEX(Accounts!$R$2:$R$11,$F509),INDEX(Accounts!$Q$2:$Q$11,$F509)+INDEX(Accounts!$S$2:$S$11,$F509))))),"")</f>
        <v/>
      </c>
      <c r="I509" s="16">
        <f>IF(AND($A509="",$B509="",$C509="",$D509="",$E509=""),"",IF(OR($A509="",$F509=""),"UNKNOWN_ACCOUNT",IF(OR($B509="",$C509=""),"INCOMPLETE",IFERROR(IF(OR(NOT(ISNUMBER($B509)),NOT(ISNUMBER($C509)),IF(C509="",FALSE,IF(ISNUMBER(C509),OR(C509&lt;=0,C509&gt;100000000,ROUND(C509*100,6)&lt;&gt;INT(ROUND(C509*100,6))),TRUE)),IF(D509="",FALSE,IF(ISNUMBER(D509),OR(D509&lt;=0,D509&gt;100000000,ROUND(D509*100,6)&lt;&gt;INT(ROUND(D509*100,6))),TRUE)),IF(E509="",FALSE,IF(ISNUMBER(E509),OR(E509&lt;=0,E509&gt;100000000,ROUND(E509*100,6)&lt;&gt;INT(ROUND(E509*100,6))),TRUE)),AND($D509&lt;&gt;"",$D509&lt;MAX($C509,$E509)),AND($E509&lt;&gt;"",$E509&gt;MIN($C509,IF($D509="",$C509,$D509))),COUNTIFS($A$2:$A$1001,$A509,$B$2:$B$1001,$B509)&gt;1),"INVALID",IFERROR(IF(IF(INDEX(Accounts!$T$2:$T$11,$F509),ROUND(IF($E509="",$C509,MIN($C509,$E509))-(H509),6)&lt;=0,ROUND(IF($E509="",$C509,MIN($C509,$E509))-(H509),6)&lt;0),"BREACHED","OK"),"INCOMPLETE")),"INVALID"))))</f>
        <v/>
      </c>
      <c r="J509" s="33">
        <f>IF(OR(I509="OK",I509="BREACHED"),-INT(ROUND(-(H509)*100,6))/100,I509)</f>
        <v/>
      </c>
    </row>
    <row r="510" ht="18" customHeight="1">
      <c r="A510" s="9" t="n"/>
      <c r="B510" s="32" t="n"/>
      <c r="C510" s="12" t="n"/>
      <c r="D510" s="12" t="n"/>
      <c r="E510" s="12" t="n"/>
      <c r="F510" s="15">
        <f>IFERROR(MATCH($A510,Accounts!$A$2:$A$11,0),"")</f>
        <v/>
      </c>
      <c r="G510" s="14">
        <f>IFERROR(IF(OR($A510="",$F510=""),"",IF(INDEX(Accounts!$P$2:$P$11,$F510)="static",INDEX(Accounts!$Q$2:$Q$11,$F510),IF(INDEX(Accounts!$P$2:$P$11,$F510)="eod_trailing",MAX(INDEX(Accounts!$Q$2:$Q$11,$F510),_xlfn.MAXIFS($C$2:$C$1001,$A$2:$A$1001,$A510,$B$2:$B$1001,"&lt;"&amp;$B510)),MAX(INDEX(Accounts!$Q$2:$Q$11,$F510),_xlfn.MAXIFS($C$2:$C$1001,$A$2:$A$1001,$A510,$B$2:$B$1001,"&lt;"&amp;$B510),_xlfn.MAXIFS($D$2:$D$1001,$A$2:$A$1001,$A510,$B$2:$B$1001,"&lt;="&amp;$B510),$C510)))),"")</f>
        <v/>
      </c>
      <c r="H510" s="15">
        <f>IFERROR(IF(G510="","",IF(INDEX(Accounts!$P$2:$P$11,$F510)="static",INDEX(Accounts!$Q$2:$Q$11,$F510)-INDEX(Accounts!$R$2:$R$11,$F510),IF(INDEX(Accounts!$S$2:$S$11,$F510)="NONE",G510-INDEX(Accounts!$R$2:$R$11,$F510),MIN(G510-INDEX(Accounts!$R$2:$R$11,$F510),INDEX(Accounts!$Q$2:$Q$11,$F510)+INDEX(Accounts!$S$2:$S$11,$F510))))),"")</f>
        <v/>
      </c>
      <c r="I510" s="16">
        <f>IF(AND($A510="",$B510="",$C510="",$D510="",$E510=""),"",IF(OR($A510="",$F510=""),"UNKNOWN_ACCOUNT",IF(OR($B510="",$C510=""),"INCOMPLETE",IFERROR(IF(OR(NOT(ISNUMBER($B510)),NOT(ISNUMBER($C510)),IF(C510="",FALSE,IF(ISNUMBER(C510),OR(C510&lt;=0,C510&gt;100000000,ROUND(C510*100,6)&lt;&gt;INT(ROUND(C510*100,6))),TRUE)),IF(D510="",FALSE,IF(ISNUMBER(D510),OR(D510&lt;=0,D510&gt;100000000,ROUND(D510*100,6)&lt;&gt;INT(ROUND(D510*100,6))),TRUE)),IF(E510="",FALSE,IF(ISNUMBER(E510),OR(E510&lt;=0,E510&gt;100000000,ROUND(E510*100,6)&lt;&gt;INT(ROUND(E510*100,6))),TRUE)),AND($D510&lt;&gt;"",$D510&lt;MAX($C510,$E510)),AND($E510&lt;&gt;"",$E510&gt;MIN($C510,IF($D510="",$C510,$D510))),COUNTIFS($A$2:$A$1001,$A510,$B$2:$B$1001,$B510)&gt;1),"INVALID",IFERROR(IF(IF(INDEX(Accounts!$T$2:$T$11,$F510),ROUND(IF($E510="",$C510,MIN($C510,$E510))-(H510),6)&lt;=0,ROUND(IF($E510="",$C510,MIN($C510,$E510))-(H510),6)&lt;0),"BREACHED","OK"),"INCOMPLETE")),"INVALID"))))</f>
        <v/>
      </c>
      <c r="J510" s="33">
        <f>IF(OR(I510="OK",I510="BREACHED"),-INT(ROUND(-(H510)*100,6))/100,I510)</f>
        <v/>
      </c>
    </row>
    <row r="511" ht="18" customHeight="1">
      <c r="A511" s="9" t="n"/>
      <c r="B511" s="32" t="n"/>
      <c r="C511" s="12" t="n"/>
      <c r="D511" s="12" t="n"/>
      <c r="E511" s="12" t="n"/>
      <c r="F511" s="15">
        <f>IFERROR(MATCH($A511,Accounts!$A$2:$A$11,0),"")</f>
        <v/>
      </c>
      <c r="G511" s="14">
        <f>IFERROR(IF(OR($A511="",$F511=""),"",IF(INDEX(Accounts!$P$2:$P$11,$F511)="static",INDEX(Accounts!$Q$2:$Q$11,$F511),IF(INDEX(Accounts!$P$2:$P$11,$F511)="eod_trailing",MAX(INDEX(Accounts!$Q$2:$Q$11,$F511),_xlfn.MAXIFS($C$2:$C$1001,$A$2:$A$1001,$A511,$B$2:$B$1001,"&lt;"&amp;$B511)),MAX(INDEX(Accounts!$Q$2:$Q$11,$F511),_xlfn.MAXIFS($C$2:$C$1001,$A$2:$A$1001,$A511,$B$2:$B$1001,"&lt;"&amp;$B511),_xlfn.MAXIFS($D$2:$D$1001,$A$2:$A$1001,$A511,$B$2:$B$1001,"&lt;="&amp;$B511),$C511)))),"")</f>
        <v/>
      </c>
      <c r="H511" s="15">
        <f>IFERROR(IF(G511="","",IF(INDEX(Accounts!$P$2:$P$11,$F511)="static",INDEX(Accounts!$Q$2:$Q$11,$F511)-INDEX(Accounts!$R$2:$R$11,$F511),IF(INDEX(Accounts!$S$2:$S$11,$F511)="NONE",G511-INDEX(Accounts!$R$2:$R$11,$F511),MIN(G511-INDEX(Accounts!$R$2:$R$11,$F511),INDEX(Accounts!$Q$2:$Q$11,$F511)+INDEX(Accounts!$S$2:$S$11,$F511))))),"")</f>
        <v/>
      </c>
      <c r="I511" s="16">
        <f>IF(AND($A511="",$B511="",$C511="",$D511="",$E511=""),"",IF(OR($A511="",$F511=""),"UNKNOWN_ACCOUNT",IF(OR($B511="",$C511=""),"INCOMPLETE",IFERROR(IF(OR(NOT(ISNUMBER($B511)),NOT(ISNUMBER($C511)),IF(C511="",FALSE,IF(ISNUMBER(C511),OR(C511&lt;=0,C511&gt;100000000,ROUND(C511*100,6)&lt;&gt;INT(ROUND(C511*100,6))),TRUE)),IF(D511="",FALSE,IF(ISNUMBER(D511),OR(D511&lt;=0,D511&gt;100000000,ROUND(D511*100,6)&lt;&gt;INT(ROUND(D511*100,6))),TRUE)),IF(E511="",FALSE,IF(ISNUMBER(E511),OR(E511&lt;=0,E511&gt;100000000,ROUND(E511*100,6)&lt;&gt;INT(ROUND(E511*100,6))),TRUE)),AND($D511&lt;&gt;"",$D511&lt;MAX($C511,$E511)),AND($E511&lt;&gt;"",$E511&gt;MIN($C511,IF($D511="",$C511,$D511))),COUNTIFS($A$2:$A$1001,$A511,$B$2:$B$1001,$B511)&gt;1),"INVALID",IFERROR(IF(IF(INDEX(Accounts!$T$2:$T$11,$F511),ROUND(IF($E511="",$C511,MIN($C511,$E511))-(H511),6)&lt;=0,ROUND(IF($E511="",$C511,MIN($C511,$E511))-(H511),6)&lt;0),"BREACHED","OK"),"INCOMPLETE")),"INVALID"))))</f>
        <v/>
      </c>
      <c r="J511" s="33">
        <f>IF(OR(I511="OK",I511="BREACHED"),-INT(ROUND(-(H511)*100,6))/100,I511)</f>
        <v/>
      </c>
    </row>
    <row r="512" ht="18" customHeight="1">
      <c r="A512" s="9" t="n"/>
      <c r="B512" s="32" t="n"/>
      <c r="C512" s="12" t="n"/>
      <c r="D512" s="12" t="n"/>
      <c r="E512" s="12" t="n"/>
      <c r="F512" s="15">
        <f>IFERROR(MATCH($A512,Accounts!$A$2:$A$11,0),"")</f>
        <v/>
      </c>
      <c r="G512" s="14">
        <f>IFERROR(IF(OR($A512="",$F512=""),"",IF(INDEX(Accounts!$P$2:$P$11,$F512)="static",INDEX(Accounts!$Q$2:$Q$11,$F512),IF(INDEX(Accounts!$P$2:$P$11,$F512)="eod_trailing",MAX(INDEX(Accounts!$Q$2:$Q$11,$F512),_xlfn.MAXIFS($C$2:$C$1001,$A$2:$A$1001,$A512,$B$2:$B$1001,"&lt;"&amp;$B512)),MAX(INDEX(Accounts!$Q$2:$Q$11,$F512),_xlfn.MAXIFS($C$2:$C$1001,$A$2:$A$1001,$A512,$B$2:$B$1001,"&lt;"&amp;$B512),_xlfn.MAXIFS($D$2:$D$1001,$A$2:$A$1001,$A512,$B$2:$B$1001,"&lt;="&amp;$B512),$C512)))),"")</f>
        <v/>
      </c>
      <c r="H512" s="15">
        <f>IFERROR(IF(G512="","",IF(INDEX(Accounts!$P$2:$P$11,$F512)="static",INDEX(Accounts!$Q$2:$Q$11,$F512)-INDEX(Accounts!$R$2:$R$11,$F512),IF(INDEX(Accounts!$S$2:$S$11,$F512)="NONE",G512-INDEX(Accounts!$R$2:$R$11,$F512),MIN(G512-INDEX(Accounts!$R$2:$R$11,$F512),INDEX(Accounts!$Q$2:$Q$11,$F512)+INDEX(Accounts!$S$2:$S$11,$F512))))),"")</f>
        <v/>
      </c>
      <c r="I512" s="16">
        <f>IF(AND($A512="",$B512="",$C512="",$D512="",$E512=""),"",IF(OR($A512="",$F512=""),"UNKNOWN_ACCOUNT",IF(OR($B512="",$C512=""),"INCOMPLETE",IFERROR(IF(OR(NOT(ISNUMBER($B512)),NOT(ISNUMBER($C512)),IF(C512="",FALSE,IF(ISNUMBER(C512),OR(C512&lt;=0,C512&gt;100000000,ROUND(C512*100,6)&lt;&gt;INT(ROUND(C512*100,6))),TRUE)),IF(D512="",FALSE,IF(ISNUMBER(D512),OR(D512&lt;=0,D512&gt;100000000,ROUND(D512*100,6)&lt;&gt;INT(ROUND(D512*100,6))),TRUE)),IF(E512="",FALSE,IF(ISNUMBER(E512),OR(E512&lt;=0,E512&gt;100000000,ROUND(E512*100,6)&lt;&gt;INT(ROUND(E512*100,6))),TRUE)),AND($D512&lt;&gt;"",$D512&lt;MAX($C512,$E512)),AND($E512&lt;&gt;"",$E512&gt;MIN($C512,IF($D512="",$C512,$D512))),COUNTIFS($A$2:$A$1001,$A512,$B$2:$B$1001,$B512)&gt;1),"INVALID",IFERROR(IF(IF(INDEX(Accounts!$T$2:$T$11,$F512),ROUND(IF($E512="",$C512,MIN($C512,$E512))-(H512),6)&lt;=0,ROUND(IF($E512="",$C512,MIN($C512,$E512))-(H512),6)&lt;0),"BREACHED","OK"),"INCOMPLETE")),"INVALID"))))</f>
        <v/>
      </c>
      <c r="J512" s="33">
        <f>IF(OR(I512="OK",I512="BREACHED"),-INT(ROUND(-(H512)*100,6))/100,I512)</f>
        <v/>
      </c>
    </row>
    <row r="513" ht="18" customHeight="1">
      <c r="A513" s="9" t="n"/>
      <c r="B513" s="32" t="n"/>
      <c r="C513" s="12" t="n"/>
      <c r="D513" s="12" t="n"/>
      <c r="E513" s="12" t="n"/>
      <c r="F513" s="15">
        <f>IFERROR(MATCH($A513,Accounts!$A$2:$A$11,0),"")</f>
        <v/>
      </c>
      <c r="G513" s="14">
        <f>IFERROR(IF(OR($A513="",$F513=""),"",IF(INDEX(Accounts!$P$2:$P$11,$F513)="static",INDEX(Accounts!$Q$2:$Q$11,$F513),IF(INDEX(Accounts!$P$2:$P$11,$F513)="eod_trailing",MAX(INDEX(Accounts!$Q$2:$Q$11,$F513),_xlfn.MAXIFS($C$2:$C$1001,$A$2:$A$1001,$A513,$B$2:$B$1001,"&lt;"&amp;$B513)),MAX(INDEX(Accounts!$Q$2:$Q$11,$F513),_xlfn.MAXIFS($C$2:$C$1001,$A$2:$A$1001,$A513,$B$2:$B$1001,"&lt;"&amp;$B513),_xlfn.MAXIFS($D$2:$D$1001,$A$2:$A$1001,$A513,$B$2:$B$1001,"&lt;="&amp;$B513),$C513)))),"")</f>
        <v/>
      </c>
      <c r="H513" s="15">
        <f>IFERROR(IF(G513="","",IF(INDEX(Accounts!$P$2:$P$11,$F513)="static",INDEX(Accounts!$Q$2:$Q$11,$F513)-INDEX(Accounts!$R$2:$R$11,$F513),IF(INDEX(Accounts!$S$2:$S$11,$F513)="NONE",G513-INDEX(Accounts!$R$2:$R$11,$F513),MIN(G513-INDEX(Accounts!$R$2:$R$11,$F513),INDEX(Accounts!$Q$2:$Q$11,$F513)+INDEX(Accounts!$S$2:$S$11,$F513))))),"")</f>
        <v/>
      </c>
      <c r="I513" s="16">
        <f>IF(AND($A513="",$B513="",$C513="",$D513="",$E513=""),"",IF(OR($A513="",$F513=""),"UNKNOWN_ACCOUNT",IF(OR($B513="",$C513=""),"INCOMPLETE",IFERROR(IF(OR(NOT(ISNUMBER($B513)),NOT(ISNUMBER($C513)),IF(C513="",FALSE,IF(ISNUMBER(C513),OR(C513&lt;=0,C513&gt;100000000,ROUND(C513*100,6)&lt;&gt;INT(ROUND(C513*100,6))),TRUE)),IF(D513="",FALSE,IF(ISNUMBER(D513),OR(D513&lt;=0,D513&gt;100000000,ROUND(D513*100,6)&lt;&gt;INT(ROUND(D513*100,6))),TRUE)),IF(E513="",FALSE,IF(ISNUMBER(E513),OR(E513&lt;=0,E513&gt;100000000,ROUND(E513*100,6)&lt;&gt;INT(ROUND(E513*100,6))),TRUE)),AND($D513&lt;&gt;"",$D513&lt;MAX($C513,$E513)),AND($E513&lt;&gt;"",$E513&gt;MIN($C513,IF($D513="",$C513,$D513))),COUNTIFS($A$2:$A$1001,$A513,$B$2:$B$1001,$B513)&gt;1),"INVALID",IFERROR(IF(IF(INDEX(Accounts!$T$2:$T$11,$F513),ROUND(IF($E513="",$C513,MIN($C513,$E513))-(H513),6)&lt;=0,ROUND(IF($E513="",$C513,MIN($C513,$E513))-(H513),6)&lt;0),"BREACHED","OK"),"INCOMPLETE")),"INVALID"))))</f>
        <v/>
      </c>
      <c r="J513" s="33">
        <f>IF(OR(I513="OK",I513="BREACHED"),-INT(ROUND(-(H513)*100,6))/100,I513)</f>
        <v/>
      </c>
    </row>
    <row r="514" ht="18" customHeight="1">
      <c r="A514" s="9" t="n"/>
      <c r="B514" s="32" t="n"/>
      <c r="C514" s="12" t="n"/>
      <c r="D514" s="12" t="n"/>
      <c r="E514" s="12" t="n"/>
      <c r="F514" s="15">
        <f>IFERROR(MATCH($A514,Accounts!$A$2:$A$11,0),"")</f>
        <v/>
      </c>
      <c r="G514" s="14">
        <f>IFERROR(IF(OR($A514="",$F514=""),"",IF(INDEX(Accounts!$P$2:$P$11,$F514)="static",INDEX(Accounts!$Q$2:$Q$11,$F514),IF(INDEX(Accounts!$P$2:$P$11,$F514)="eod_trailing",MAX(INDEX(Accounts!$Q$2:$Q$11,$F514),_xlfn.MAXIFS($C$2:$C$1001,$A$2:$A$1001,$A514,$B$2:$B$1001,"&lt;"&amp;$B514)),MAX(INDEX(Accounts!$Q$2:$Q$11,$F514),_xlfn.MAXIFS($C$2:$C$1001,$A$2:$A$1001,$A514,$B$2:$B$1001,"&lt;"&amp;$B514),_xlfn.MAXIFS($D$2:$D$1001,$A$2:$A$1001,$A514,$B$2:$B$1001,"&lt;="&amp;$B514),$C514)))),"")</f>
        <v/>
      </c>
      <c r="H514" s="15">
        <f>IFERROR(IF(G514="","",IF(INDEX(Accounts!$P$2:$P$11,$F514)="static",INDEX(Accounts!$Q$2:$Q$11,$F514)-INDEX(Accounts!$R$2:$R$11,$F514),IF(INDEX(Accounts!$S$2:$S$11,$F514)="NONE",G514-INDEX(Accounts!$R$2:$R$11,$F514),MIN(G514-INDEX(Accounts!$R$2:$R$11,$F514),INDEX(Accounts!$Q$2:$Q$11,$F514)+INDEX(Accounts!$S$2:$S$11,$F514))))),"")</f>
        <v/>
      </c>
      <c r="I514" s="16">
        <f>IF(AND($A514="",$B514="",$C514="",$D514="",$E514=""),"",IF(OR($A514="",$F514=""),"UNKNOWN_ACCOUNT",IF(OR($B514="",$C514=""),"INCOMPLETE",IFERROR(IF(OR(NOT(ISNUMBER($B514)),NOT(ISNUMBER($C514)),IF(C514="",FALSE,IF(ISNUMBER(C514),OR(C514&lt;=0,C514&gt;100000000,ROUND(C514*100,6)&lt;&gt;INT(ROUND(C514*100,6))),TRUE)),IF(D514="",FALSE,IF(ISNUMBER(D514),OR(D514&lt;=0,D514&gt;100000000,ROUND(D514*100,6)&lt;&gt;INT(ROUND(D514*100,6))),TRUE)),IF(E514="",FALSE,IF(ISNUMBER(E514),OR(E514&lt;=0,E514&gt;100000000,ROUND(E514*100,6)&lt;&gt;INT(ROUND(E514*100,6))),TRUE)),AND($D514&lt;&gt;"",$D514&lt;MAX($C514,$E514)),AND($E514&lt;&gt;"",$E514&gt;MIN($C514,IF($D514="",$C514,$D514))),COUNTIFS($A$2:$A$1001,$A514,$B$2:$B$1001,$B514)&gt;1),"INVALID",IFERROR(IF(IF(INDEX(Accounts!$T$2:$T$11,$F514),ROUND(IF($E514="",$C514,MIN($C514,$E514))-(H514),6)&lt;=0,ROUND(IF($E514="",$C514,MIN($C514,$E514))-(H514),6)&lt;0),"BREACHED","OK"),"INCOMPLETE")),"INVALID"))))</f>
        <v/>
      </c>
      <c r="J514" s="33">
        <f>IF(OR(I514="OK",I514="BREACHED"),-INT(ROUND(-(H514)*100,6))/100,I514)</f>
        <v/>
      </c>
    </row>
    <row r="515" ht="18" customHeight="1">
      <c r="A515" s="9" t="n"/>
      <c r="B515" s="32" t="n"/>
      <c r="C515" s="12" t="n"/>
      <c r="D515" s="12" t="n"/>
      <c r="E515" s="12" t="n"/>
      <c r="F515" s="15">
        <f>IFERROR(MATCH($A515,Accounts!$A$2:$A$11,0),"")</f>
        <v/>
      </c>
      <c r="G515" s="14">
        <f>IFERROR(IF(OR($A515="",$F515=""),"",IF(INDEX(Accounts!$P$2:$P$11,$F515)="static",INDEX(Accounts!$Q$2:$Q$11,$F515),IF(INDEX(Accounts!$P$2:$P$11,$F515)="eod_trailing",MAX(INDEX(Accounts!$Q$2:$Q$11,$F515),_xlfn.MAXIFS($C$2:$C$1001,$A$2:$A$1001,$A515,$B$2:$B$1001,"&lt;"&amp;$B515)),MAX(INDEX(Accounts!$Q$2:$Q$11,$F515),_xlfn.MAXIFS($C$2:$C$1001,$A$2:$A$1001,$A515,$B$2:$B$1001,"&lt;"&amp;$B515),_xlfn.MAXIFS($D$2:$D$1001,$A$2:$A$1001,$A515,$B$2:$B$1001,"&lt;="&amp;$B515),$C515)))),"")</f>
        <v/>
      </c>
      <c r="H515" s="15">
        <f>IFERROR(IF(G515="","",IF(INDEX(Accounts!$P$2:$P$11,$F515)="static",INDEX(Accounts!$Q$2:$Q$11,$F515)-INDEX(Accounts!$R$2:$R$11,$F515),IF(INDEX(Accounts!$S$2:$S$11,$F515)="NONE",G515-INDEX(Accounts!$R$2:$R$11,$F515),MIN(G515-INDEX(Accounts!$R$2:$R$11,$F515),INDEX(Accounts!$Q$2:$Q$11,$F515)+INDEX(Accounts!$S$2:$S$11,$F515))))),"")</f>
        <v/>
      </c>
      <c r="I515" s="16">
        <f>IF(AND($A515="",$B515="",$C515="",$D515="",$E515=""),"",IF(OR($A515="",$F515=""),"UNKNOWN_ACCOUNT",IF(OR($B515="",$C515=""),"INCOMPLETE",IFERROR(IF(OR(NOT(ISNUMBER($B515)),NOT(ISNUMBER($C515)),IF(C515="",FALSE,IF(ISNUMBER(C515),OR(C515&lt;=0,C515&gt;100000000,ROUND(C515*100,6)&lt;&gt;INT(ROUND(C515*100,6))),TRUE)),IF(D515="",FALSE,IF(ISNUMBER(D515),OR(D515&lt;=0,D515&gt;100000000,ROUND(D515*100,6)&lt;&gt;INT(ROUND(D515*100,6))),TRUE)),IF(E515="",FALSE,IF(ISNUMBER(E515),OR(E515&lt;=0,E515&gt;100000000,ROUND(E515*100,6)&lt;&gt;INT(ROUND(E515*100,6))),TRUE)),AND($D515&lt;&gt;"",$D515&lt;MAX($C515,$E515)),AND($E515&lt;&gt;"",$E515&gt;MIN($C515,IF($D515="",$C515,$D515))),COUNTIFS($A$2:$A$1001,$A515,$B$2:$B$1001,$B515)&gt;1),"INVALID",IFERROR(IF(IF(INDEX(Accounts!$T$2:$T$11,$F515),ROUND(IF($E515="",$C515,MIN($C515,$E515))-(H515),6)&lt;=0,ROUND(IF($E515="",$C515,MIN($C515,$E515))-(H515),6)&lt;0),"BREACHED","OK"),"INCOMPLETE")),"INVALID"))))</f>
        <v/>
      </c>
      <c r="J515" s="33">
        <f>IF(OR(I515="OK",I515="BREACHED"),-INT(ROUND(-(H515)*100,6))/100,I515)</f>
        <v/>
      </c>
    </row>
    <row r="516" ht="18" customHeight="1">
      <c r="A516" s="9" t="n"/>
      <c r="B516" s="32" t="n"/>
      <c r="C516" s="12" t="n"/>
      <c r="D516" s="12" t="n"/>
      <c r="E516" s="12" t="n"/>
      <c r="F516" s="15">
        <f>IFERROR(MATCH($A516,Accounts!$A$2:$A$11,0),"")</f>
        <v/>
      </c>
      <c r="G516" s="14">
        <f>IFERROR(IF(OR($A516="",$F516=""),"",IF(INDEX(Accounts!$P$2:$P$11,$F516)="static",INDEX(Accounts!$Q$2:$Q$11,$F516),IF(INDEX(Accounts!$P$2:$P$11,$F516)="eod_trailing",MAX(INDEX(Accounts!$Q$2:$Q$11,$F516),_xlfn.MAXIFS($C$2:$C$1001,$A$2:$A$1001,$A516,$B$2:$B$1001,"&lt;"&amp;$B516)),MAX(INDEX(Accounts!$Q$2:$Q$11,$F516),_xlfn.MAXIFS($C$2:$C$1001,$A$2:$A$1001,$A516,$B$2:$B$1001,"&lt;"&amp;$B516),_xlfn.MAXIFS($D$2:$D$1001,$A$2:$A$1001,$A516,$B$2:$B$1001,"&lt;="&amp;$B516),$C516)))),"")</f>
        <v/>
      </c>
      <c r="H516" s="15">
        <f>IFERROR(IF(G516="","",IF(INDEX(Accounts!$P$2:$P$11,$F516)="static",INDEX(Accounts!$Q$2:$Q$11,$F516)-INDEX(Accounts!$R$2:$R$11,$F516),IF(INDEX(Accounts!$S$2:$S$11,$F516)="NONE",G516-INDEX(Accounts!$R$2:$R$11,$F516),MIN(G516-INDEX(Accounts!$R$2:$R$11,$F516),INDEX(Accounts!$Q$2:$Q$11,$F516)+INDEX(Accounts!$S$2:$S$11,$F516))))),"")</f>
        <v/>
      </c>
      <c r="I516" s="16">
        <f>IF(AND($A516="",$B516="",$C516="",$D516="",$E516=""),"",IF(OR($A516="",$F516=""),"UNKNOWN_ACCOUNT",IF(OR($B516="",$C516=""),"INCOMPLETE",IFERROR(IF(OR(NOT(ISNUMBER($B516)),NOT(ISNUMBER($C516)),IF(C516="",FALSE,IF(ISNUMBER(C516),OR(C516&lt;=0,C516&gt;100000000,ROUND(C516*100,6)&lt;&gt;INT(ROUND(C516*100,6))),TRUE)),IF(D516="",FALSE,IF(ISNUMBER(D516),OR(D516&lt;=0,D516&gt;100000000,ROUND(D516*100,6)&lt;&gt;INT(ROUND(D516*100,6))),TRUE)),IF(E516="",FALSE,IF(ISNUMBER(E516),OR(E516&lt;=0,E516&gt;100000000,ROUND(E516*100,6)&lt;&gt;INT(ROUND(E516*100,6))),TRUE)),AND($D516&lt;&gt;"",$D516&lt;MAX($C516,$E516)),AND($E516&lt;&gt;"",$E516&gt;MIN($C516,IF($D516="",$C516,$D516))),COUNTIFS($A$2:$A$1001,$A516,$B$2:$B$1001,$B516)&gt;1),"INVALID",IFERROR(IF(IF(INDEX(Accounts!$T$2:$T$11,$F516),ROUND(IF($E516="",$C516,MIN($C516,$E516))-(H516),6)&lt;=0,ROUND(IF($E516="",$C516,MIN($C516,$E516))-(H516),6)&lt;0),"BREACHED","OK"),"INCOMPLETE")),"INVALID"))))</f>
        <v/>
      </c>
      <c r="J516" s="33">
        <f>IF(OR(I516="OK",I516="BREACHED"),-INT(ROUND(-(H516)*100,6))/100,I516)</f>
        <v/>
      </c>
    </row>
    <row r="517" ht="18" customHeight="1">
      <c r="A517" s="9" t="n"/>
      <c r="B517" s="32" t="n"/>
      <c r="C517" s="12" t="n"/>
      <c r="D517" s="12" t="n"/>
      <c r="E517" s="12" t="n"/>
      <c r="F517" s="15">
        <f>IFERROR(MATCH($A517,Accounts!$A$2:$A$11,0),"")</f>
        <v/>
      </c>
      <c r="G517" s="14">
        <f>IFERROR(IF(OR($A517="",$F517=""),"",IF(INDEX(Accounts!$P$2:$P$11,$F517)="static",INDEX(Accounts!$Q$2:$Q$11,$F517),IF(INDEX(Accounts!$P$2:$P$11,$F517)="eod_trailing",MAX(INDEX(Accounts!$Q$2:$Q$11,$F517),_xlfn.MAXIFS($C$2:$C$1001,$A$2:$A$1001,$A517,$B$2:$B$1001,"&lt;"&amp;$B517)),MAX(INDEX(Accounts!$Q$2:$Q$11,$F517),_xlfn.MAXIFS($C$2:$C$1001,$A$2:$A$1001,$A517,$B$2:$B$1001,"&lt;"&amp;$B517),_xlfn.MAXIFS($D$2:$D$1001,$A$2:$A$1001,$A517,$B$2:$B$1001,"&lt;="&amp;$B517),$C517)))),"")</f>
        <v/>
      </c>
      <c r="H517" s="15">
        <f>IFERROR(IF(G517="","",IF(INDEX(Accounts!$P$2:$P$11,$F517)="static",INDEX(Accounts!$Q$2:$Q$11,$F517)-INDEX(Accounts!$R$2:$R$11,$F517),IF(INDEX(Accounts!$S$2:$S$11,$F517)="NONE",G517-INDEX(Accounts!$R$2:$R$11,$F517),MIN(G517-INDEX(Accounts!$R$2:$R$11,$F517),INDEX(Accounts!$Q$2:$Q$11,$F517)+INDEX(Accounts!$S$2:$S$11,$F517))))),"")</f>
        <v/>
      </c>
      <c r="I517" s="16">
        <f>IF(AND($A517="",$B517="",$C517="",$D517="",$E517=""),"",IF(OR($A517="",$F517=""),"UNKNOWN_ACCOUNT",IF(OR($B517="",$C517=""),"INCOMPLETE",IFERROR(IF(OR(NOT(ISNUMBER($B517)),NOT(ISNUMBER($C517)),IF(C517="",FALSE,IF(ISNUMBER(C517),OR(C517&lt;=0,C517&gt;100000000,ROUND(C517*100,6)&lt;&gt;INT(ROUND(C517*100,6))),TRUE)),IF(D517="",FALSE,IF(ISNUMBER(D517),OR(D517&lt;=0,D517&gt;100000000,ROUND(D517*100,6)&lt;&gt;INT(ROUND(D517*100,6))),TRUE)),IF(E517="",FALSE,IF(ISNUMBER(E517),OR(E517&lt;=0,E517&gt;100000000,ROUND(E517*100,6)&lt;&gt;INT(ROUND(E517*100,6))),TRUE)),AND($D517&lt;&gt;"",$D517&lt;MAX($C517,$E517)),AND($E517&lt;&gt;"",$E517&gt;MIN($C517,IF($D517="",$C517,$D517))),COUNTIFS($A$2:$A$1001,$A517,$B$2:$B$1001,$B517)&gt;1),"INVALID",IFERROR(IF(IF(INDEX(Accounts!$T$2:$T$11,$F517),ROUND(IF($E517="",$C517,MIN($C517,$E517))-(H517),6)&lt;=0,ROUND(IF($E517="",$C517,MIN($C517,$E517))-(H517),6)&lt;0),"BREACHED","OK"),"INCOMPLETE")),"INVALID"))))</f>
        <v/>
      </c>
      <c r="J517" s="33">
        <f>IF(OR(I517="OK",I517="BREACHED"),-INT(ROUND(-(H517)*100,6))/100,I517)</f>
        <v/>
      </c>
    </row>
    <row r="518" ht="18" customHeight="1">
      <c r="A518" s="9" t="n"/>
      <c r="B518" s="32" t="n"/>
      <c r="C518" s="12" t="n"/>
      <c r="D518" s="12" t="n"/>
      <c r="E518" s="12" t="n"/>
      <c r="F518" s="15">
        <f>IFERROR(MATCH($A518,Accounts!$A$2:$A$11,0),"")</f>
        <v/>
      </c>
      <c r="G518" s="14">
        <f>IFERROR(IF(OR($A518="",$F518=""),"",IF(INDEX(Accounts!$P$2:$P$11,$F518)="static",INDEX(Accounts!$Q$2:$Q$11,$F518),IF(INDEX(Accounts!$P$2:$P$11,$F518)="eod_trailing",MAX(INDEX(Accounts!$Q$2:$Q$11,$F518),_xlfn.MAXIFS($C$2:$C$1001,$A$2:$A$1001,$A518,$B$2:$B$1001,"&lt;"&amp;$B518)),MAX(INDEX(Accounts!$Q$2:$Q$11,$F518),_xlfn.MAXIFS($C$2:$C$1001,$A$2:$A$1001,$A518,$B$2:$B$1001,"&lt;"&amp;$B518),_xlfn.MAXIFS($D$2:$D$1001,$A$2:$A$1001,$A518,$B$2:$B$1001,"&lt;="&amp;$B518),$C518)))),"")</f>
        <v/>
      </c>
      <c r="H518" s="15">
        <f>IFERROR(IF(G518="","",IF(INDEX(Accounts!$P$2:$P$11,$F518)="static",INDEX(Accounts!$Q$2:$Q$11,$F518)-INDEX(Accounts!$R$2:$R$11,$F518),IF(INDEX(Accounts!$S$2:$S$11,$F518)="NONE",G518-INDEX(Accounts!$R$2:$R$11,$F518),MIN(G518-INDEX(Accounts!$R$2:$R$11,$F518),INDEX(Accounts!$Q$2:$Q$11,$F518)+INDEX(Accounts!$S$2:$S$11,$F518))))),"")</f>
        <v/>
      </c>
      <c r="I518" s="16">
        <f>IF(AND($A518="",$B518="",$C518="",$D518="",$E518=""),"",IF(OR($A518="",$F518=""),"UNKNOWN_ACCOUNT",IF(OR($B518="",$C518=""),"INCOMPLETE",IFERROR(IF(OR(NOT(ISNUMBER($B518)),NOT(ISNUMBER($C518)),IF(C518="",FALSE,IF(ISNUMBER(C518),OR(C518&lt;=0,C518&gt;100000000,ROUND(C518*100,6)&lt;&gt;INT(ROUND(C518*100,6))),TRUE)),IF(D518="",FALSE,IF(ISNUMBER(D518),OR(D518&lt;=0,D518&gt;100000000,ROUND(D518*100,6)&lt;&gt;INT(ROUND(D518*100,6))),TRUE)),IF(E518="",FALSE,IF(ISNUMBER(E518),OR(E518&lt;=0,E518&gt;100000000,ROUND(E518*100,6)&lt;&gt;INT(ROUND(E518*100,6))),TRUE)),AND($D518&lt;&gt;"",$D518&lt;MAX($C518,$E518)),AND($E518&lt;&gt;"",$E518&gt;MIN($C518,IF($D518="",$C518,$D518))),COUNTIFS($A$2:$A$1001,$A518,$B$2:$B$1001,$B518)&gt;1),"INVALID",IFERROR(IF(IF(INDEX(Accounts!$T$2:$T$11,$F518),ROUND(IF($E518="",$C518,MIN($C518,$E518))-(H518),6)&lt;=0,ROUND(IF($E518="",$C518,MIN($C518,$E518))-(H518),6)&lt;0),"BREACHED","OK"),"INCOMPLETE")),"INVALID"))))</f>
        <v/>
      </c>
      <c r="J518" s="33">
        <f>IF(OR(I518="OK",I518="BREACHED"),-INT(ROUND(-(H518)*100,6))/100,I518)</f>
        <v/>
      </c>
    </row>
    <row r="519" ht="18" customHeight="1">
      <c r="A519" s="9" t="n"/>
      <c r="B519" s="32" t="n"/>
      <c r="C519" s="12" t="n"/>
      <c r="D519" s="12" t="n"/>
      <c r="E519" s="12" t="n"/>
      <c r="F519" s="15">
        <f>IFERROR(MATCH($A519,Accounts!$A$2:$A$11,0),"")</f>
        <v/>
      </c>
      <c r="G519" s="14">
        <f>IFERROR(IF(OR($A519="",$F519=""),"",IF(INDEX(Accounts!$P$2:$P$11,$F519)="static",INDEX(Accounts!$Q$2:$Q$11,$F519),IF(INDEX(Accounts!$P$2:$P$11,$F519)="eod_trailing",MAX(INDEX(Accounts!$Q$2:$Q$11,$F519),_xlfn.MAXIFS($C$2:$C$1001,$A$2:$A$1001,$A519,$B$2:$B$1001,"&lt;"&amp;$B519)),MAX(INDEX(Accounts!$Q$2:$Q$11,$F519),_xlfn.MAXIFS($C$2:$C$1001,$A$2:$A$1001,$A519,$B$2:$B$1001,"&lt;"&amp;$B519),_xlfn.MAXIFS($D$2:$D$1001,$A$2:$A$1001,$A519,$B$2:$B$1001,"&lt;="&amp;$B519),$C519)))),"")</f>
        <v/>
      </c>
      <c r="H519" s="15">
        <f>IFERROR(IF(G519="","",IF(INDEX(Accounts!$P$2:$P$11,$F519)="static",INDEX(Accounts!$Q$2:$Q$11,$F519)-INDEX(Accounts!$R$2:$R$11,$F519),IF(INDEX(Accounts!$S$2:$S$11,$F519)="NONE",G519-INDEX(Accounts!$R$2:$R$11,$F519),MIN(G519-INDEX(Accounts!$R$2:$R$11,$F519),INDEX(Accounts!$Q$2:$Q$11,$F519)+INDEX(Accounts!$S$2:$S$11,$F519))))),"")</f>
        <v/>
      </c>
      <c r="I519" s="16">
        <f>IF(AND($A519="",$B519="",$C519="",$D519="",$E519=""),"",IF(OR($A519="",$F519=""),"UNKNOWN_ACCOUNT",IF(OR($B519="",$C519=""),"INCOMPLETE",IFERROR(IF(OR(NOT(ISNUMBER($B519)),NOT(ISNUMBER($C519)),IF(C519="",FALSE,IF(ISNUMBER(C519),OR(C519&lt;=0,C519&gt;100000000,ROUND(C519*100,6)&lt;&gt;INT(ROUND(C519*100,6))),TRUE)),IF(D519="",FALSE,IF(ISNUMBER(D519),OR(D519&lt;=0,D519&gt;100000000,ROUND(D519*100,6)&lt;&gt;INT(ROUND(D519*100,6))),TRUE)),IF(E519="",FALSE,IF(ISNUMBER(E519),OR(E519&lt;=0,E519&gt;100000000,ROUND(E519*100,6)&lt;&gt;INT(ROUND(E519*100,6))),TRUE)),AND($D519&lt;&gt;"",$D519&lt;MAX($C519,$E519)),AND($E519&lt;&gt;"",$E519&gt;MIN($C519,IF($D519="",$C519,$D519))),COUNTIFS($A$2:$A$1001,$A519,$B$2:$B$1001,$B519)&gt;1),"INVALID",IFERROR(IF(IF(INDEX(Accounts!$T$2:$T$11,$F519),ROUND(IF($E519="",$C519,MIN($C519,$E519))-(H519),6)&lt;=0,ROUND(IF($E519="",$C519,MIN($C519,$E519))-(H519),6)&lt;0),"BREACHED","OK"),"INCOMPLETE")),"INVALID"))))</f>
        <v/>
      </c>
      <c r="J519" s="33">
        <f>IF(OR(I519="OK",I519="BREACHED"),-INT(ROUND(-(H519)*100,6))/100,I519)</f>
        <v/>
      </c>
    </row>
    <row r="520" ht="18" customHeight="1">
      <c r="A520" s="9" t="n"/>
      <c r="B520" s="32" t="n"/>
      <c r="C520" s="12" t="n"/>
      <c r="D520" s="12" t="n"/>
      <c r="E520" s="12" t="n"/>
      <c r="F520" s="15">
        <f>IFERROR(MATCH($A520,Accounts!$A$2:$A$11,0),"")</f>
        <v/>
      </c>
      <c r="G520" s="14">
        <f>IFERROR(IF(OR($A520="",$F520=""),"",IF(INDEX(Accounts!$P$2:$P$11,$F520)="static",INDEX(Accounts!$Q$2:$Q$11,$F520),IF(INDEX(Accounts!$P$2:$P$11,$F520)="eod_trailing",MAX(INDEX(Accounts!$Q$2:$Q$11,$F520),_xlfn.MAXIFS($C$2:$C$1001,$A$2:$A$1001,$A520,$B$2:$B$1001,"&lt;"&amp;$B520)),MAX(INDEX(Accounts!$Q$2:$Q$11,$F520),_xlfn.MAXIFS($C$2:$C$1001,$A$2:$A$1001,$A520,$B$2:$B$1001,"&lt;"&amp;$B520),_xlfn.MAXIFS($D$2:$D$1001,$A$2:$A$1001,$A520,$B$2:$B$1001,"&lt;="&amp;$B520),$C520)))),"")</f>
        <v/>
      </c>
      <c r="H520" s="15">
        <f>IFERROR(IF(G520="","",IF(INDEX(Accounts!$P$2:$P$11,$F520)="static",INDEX(Accounts!$Q$2:$Q$11,$F520)-INDEX(Accounts!$R$2:$R$11,$F520),IF(INDEX(Accounts!$S$2:$S$11,$F520)="NONE",G520-INDEX(Accounts!$R$2:$R$11,$F520),MIN(G520-INDEX(Accounts!$R$2:$R$11,$F520),INDEX(Accounts!$Q$2:$Q$11,$F520)+INDEX(Accounts!$S$2:$S$11,$F520))))),"")</f>
        <v/>
      </c>
      <c r="I520" s="16">
        <f>IF(AND($A520="",$B520="",$C520="",$D520="",$E520=""),"",IF(OR($A520="",$F520=""),"UNKNOWN_ACCOUNT",IF(OR($B520="",$C520=""),"INCOMPLETE",IFERROR(IF(OR(NOT(ISNUMBER($B520)),NOT(ISNUMBER($C520)),IF(C520="",FALSE,IF(ISNUMBER(C520),OR(C520&lt;=0,C520&gt;100000000,ROUND(C520*100,6)&lt;&gt;INT(ROUND(C520*100,6))),TRUE)),IF(D520="",FALSE,IF(ISNUMBER(D520),OR(D520&lt;=0,D520&gt;100000000,ROUND(D520*100,6)&lt;&gt;INT(ROUND(D520*100,6))),TRUE)),IF(E520="",FALSE,IF(ISNUMBER(E520),OR(E520&lt;=0,E520&gt;100000000,ROUND(E520*100,6)&lt;&gt;INT(ROUND(E520*100,6))),TRUE)),AND($D520&lt;&gt;"",$D520&lt;MAX($C520,$E520)),AND($E520&lt;&gt;"",$E520&gt;MIN($C520,IF($D520="",$C520,$D520))),COUNTIFS($A$2:$A$1001,$A520,$B$2:$B$1001,$B520)&gt;1),"INVALID",IFERROR(IF(IF(INDEX(Accounts!$T$2:$T$11,$F520),ROUND(IF($E520="",$C520,MIN($C520,$E520))-(H520),6)&lt;=0,ROUND(IF($E520="",$C520,MIN($C520,$E520))-(H520),6)&lt;0),"BREACHED","OK"),"INCOMPLETE")),"INVALID"))))</f>
        <v/>
      </c>
      <c r="J520" s="33">
        <f>IF(OR(I520="OK",I520="BREACHED"),-INT(ROUND(-(H520)*100,6))/100,I520)</f>
        <v/>
      </c>
    </row>
    <row r="521" ht="18" customHeight="1">
      <c r="A521" s="9" t="n"/>
      <c r="B521" s="32" t="n"/>
      <c r="C521" s="12" t="n"/>
      <c r="D521" s="12" t="n"/>
      <c r="E521" s="12" t="n"/>
      <c r="F521" s="15">
        <f>IFERROR(MATCH($A521,Accounts!$A$2:$A$11,0),"")</f>
        <v/>
      </c>
      <c r="G521" s="14">
        <f>IFERROR(IF(OR($A521="",$F521=""),"",IF(INDEX(Accounts!$P$2:$P$11,$F521)="static",INDEX(Accounts!$Q$2:$Q$11,$F521),IF(INDEX(Accounts!$P$2:$P$11,$F521)="eod_trailing",MAX(INDEX(Accounts!$Q$2:$Q$11,$F521),_xlfn.MAXIFS($C$2:$C$1001,$A$2:$A$1001,$A521,$B$2:$B$1001,"&lt;"&amp;$B521)),MAX(INDEX(Accounts!$Q$2:$Q$11,$F521),_xlfn.MAXIFS($C$2:$C$1001,$A$2:$A$1001,$A521,$B$2:$B$1001,"&lt;"&amp;$B521),_xlfn.MAXIFS($D$2:$D$1001,$A$2:$A$1001,$A521,$B$2:$B$1001,"&lt;="&amp;$B521),$C521)))),"")</f>
        <v/>
      </c>
      <c r="H521" s="15">
        <f>IFERROR(IF(G521="","",IF(INDEX(Accounts!$P$2:$P$11,$F521)="static",INDEX(Accounts!$Q$2:$Q$11,$F521)-INDEX(Accounts!$R$2:$R$11,$F521),IF(INDEX(Accounts!$S$2:$S$11,$F521)="NONE",G521-INDEX(Accounts!$R$2:$R$11,$F521),MIN(G521-INDEX(Accounts!$R$2:$R$11,$F521),INDEX(Accounts!$Q$2:$Q$11,$F521)+INDEX(Accounts!$S$2:$S$11,$F521))))),"")</f>
        <v/>
      </c>
      <c r="I521" s="16">
        <f>IF(AND($A521="",$B521="",$C521="",$D521="",$E521=""),"",IF(OR($A521="",$F521=""),"UNKNOWN_ACCOUNT",IF(OR($B521="",$C521=""),"INCOMPLETE",IFERROR(IF(OR(NOT(ISNUMBER($B521)),NOT(ISNUMBER($C521)),IF(C521="",FALSE,IF(ISNUMBER(C521),OR(C521&lt;=0,C521&gt;100000000,ROUND(C521*100,6)&lt;&gt;INT(ROUND(C521*100,6))),TRUE)),IF(D521="",FALSE,IF(ISNUMBER(D521),OR(D521&lt;=0,D521&gt;100000000,ROUND(D521*100,6)&lt;&gt;INT(ROUND(D521*100,6))),TRUE)),IF(E521="",FALSE,IF(ISNUMBER(E521),OR(E521&lt;=0,E521&gt;100000000,ROUND(E521*100,6)&lt;&gt;INT(ROUND(E521*100,6))),TRUE)),AND($D521&lt;&gt;"",$D521&lt;MAX($C521,$E521)),AND($E521&lt;&gt;"",$E521&gt;MIN($C521,IF($D521="",$C521,$D521))),COUNTIFS($A$2:$A$1001,$A521,$B$2:$B$1001,$B521)&gt;1),"INVALID",IFERROR(IF(IF(INDEX(Accounts!$T$2:$T$11,$F521),ROUND(IF($E521="",$C521,MIN($C521,$E521))-(H521),6)&lt;=0,ROUND(IF($E521="",$C521,MIN($C521,$E521))-(H521),6)&lt;0),"BREACHED","OK"),"INCOMPLETE")),"INVALID"))))</f>
        <v/>
      </c>
      <c r="J521" s="33">
        <f>IF(OR(I521="OK",I521="BREACHED"),-INT(ROUND(-(H521)*100,6))/100,I521)</f>
        <v/>
      </c>
    </row>
    <row r="522" ht="18" customHeight="1">
      <c r="A522" s="9" t="n"/>
      <c r="B522" s="32" t="n"/>
      <c r="C522" s="12" t="n"/>
      <c r="D522" s="12" t="n"/>
      <c r="E522" s="12" t="n"/>
      <c r="F522" s="15">
        <f>IFERROR(MATCH($A522,Accounts!$A$2:$A$11,0),"")</f>
        <v/>
      </c>
      <c r="G522" s="14">
        <f>IFERROR(IF(OR($A522="",$F522=""),"",IF(INDEX(Accounts!$P$2:$P$11,$F522)="static",INDEX(Accounts!$Q$2:$Q$11,$F522),IF(INDEX(Accounts!$P$2:$P$11,$F522)="eod_trailing",MAX(INDEX(Accounts!$Q$2:$Q$11,$F522),_xlfn.MAXIFS($C$2:$C$1001,$A$2:$A$1001,$A522,$B$2:$B$1001,"&lt;"&amp;$B522)),MAX(INDEX(Accounts!$Q$2:$Q$11,$F522),_xlfn.MAXIFS($C$2:$C$1001,$A$2:$A$1001,$A522,$B$2:$B$1001,"&lt;"&amp;$B522),_xlfn.MAXIFS($D$2:$D$1001,$A$2:$A$1001,$A522,$B$2:$B$1001,"&lt;="&amp;$B522),$C522)))),"")</f>
        <v/>
      </c>
      <c r="H522" s="15">
        <f>IFERROR(IF(G522="","",IF(INDEX(Accounts!$P$2:$P$11,$F522)="static",INDEX(Accounts!$Q$2:$Q$11,$F522)-INDEX(Accounts!$R$2:$R$11,$F522),IF(INDEX(Accounts!$S$2:$S$11,$F522)="NONE",G522-INDEX(Accounts!$R$2:$R$11,$F522),MIN(G522-INDEX(Accounts!$R$2:$R$11,$F522),INDEX(Accounts!$Q$2:$Q$11,$F522)+INDEX(Accounts!$S$2:$S$11,$F522))))),"")</f>
        <v/>
      </c>
      <c r="I522" s="16">
        <f>IF(AND($A522="",$B522="",$C522="",$D522="",$E522=""),"",IF(OR($A522="",$F522=""),"UNKNOWN_ACCOUNT",IF(OR($B522="",$C522=""),"INCOMPLETE",IFERROR(IF(OR(NOT(ISNUMBER($B522)),NOT(ISNUMBER($C522)),IF(C522="",FALSE,IF(ISNUMBER(C522),OR(C522&lt;=0,C522&gt;100000000,ROUND(C522*100,6)&lt;&gt;INT(ROUND(C522*100,6))),TRUE)),IF(D522="",FALSE,IF(ISNUMBER(D522),OR(D522&lt;=0,D522&gt;100000000,ROUND(D522*100,6)&lt;&gt;INT(ROUND(D522*100,6))),TRUE)),IF(E522="",FALSE,IF(ISNUMBER(E522),OR(E522&lt;=0,E522&gt;100000000,ROUND(E522*100,6)&lt;&gt;INT(ROUND(E522*100,6))),TRUE)),AND($D522&lt;&gt;"",$D522&lt;MAX($C522,$E522)),AND($E522&lt;&gt;"",$E522&gt;MIN($C522,IF($D522="",$C522,$D522))),COUNTIFS($A$2:$A$1001,$A522,$B$2:$B$1001,$B522)&gt;1),"INVALID",IFERROR(IF(IF(INDEX(Accounts!$T$2:$T$11,$F522),ROUND(IF($E522="",$C522,MIN($C522,$E522))-(H522),6)&lt;=0,ROUND(IF($E522="",$C522,MIN($C522,$E522))-(H522),6)&lt;0),"BREACHED","OK"),"INCOMPLETE")),"INVALID"))))</f>
        <v/>
      </c>
      <c r="J522" s="33">
        <f>IF(OR(I522="OK",I522="BREACHED"),-INT(ROUND(-(H522)*100,6))/100,I522)</f>
        <v/>
      </c>
    </row>
    <row r="523" ht="18" customHeight="1">
      <c r="A523" s="9" t="n"/>
      <c r="B523" s="32" t="n"/>
      <c r="C523" s="12" t="n"/>
      <c r="D523" s="12" t="n"/>
      <c r="E523" s="12" t="n"/>
      <c r="F523" s="15">
        <f>IFERROR(MATCH($A523,Accounts!$A$2:$A$11,0),"")</f>
        <v/>
      </c>
      <c r="G523" s="14">
        <f>IFERROR(IF(OR($A523="",$F523=""),"",IF(INDEX(Accounts!$P$2:$P$11,$F523)="static",INDEX(Accounts!$Q$2:$Q$11,$F523),IF(INDEX(Accounts!$P$2:$P$11,$F523)="eod_trailing",MAX(INDEX(Accounts!$Q$2:$Q$11,$F523),_xlfn.MAXIFS($C$2:$C$1001,$A$2:$A$1001,$A523,$B$2:$B$1001,"&lt;"&amp;$B523)),MAX(INDEX(Accounts!$Q$2:$Q$11,$F523),_xlfn.MAXIFS($C$2:$C$1001,$A$2:$A$1001,$A523,$B$2:$B$1001,"&lt;"&amp;$B523),_xlfn.MAXIFS($D$2:$D$1001,$A$2:$A$1001,$A523,$B$2:$B$1001,"&lt;="&amp;$B523),$C523)))),"")</f>
        <v/>
      </c>
      <c r="H523" s="15">
        <f>IFERROR(IF(G523="","",IF(INDEX(Accounts!$P$2:$P$11,$F523)="static",INDEX(Accounts!$Q$2:$Q$11,$F523)-INDEX(Accounts!$R$2:$R$11,$F523),IF(INDEX(Accounts!$S$2:$S$11,$F523)="NONE",G523-INDEX(Accounts!$R$2:$R$11,$F523),MIN(G523-INDEX(Accounts!$R$2:$R$11,$F523),INDEX(Accounts!$Q$2:$Q$11,$F523)+INDEX(Accounts!$S$2:$S$11,$F523))))),"")</f>
        <v/>
      </c>
      <c r="I523" s="16">
        <f>IF(AND($A523="",$B523="",$C523="",$D523="",$E523=""),"",IF(OR($A523="",$F523=""),"UNKNOWN_ACCOUNT",IF(OR($B523="",$C523=""),"INCOMPLETE",IFERROR(IF(OR(NOT(ISNUMBER($B523)),NOT(ISNUMBER($C523)),IF(C523="",FALSE,IF(ISNUMBER(C523),OR(C523&lt;=0,C523&gt;100000000,ROUND(C523*100,6)&lt;&gt;INT(ROUND(C523*100,6))),TRUE)),IF(D523="",FALSE,IF(ISNUMBER(D523),OR(D523&lt;=0,D523&gt;100000000,ROUND(D523*100,6)&lt;&gt;INT(ROUND(D523*100,6))),TRUE)),IF(E523="",FALSE,IF(ISNUMBER(E523),OR(E523&lt;=0,E523&gt;100000000,ROUND(E523*100,6)&lt;&gt;INT(ROUND(E523*100,6))),TRUE)),AND($D523&lt;&gt;"",$D523&lt;MAX($C523,$E523)),AND($E523&lt;&gt;"",$E523&gt;MIN($C523,IF($D523="",$C523,$D523))),COUNTIFS($A$2:$A$1001,$A523,$B$2:$B$1001,$B523)&gt;1),"INVALID",IFERROR(IF(IF(INDEX(Accounts!$T$2:$T$11,$F523),ROUND(IF($E523="",$C523,MIN($C523,$E523))-(H523),6)&lt;=0,ROUND(IF($E523="",$C523,MIN($C523,$E523))-(H523),6)&lt;0),"BREACHED","OK"),"INCOMPLETE")),"INVALID"))))</f>
        <v/>
      </c>
      <c r="J523" s="33">
        <f>IF(OR(I523="OK",I523="BREACHED"),-INT(ROUND(-(H523)*100,6))/100,I523)</f>
        <v/>
      </c>
    </row>
    <row r="524" ht="18" customHeight="1">
      <c r="A524" s="9" t="n"/>
      <c r="B524" s="32" t="n"/>
      <c r="C524" s="12" t="n"/>
      <c r="D524" s="12" t="n"/>
      <c r="E524" s="12" t="n"/>
      <c r="F524" s="15">
        <f>IFERROR(MATCH($A524,Accounts!$A$2:$A$11,0),"")</f>
        <v/>
      </c>
      <c r="G524" s="14">
        <f>IFERROR(IF(OR($A524="",$F524=""),"",IF(INDEX(Accounts!$P$2:$P$11,$F524)="static",INDEX(Accounts!$Q$2:$Q$11,$F524),IF(INDEX(Accounts!$P$2:$P$11,$F524)="eod_trailing",MAX(INDEX(Accounts!$Q$2:$Q$11,$F524),_xlfn.MAXIFS($C$2:$C$1001,$A$2:$A$1001,$A524,$B$2:$B$1001,"&lt;"&amp;$B524)),MAX(INDEX(Accounts!$Q$2:$Q$11,$F524),_xlfn.MAXIFS($C$2:$C$1001,$A$2:$A$1001,$A524,$B$2:$B$1001,"&lt;"&amp;$B524),_xlfn.MAXIFS($D$2:$D$1001,$A$2:$A$1001,$A524,$B$2:$B$1001,"&lt;="&amp;$B524),$C524)))),"")</f>
        <v/>
      </c>
      <c r="H524" s="15">
        <f>IFERROR(IF(G524="","",IF(INDEX(Accounts!$P$2:$P$11,$F524)="static",INDEX(Accounts!$Q$2:$Q$11,$F524)-INDEX(Accounts!$R$2:$R$11,$F524),IF(INDEX(Accounts!$S$2:$S$11,$F524)="NONE",G524-INDEX(Accounts!$R$2:$R$11,$F524),MIN(G524-INDEX(Accounts!$R$2:$R$11,$F524),INDEX(Accounts!$Q$2:$Q$11,$F524)+INDEX(Accounts!$S$2:$S$11,$F524))))),"")</f>
        <v/>
      </c>
      <c r="I524" s="16">
        <f>IF(AND($A524="",$B524="",$C524="",$D524="",$E524=""),"",IF(OR($A524="",$F524=""),"UNKNOWN_ACCOUNT",IF(OR($B524="",$C524=""),"INCOMPLETE",IFERROR(IF(OR(NOT(ISNUMBER($B524)),NOT(ISNUMBER($C524)),IF(C524="",FALSE,IF(ISNUMBER(C524),OR(C524&lt;=0,C524&gt;100000000,ROUND(C524*100,6)&lt;&gt;INT(ROUND(C524*100,6))),TRUE)),IF(D524="",FALSE,IF(ISNUMBER(D524),OR(D524&lt;=0,D524&gt;100000000,ROUND(D524*100,6)&lt;&gt;INT(ROUND(D524*100,6))),TRUE)),IF(E524="",FALSE,IF(ISNUMBER(E524),OR(E524&lt;=0,E524&gt;100000000,ROUND(E524*100,6)&lt;&gt;INT(ROUND(E524*100,6))),TRUE)),AND($D524&lt;&gt;"",$D524&lt;MAX($C524,$E524)),AND($E524&lt;&gt;"",$E524&gt;MIN($C524,IF($D524="",$C524,$D524))),COUNTIFS($A$2:$A$1001,$A524,$B$2:$B$1001,$B524)&gt;1),"INVALID",IFERROR(IF(IF(INDEX(Accounts!$T$2:$T$11,$F524),ROUND(IF($E524="",$C524,MIN($C524,$E524))-(H524),6)&lt;=0,ROUND(IF($E524="",$C524,MIN($C524,$E524))-(H524),6)&lt;0),"BREACHED","OK"),"INCOMPLETE")),"INVALID"))))</f>
        <v/>
      </c>
      <c r="J524" s="33">
        <f>IF(OR(I524="OK",I524="BREACHED"),-INT(ROUND(-(H524)*100,6))/100,I524)</f>
        <v/>
      </c>
    </row>
    <row r="525" ht="18" customHeight="1">
      <c r="A525" s="9" t="n"/>
      <c r="B525" s="32" t="n"/>
      <c r="C525" s="12" t="n"/>
      <c r="D525" s="12" t="n"/>
      <c r="E525" s="12" t="n"/>
      <c r="F525" s="15">
        <f>IFERROR(MATCH($A525,Accounts!$A$2:$A$11,0),"")</f>
        <v/>
      </c>
      <c r="G525" s="14">
        <f>IFERROR(IF(OR($A525="",$F525=""),"",IF(INDEX(Accounts!$P$2:$P$11,$F525)="static",INDEX(Accounts!$Q$2:$Q$11,$F525),IF(INDEX(Accounts!$P$2:$P$11,$F525)="eod_trailing",MAX(INDEX(Accounts!$Q$2:$Q$11,$F525),_xlfn.MAXIFS($C$2:$C$1001,$A$2:$A$1001,$A525,$B$2:$B$1001,"&lt;"&amp;$B525)),MAX(INDEX(Accounts!$Q$2:$Q$11,$F525),_xlfn.MAXIFS($C$2:$C$1001,$A$2:$A$1001,$A525,$B$2:$B$1001,"&lt;"&amp;$B525),_xlfn.MAXIFS($D$2:$D$1001,$A$2:$A$1001,$A525,$B$2:$B$1001,"&lt;="&amp;$B525),$C525)))),"")</f>
        <v/>
      </c>
      <c r="H525" s="15">
        <f>IFERROR(IF(G525="","",IF(INDEX(Accounts!$P$2:$P$11,$F525)="static",INDEX(Accounts!$Q$2:$Q$11,$F525)-INDEX(Accounts!$R$2:$R$11,$F525),IF(INDEX(Accounts!$S$2:$S$11,$F525)="NONE",G525-INDEX(Accounts!$R$2:$R$11,$F525),MIN(G525-INDEX(Accounts!$R$2:$R$11,$F525),INDEX(Accounts!$Q$2:$Q$11,$F525)+INDEX(Accounts!$S$2:$S$11,$F525))))),"")</f>
        <v/>
      </c>
      <c r="I525" s="16">
        <f>IF(AND($A525="",$B525="",$C525="",$D525="",$E525=""),"",IF(OR($A525="",$F525=""),"UNKNOWN_ACCOUNT",IF(OR($B525="",$C525=""),"INCOMPLETE",IFERROR(IF(OR(NOT(ISNUMBER($B525)),NOT(ISNUMBER($C525)),IF(C525="",FALSE,IF(ISNUMBER(C525),OR(C525&lt;=0,C525&gt;100000000,ROUND(C525*100,6)&lt;&gt;INT(ROUND(C525*100,6))),TRUE)),IF(D525="",FALSE,IF(ISNUMBER(D525),OR(D525&lt;=0,D525&gt;100000000,ROUND(D525*100,6)&lt;&gt;INT(ROUND(D525*100,6))),TRUE)),IF(E525="",FALSE,IF(ISNUMBER(E525),OR(E525&lt;=0,E525&gt;100000000,ROUND(E525*100,6)&lt;&gt;INT(ROUND(E525*100,6))),TRUE)),AND($D525&lt;&gt;"",$D525&lt;MAX($C525,$E525)),AND($E525&lt;&gt;"",$E525&gt;MIN($C525,IF($D525="",$C525,$D525))),COUNTIFS($A$2:$A$1001,$A525,$B$2:$B$1001,$B525)&gt;1),"INVALID",IFERROR(IF(IF(INDEX(Accounts!$T$2:$T$11,$F525),ROUND(IF($E525="",$C525,MIN($C525,$E525))-(H525),6)&lt;=0,ROUND(IF($E525="",$C525,MIN($C525,$E525))-(H525),6)&lt;0),"BREACHED","OK"),"INCOMPLETE")),"INVALID"))))</f>
        <v/>
      </c>
      <c r="J525" s="33">
        <f>IF(OR(I525="OK",I525="BREACHED"),-INT(ROUND(-(H525)*100,6))/100,I525)</f>
        <v/>
      </c>
    </row>
    <row r="526" ht="18" customHeight="1">
      <c r="A526" s="9" t="n"/>
      <c r="B526" s="32" t="n"/>
      <c r="C526" s="12" t="n"/>
      <c r="D526" s="12" t="n"/>
      <c r="E526" s="12" t="n"/>
      <c r="F526" s="15">
        <f>IFERROR(MATCH($A526,Accounts!$A$2:$A$11,0),"")</f>
        <v/>
      </c>
      <c r="G526" s="14">
        <f>IFERROR(IF(OR($A526="",$F526=""),"",IF(INDEX(Accounts!$P$2:$P$11,$F526)="static",INDEX(Accounts!$Q$2:$Q$11,$F526),IF(INDEX(Accounts!$P$2:$P$11,$F526)="eod_trailing",MAX(INDEX(Accounts!$Q$2:$Q$11,$F526),_xlfn.MAXIFS($C$2:$C$1001,$A$2:$A$1001,$A526,$B$2:$B$1001,"&lt;"&amp;$B526)),MAX(INDEX(Accounts!$Q$2:$Q$11,$F526),_xlfn.MAXIFS($C$2:$C$1001,$A$2:$A$1001,$A526,$B$2:$B$1001,"&lt;"&amp;$B526),_xlfn.MAXIFS($D$2:$D$1001,$A$2:$A$1001,$A526,$B$2:$B$1001,"&lt;="&amp;$B526),$C526)))),"")</f>
        <v/>
      </c>
      <c r="H526" s="15">
        <f>IFERROR(IF(G526="","",IF(INDEX(Accounts!$P$2:$P$11,$F526)="static",INDEX(Accounts!$Q$2:$Q$11,$F526)-INDEX(Accounts!$R$2:$R$11,$F526),IF(INDEX(Accounts!$S$2:$S$11,$F526)="NONE",G526-INDEX(Accounts!$R$2:$R$11,$F526),MIN(G526-INDEX(Accounts!$R$2:$R$11,$F526),INDEX(Accounts!$Q$2:$Q$11,$F526)+INDEX(Accounts!$S$2:$S$11,$F526))))),"")</f>
        <v/>
      </c>
      <c r="I526" s="16">
        <f>IF(AND($A526="",$B526="",$C526="",$D526="",$E526=""),"",IF(OR($A526="",$F526=""),"UNKNOWN_ACCOUNT",IF(OR($B526="",$C526=""),"INCOMPLETE",IFERROR(IF(OR(NOT(ISNUMBER($B526)),NOT(ISNUMBER($C526)),IF(C526="",FALSE,IF(ISNUMBER(C526),OR(C526&lt;=0,C526&gt;100000000,ROUND(C526*100,6)&lt;&gt;INT(ROUND(C526*100,6))),TRUE)),IF(D526="",FALSE,IF(ISNUMBER(D526),OR(D526&lt;=0,D526&gt;100000000,ROUND(D526*100,6)&lt;&gt;INT(ROUND(D526*100,6))),TRUE)),IF(E526="",FALSE,IF(ISNUMBER(E526),OR(E526&lt;=0,E526&gt;100000000,ROUND(E526*100,6)&lt;&gt;INT(ROUND(E526*100,6))),TRUE)),AND($D526&lt;&gt;"",$D526&lt;MAX($C526,$E526)),AND($E526&lt;&gt;"",$E526&gt;MIN($C526,IF($D526="",$C526,$D526))),COUNTIFS($A$2:$A$1001,$A526,$B$2:$B$1001,$B526)&gt;1),"INVALID",IFERROR(IF(IF(INDEX(Accounts!$T$2:$T$11,$F526),ROUND(IF($E526="",$C526,MIN($C526,$E526))-(H526),6)&lt;=0,ROUND(IF($E526="",$C526,MIN($C526,$E526))-(H526),6)&lt;0),"BREACHED","OK"),"INCOMPLETE")),"INVALID"))))</f>
        <v/>
      </c>
      <c r="J526" s="33">
        <f>IF(OR(I526="OK",I526="BREACHED"),-INT(ROUND(-(H526)*100,6))/100,I526)</f>
        <v/>
      </c>
    </row>
    <row r="527" ht="18" customHeight="1">
      <c r="A527" s="9" t="n"/>
      <c r="B527" s="32" t="n"/>
      <c r="C527" s="12" t="n"/>
      <c r="D527" s="12" t="n"/>
      <c r="E527" s="12" t="n"/>
      <c r="F527" s="15">
        <f>IFERROR(MATCH($A527,Accounts!$A$2:$A$11,0),"")</f>
        <v/>
      </c>
      <c r="G527" s="14">
        <f>IFERROR(IF(OR($A527="",$F527=""),"",IF(INDEX(Accounts!$P$2:$P$11,$F527)="static",INDEX(Accounts!$Q$2:$Q$11,$F527),IF(INDEX(Accounts!$P$2:$P$11,$F527)="eod_trailing",MAX(INDEX(Accounts!$Q$2:$Q$11,$F527),_xlfn.MAXIFS($C$2:$C$1001,$A$2:$A$1001,$A527,$B$2:$B$1001,"&lt;"&amp;$B527)),MAX(INDEX(Accounts!$Q$2:$Q$11,$F527),_xlfn.MAXIFS($C$2:$C$1001,$A$2:$A$1001,$A527,$B$2:$B$1001,"&lt;"&amp;$B527),_xlfn.MAXIFS($D$2:$D$1001,$A$2:$A$1001,$A527,$B$2:$B$1001,"&lt;="&amp;$B527),$C527)))),"")</f>
        <v/>
      </c>
      <c r="H527" s="15">
        <f>IFERROR(IF(G527="","",IF(INDEX(Accounts!$P$2:$P$11,$F527)="static",INDEX(Accounts!$Q$2:$Q$11,$F527)-INDEX(Accounts!$R$2:$R$11,$F527),IF(INDEX(Accounts!$S$2:$S$11,$F527)="NONE",G527-INDEX(Accounts!$R$2:$R$11,$F527),MIN(G527-INDEX(Accounts!$R$2:$R$11,$F527),INDEX(Accounts!$Q$2:$Q$11,$F527)+INDEX(Accounts!$S$2:$S$11,$F527))))),"")</f>
        <v/>
      </c>
      <c r="I527" s="16">
        <f>IF(AND($A527="",$B527="",$C527="",$D527="",$E527=""),"",IF(OR($A527="",$F527=""),"UNKNOWN_ACCOUNT",IF(OR($B527="",$C527=""),"INCOMPLETE",IFERROR(IF(OR(NOT(ISNUMBER($B527)),NOT(ISNUMBER($C527)),IF(C527="",FALSE,IF(ISNUMBER(C527),OR(C527&lt;=0,C527&gt;100000000,ROUND(C527*100,6)&lt;&gt;INT(ROUND(C527*100,6))),TRUE)),IF(D527="",FALSE,IF(ISNUMBER(D527),OR(D527&lt;=0,D527&gt;100000000,ROUND(D527*100,6)&lt;&gt;INT(ROUND(D527*100,6))),TRUE)),IF(E527="",FALSE,IF(ISNUMBER(E527),OR(E527&lt;=0,E527&gt;100000000,ROUND(E527*100,6)&lt;&gt;INT(ROUND(E527*100,6))),TRUE)),AND($D527&lt;&gt;"",$D527&lt;MAX($C527,$E527)),AND($E527&lt;&gt;"",$E527&gt;MIN($C527,IF($D527="",$C527,$D527))),COUNTIFS($A$2:$A$1001,$A527,$B$2:$B$1001,$B527)&gt;1),"INVALID",IFERROR(IF(IF(INDEX(Accounts!$T$2:$T$11,$F527),ROUND(IF($E527="",$C527,MIN($C527,$E527))-(H527),6)&lt;=0,ROUND(IF($E527="",$C527,MIN($C527,$E527))-(H527),6)&lt;0),"BREACHED","OK"),"INCOMPLETE")),"INVALID"))))</f>
        <v/>
      </c>
      <c r="J527" s="33">
        <f>IF(OR(I527="OK",I527="BREACHED"),-INT(ROUND(-(H527)*100,6))/100,I527)</f>
        <v/>
      </c>
    </row>
    <row r="528" ht="18" customHeight="1">
      <c r="A528" s="9" t="n"/>
      <c r="B528" s="32" t="n"/>
      <c r="C528" s="12" t="n"/>
      <c r="D528" s="12" t="n"/>
      <c r="E528" s="12" t="n"/>
      <c r="F528" s="15">
        <f>IFERROR(MATCH($A528,Accounts!$A$2:$A$11,0),"")</f>
        <v/>
      </c>
      <c r="G528" s="14">
        <f>IFERROR(IF(OR($A528="",$F528=""),"",IF(INDEX(Accounts!$P$2:$P$11,$F528)="static",INDEX(Accounts!$Q$2:$Q$11,$F528),IF(INDEX(Accounts!$P$2:$P$11,$F528)="eod_trailing",MAX(INDEX(Accounts!$Q$2:$Q$11,$F528),_xlfn.MAXIFS($C$2:$C$1001,$A$2:$A$1001,$A528,$B$2:$B$1001,"&lt;"&amp;$B528)),MAX(INDEX(Accounts!$Q$2:$Q$11,$F528),_xlfn.MAXIFS($C$2:$C$1001,$A$2:$A$1001,$A528,$B$2:$B$1001,"&lt;"&amp;$B528),_xlfn.MAXIFS($D$2:$D$1001,$A$2:$A$1001,$A528,$B$2:$B$1001,"&lt;="&amp;$B528),$C528)))),"")</f>
        <v/>
      </c>
      <c r="H528" s="15">
        <f>IFERROR(IF(G528="","",IF(INDEX(Accounts!$P$2:$P$11,$F528)="static",INDEX(Accounts!$Q$2:$Q$11,$F528)-INDEX(Accounts!$R$2:$R$11,$F528),IF(INDEX(Accounts!$S$2:$S$11,$F528)="NONE",G528-INDEX(Accounts!$R$2:$R$11,$F528),MIN(G528-INDEX(Accounts!$R$2:$R$11,$F528),INDEX(Accounts!$Q$2:$Q$11,$F528)+INDEX(Accounts!$S$2:$S$11,$F528))))),"")</f>
        <v/>
      </c>
      <c r="I528" s="16">
        <f>IF(AND($A528="",$B528="",$C528="",$D528="",$E528=""),"",IF(OR($A528="",$F528=""),"UNKNOWN_ACCOUNT",IF(OR($B528="",$C528=""),"INCOMPLETE",IFERROR(IF(OR(NOT(ISNUMBER($B528)),NOT(ISNUMBER($C528)),IF(C528="",FALSE,IF(ISNUMBER(C528),OR(C528&lt;=0,C528&gt;100000000,ROUND(C528*100,6)&lt;&gt;INT(ROUND(C528*100,6))),TRUE)),IF(D528="",FALSE,IF(ISNUMBER(D528),OR(D528&lt;=0,D528&gt;100000000,ROUND(D528*100,6)&lt;&gt;INT(ROUND(D528*100,6))),TRUE)),IF(E528="",FALSE,IF(ISNUMBER(E528),OR(E528&lt;=0,E528&gt;100000000,ROUND(E528*100,6)&lt;&gt;INT(ROUND(E528*100,6))),TRUE)),AND($D528&lt;&gt;"",$D528&lt;MAX($C528,$E528)),AND($E528&lt;&gt;"",$E528&gt;MIN($C528,IF($D528="",$C528,$D528))),COUNTIFS($A$2:$A$1001,$A528,$B$2:$B$1001,$B528)&gt;1),"INVALID",IFERROR(IF(IF(INDEX(Accounts!$T$2:$T$11,$F528),ROUND(IF($E528="",$C528,MIN($C528,$E528))-(H528),6)&lt;=0,ROUND(IF($E528="",$C528,MIN($C528,$E528))-(H528),6)&lt;0),"BREACHED","OK"),"INCOMPLETE")),"INVALID"))))</f>
        <v/>
      </c>
      <c r="J528" s="33">
        <f>IF(OR(I528="OK",I528="BREACHED"),-INT(ROUND(-(H528)*100,6))/100,I528)</f>
        <v/>
      </c>
    </row>
    <row r="529" ht="18" customHeight="1">
      <c r="A529" s="9" t="n"/>
      <c r="B529" s="32" t="n"/>
      <c r="C529" s="12" t="n"/>
      <c r="D529" s="12" t="n"/>
      <c r="E529" s="12" t="n"/>
      <c r="F529" s="15">
        <f>IFERROR(MATCH($A529,Accounts!$A$2:$A$11,0),"")</f>
        <v/>
      </c>
      <c r="G529" s="14">
        <f>IFERROR(IF(OR($A529="",$F529=""),"",IF(INDEX(Accounts!$P$2:$P$11,$F529)="static",INDEX(Accounts!$Q$2:$Q$11,$F529),IF(INDEX(Accounts!$P$2:$P$11,$F529)="eod_trailing",MAX(INDEX(Accounts!$Q$2:$Q$11,$F529),_xlfn.MAXIFS($C$2:$C$1001,$A$2:$A$1001,$A529,$B$2:$B$1001,"&lt;"&amp;$B529)),MAX(INDEX(Accounts!$Q$2:$Q$11,$F529),_xlfn.MAXIFS($C$2:$C$1001,$A$2:$A$1001,$A529,$B$2:$B$1001,"&lt;"&amp;$B529),_xlfn.MAXIFS($D$2:$D$1001,$A$2:$A$1001,$A529,$B$2:$B$1001,"&lt;="&amp;$B529),$C529)))),"")</f>
        <v/>
      </c>
      <c r="H529" s="15">
        <f>IFERROR(IF(G529="","",IF(INDEX(Accounts!$P$2:$P$11,$F529)="static",INDEX(Accounts!$Q$2:$Q$11,$F529)-INDEX(Accounts!$R$2:$R$11,$F529),IF(INDEX(Accounts!$S$2:$S$11,$F529)="NONE",G529-INDEX(Accounts!$R$2:$R$11,$F529),MIN(G529-INDEX(Accounts!$R$2:$R$11,$F529),INDEX(Accounts!$Q$2:$Q$11,$F529)+INDEX(Accounts!$S$2:$S$11,$F529))))),"")</f>
        <v/>
      </c>
      <c r="I529" s="16">
        <f>IF(AND($A529="",$B529="",$C529="",$D529="",$E529=""),"",IF(OR($A529="",$F529=""),"UNKNOWN_ACCOUNT",IF(OR($B529="",$C529=""),"INCOMPLETE",IFERROR(IF(OR(NOT(ISNUMBER($B529)),NOT(ISNUMBER($C529)),IF(C529="",FALSE,IF(ISNUMBER(C529),OR(C529&lt;=0,C529&gt;100000000,ROUND(C529*100,6)&lt;&gt;INT(ROUND(C529*100,6))),TRUE)),IF(D529="",FALSE,IF(ISNUMBER(D529),OR(D529&lt;=0,D529&gt;100000000,ROUND(D529*100,6)&lt;&gt;INT(ROUND(D529*100,6))),TRUE)),IF(E529="",FALSE,IF(ISNUMBER(E529),OR(E529&lt;=0,E529&gt;100000000,ROUND(E529*100,6)&lt;&gt;INT(ROUND(E529*100,6))),TRUE)),AND($D529&lt;&gt;"",$D529&lt;MAX($C529,$E529)),AND($E529&lt;&gt;"",$E529&gt;MIN($C529,IF($D529="",$C529,$D529))),COUNTIFS($A$2:$A$1001,$A529,$B$2:$B$1001,$B529)&gt;1),"INVALID",IFERROR(IF(IF(INDEX(Accounts!$T$2:$T$11,$F529),ROUND(IF($E529="",$C529,MIN($C529,$E529))-(H529),6)&lt;=0,ROUND(IF($E529="",$C529,MIN($C529,$E529))-(H529),6)&lt;0),"BREACHED","OK"),"INCOMPLETE")),"INVALID"))))</f>
        <v/>
      </c>
      <c r="J529" s="33">
        <f>IF(OR(I529="OK",I529="BREACHED"),-INT(ROUND(-(H529)*100,6))/100,I529)</f>
        <v/>
      </c>
    </row>
    <row r="530" ht="18" customHeight="1">
      <c r="A530" s="9" t="n"/>
      <c r="B530" s="32" t="n"/>
      <c r="C530" s="12" t="n"/>
      <c r="D530" s="12" t="n"/>
      <c r="E530" s="12" t="n"/>
      <c r="F530" s="15">
        <f>IFERROR(MATCH($A530,Accounts!$A$2:$A$11,0),"")</f>
        <v/>
      </c>
      <c r="G530" s="14">
        <f>IFERROR(IF(OR($A530="",$F530=""),"",IF(INDEX(Accounts!$P$2:$P$11,$F530)="static",INDEX(Accounts!$Q$2:$Q$11,$F530),IF(INDEX(Accounts!$P$2:$P$11,$F530)="eod_trailing",MAX(INDEX(Accounts!$Q$2:$Q$11,$F530),_xlfn.MAXIFS($C$2:$C$1001,$A$2:$A$1001,$A530,$B$2:$B$1001,"&lt;"&amp;$B530)),MAX(INDEX(Accounts!$Q$2:$Q$11,$F530),_xlfn.MAXIFS($C$2:$C$1001,$A$2:$A$1001,$A530,$B$2:$B$1001,"&lt;"&amp;$B530),_xlfn.MAXIFS($D$2:$D$1001,$A$2:$A$1001,$A530,$B$2:$B$1001,"&lt;="&amp;$B530),$C530)))),"")</f>
        <v/>
      </c>
      <c r="H530" s="15">
        <f>IFERROR(IF(G530="","",IF(INDEX(Accounts!$P$2:$P$11,$F530)="static",INDEX(Accounts!$Q$2:$Q$11,$F530)-INDEX(Accounts!$R$2:$R$11,$F530),IF(INDEX(Accounts!$S$2:$S$11,$F530)="NONE",G530-INDEX(Accounts!$R$2:$R$11,$F530),MIN(G530-INDEX(Accounts!$R$2:$R$11,$F530),INDEX(Accounts!$Q$2:$Q$11,$F530)+INDEX(Accounts!$S$2:$S$11,$F530))))),"")</f>
        <v/>
      </c>
      <c r="I530" s="16">
        <f>IF(AND($A530="",$B530="",$C530="",$D530="",$E530=""),"",IF(OR($A530="",$F530=""),"UNKNOWN_ACCOUNT",IF(OR($B530="",$C530=""),"INCOMPLETE",IFERROR(IF(OR(NOT(ISNUMBER($B530)),NOT(ISNUMBER($C530)),IF(C530="",FALSE,IF(ISNUMBER(C530),OR(C530&lt;=0,C530&gt;100000000,ROUND(C530*100,6)&lt;&gt;INT(ROUND(C530*100,6))),TRUE)),IF(D530="",FALSE,IF(ISNUMBER(D530),OR(D530&lt;=0,D530&gt;100000000,ROUND(D530*100,6)&lt;&gt;INT(ROUND(D530*100,6))),TRUE)),IF(E530="",FALSE,IF(ISNUMBER(E530),OR(E530&lt;=0,E530&gt;100000000,ROUND(E530*100,6)&lt;&gt;INT(ROUND(E530*100,6))),TRUE)),AND($D530&lt;&gt;"",$D530&lt;MAX($C530,$E530)),AND($E530&lt;&gt;"",$E530&gt;MIN($C530,IF($D530="",$C530,$D530))),COUNTIFS($A$2:$A$1001,$A530,$B$2:$B$1001,$B530)&gt;1),"INVALID",IFERROR(IF(IF(INDEX(Accounts!$T$2:$T$11,$F530),ROUND(IF($E530="",$C530,MIN($C530,$E530))-(H530),6)&lt;=0,ROUND(IF($E530="",$C530,MIN($C530,$E530))-(H530),6)&lt;0),"BREACHED","OK"),"INCOMPLETE")),"INVALID"))))</f>
        <v/>
      </c>
      <c r="J530" s="33">
        <f>IF(OR(I530="OK",I530="BREACHED"),-INT(ROUND(-(H530)*100,6))/100,I530)</f>
        <v/>
      </c>
    </row>
    <row r="531" ht="18" customHeight="1">
      <c r="A531" s="9" t="n"/>
      <c r="B531" s="32" t="n"/>
      <c r="C531" s="12" t="n"/>
      <c r="D531" s="12" t="n"/>
      <c r="E531" s="12" t="n"/>
      <c r="F531" s="15">
        <f>IFERROR(MATCH($A531,Accounts!$A$2:$A$11,0),"")</f>
        <v/>
      </c>
      <c r="G531" s="14">
        <f>IFERROR(IF(OR($A531="",$F531=""),"",IF(INDEX(Accounts!$P$2:$P$11,$F531)="static",INDEX(Accounts!$Q$2:$Q$11,$F531),IF(INDEX(Accounts!$P$2:$P$11,$F531)="eod_trailing",MAX(INDEX(Accounts!$Q$2:$Q$11,$F531),_xlfn.MAXIFS($C$2:$C$1001,$A$2:$A$1001,$A531,$B$2:$B$1001,"&lt;"&amp;$B531)),MAX(INDEX(Accounts!$Q$2:$Q$11,$F531),_xlfn.MAXIFS($C$2:$C$1001,$A$2:$A$1001,$A531,$B$2:$B$1001,"&lt;"&amp;$B531),_xlfn.MAXIFS($D$2:$D$1001,$A$2:$A$1001,$A531,$B$2:$B$1001,"&lt;="&amp;$B531),$C531)))),"")</f>
        <v/>
      </c>
      <c r="H531" s="15">
        <f>IFERROR(IF(G531="","",IF(INDEX(Accounts!$P$2:$P$11,$F531)="static",INDEX(Accounts!$Q$2:$Q$11,$F531)-INDEX(Accounts!$R$2:$R$11,$F531),IF(INDEX(Accounts!$S$2:$S$11,$F531)="NONE",G531-INDEX(Accounts!$R$2:$R$11,$F531),MIN(G531-INDEX(Accounts!$R$2:$R$11,$F531),INDEX(Accounts!$Q$2:$Q$11,$F531)+INDEX(Accounts!$S$2:$S$11,$F531))))),"")</f>
        <v/>
      </c>
      <c r="I531" s="16">
        <f>IF(AND($A531="",$B531="",$C531="",$D531="",$E531=""),"",IF(OR($A531="",$F531=""),"UNKNOWN_ACCOUNT",IF(OR($B531="",$C531=""),"INCOMPLETE",IFERROR(IF(OR(NOT(ISNUMBER($B531)),NOT(ISNUMBER($C531)),IF(C531="",FALSE,IF(ISNUMBER(C531),OR(C531&lt;=0,C531&gt;100000000,ROUND(C531*100,6)&lt;&gt;INT(ROUND(C531*100,6))),TRUE)),IF(D531="",FALSE,IF(ISNUMBER(D531),OR(D531&lt;=0,D531&gt;100000000,ROUND(D531*100,6)&lt;&gt;INT(ROUND(D531*100,6))),TRUE)),IF(E531="",FALSE,IF(ISNUMBER(E531),OR(E531&lt;=0,E531&gt;100000000,ROUND(E531*100,6)&lt;&gt;INT(ROUND(E531*100,6))),TRUE)),AND($D531&lt;&gt;"",$D531&lt;MAX($C531,$E531)),AND($E531&lt;&gt;"",$E531&gt;MIN($C531,IF($D531="",$C531,$D531))),COUNTIFS($A$2:$A$1001,$A531,$B$2:$B$1001,$B531)&gt;1),"INVALID",IFERROR(IF(IF(INDEX(Accounts!$T$2:$T$11,$F531),ROUND(IF($E531="",$C531,MIN($C531,$E531))-(H531),6)&lt;=0,ROUND(IF($E531="",$C531,MIN($C531,$E531))-(H531),6)&lt;0),"BREACHED","OK"),"INCOMPLETE")),"INVALID"))))</f>
        <v/>
      </c>
      <c r="J531" s="33">
        <f>IF(OR(I531="OK",I531="BREACHED"),-INT(ROUND(-(H531)*100,6))/100,I531)</f>
        <v/>
      </c>
    </row>
    <row r="532" ht="18" customHeight="1">
      <c r="A532" s="9" t="n"/>
      <c r="B532" s="32" t="n"/>
      <c r="C532" s="12" t="n"/>
      <c r="D532" s="12" t="n"/>
      <c r="E532" s="12" t="n"/>
      <c r="F532" s="15">
        <f>IFERROR(MATCH($A532,Accounts!$A$2:$A$11,0),"")</f>
        <v/>
      </c>
      <c r="G532" s="14">
        <f>IFERROR(IF(OR($A532="",$F532=""),"",IF(INDEX(Accounts!$P$2:$P$11,$F532)="static",INDEX(Accounts!$Q$2:$Q$11,$F532),IF(INDEX(Accounts!$P$2:$P$11,$F532)="eod_trailing",MAX(INDEX(Accounts!$Q$2:$Q$11,$F532),_xlfn.MAXIFS($C$2:$C$1001,$A$2:$A$1001,$A532,$B$2:$B$1001,"&lt;"&amp;$B532)),MAX(INDEX(Accounts!$Q$2:$Q$11,$F532),_xlfn.MAXIFS($C$2:$C$1001,$A$2:$A$1001,$A532,$B$2:$B$1001,"&lt;"&amp;$B532),_xlfn.MAXIFS($D$2:$D$1001,$A$2:$A$1001,$A532,$B$2:$B$1001,"&lt;="&amp;$B532),$C532)))),"")</f>
        <v/>
      </c>
      <c r="H532" s="15">
        <f>IFERROR(IF(G532="","",IF(INDEX(Accounts!$P$2:$P$11,$F532)="static",INDEX(Accounts!$Q$2:$Q$11,$F532)-INDEX(Accounts!$R$2:$R$11,$F532),IF(INDEX(Accounts!$S$2:$S$11,$F532)="NONE",G532-INDEX(Accounts!$R$2:$R$11,$F532),MIN(G532-INDEX(Accounts!$R$2:$R$11,$F532),INDEX(Accounts!$Q$2:$Q$11,$F532)+INDEX(Accounts!$S$2:$S$11,$F532))))),"")</f>
        <v/>
      </c>
      <c r="I532" s="16">
        <f>IF(AND($A532="",$B532="",$C532="",$D532="",$E532=""),"",IF(OR($A532="",$F532=""),"UNKNOWN_ACCOUNT",IF(OR($B532="",$C532=""),"INCOMPLETE",IFERROR(IF(OR(NOT(ISNUMBER($B532)),NOT(ISNUMBER($C532)),IF(C532="",FALSE,IF(ISNUMBER(C532),OR(C532&lt;=0,C532&gt;100000000,ROUND(C532*100,6)&lt;&gt;INT(ROUND(C532*100,6))),TRUE)),IF(D532="",FALSE,IF(ISNUMBER(D532),OR(D532&lt;=0,D532&gt;100000000,ROUND(D532*100,6)&lt;&gt;INT(ROUND(D532*100,6))),TRUE)),IF(E532="",FALSE,IF(ISNUMBER(E532),OR(E532&lt;=0,E532&gt;100000000,ROUND(E532*100,6)&lt;&gt;INT(ROUND(E532*100,6))),TRUE)),AND($D532&lt;&gt;"",$D532&lt;MAX($C532,$E532)),AND($E532&lt;&gt;"",$E532&gt;MIN($C532,IF($D532="",$C532,$D532))),COUNTIFS($A$2:$A$1001,$A532,$B$2:$B$1001,$B532)&gt;1),"INVALID",IFERROR(IF(IF(INDEX(Accounts!$T$2:$T$11,$F532),ROUND(IF($E532="",$C532,MIN($C532,$E532))-(H532),6)&lt;=0,ROUND(IF($E532="",$C532,MIN($C532,$E532))-(H532),6)&lt;0),"BREACHED","OK"),"INCOMPLETE")),"INVALID"))))</f>
        <v/>
      </c>
      <c r="J532" s="33">
        <f>IF(OR(I532="OK",I532="BREACHED"),-INT(ROUND(-(H532)*100,6))/100,I532)</f>
        <v/>
      </c>
    </row>
    <row r="533" ht="18" customHeight="1">
      <c r="A533" s="9" t="n"/>
      <c r="B533" s="32" t="n"/>
      <c r="C533" s="12" t="n"/>
      <c r="D533" s="12" t="n"/>
      <c r="E533" s="12" t="n"/>
      <c r="F533" s="15">
        <f>IFERROR(MATCH($A533,Accounts!$A$2:$A$11,0),"")</f>
        <v/>
      </c>
      <c r="G533" s="14">
        <f>IFERROR(IF(OR($A533="",$F533=""),"",IF(INDEX(Accounts!$P$2:$P$11,$F533)="static",INDEX(Accounts!$Q$2:$Q$11,$F533),IF(INDEX(Accounts!$P$2:$P$11,$F533)="eod_trailing",MAX(INDEX(Accounts!$Q$2:$Q$11,$F533),_xlfn.MAXIFS($C$2:$C$1001,$A$2:$A$1001,$A533,$B$2:$B$1001,"&lt;"&amp;$B533)),MAX(INDEX(Accounts!$Q$2:$Q$11,$F533),_xlfn.MAXIFS($C$2:$C$1001,$A$2:$A$1001,$A533,$B$2:$B$1001,"&lt;"&amp;$B533),_xlfn.MAXIFS($D$2:$D$1001,$A$2:$A$1001,$A533,$B$2:$B$1001,"&lt;="&amp;$B533),$C533)))),"")</f>
        <v/>
      </c>
      <c r="H533" s="15">
        <f>IFERROR(IF(G533="","",IF(INDEX(Accounts!$P$2:$P$11,$F533)="static",INDEX(Accounts!$Q$2:$Q$11,$F533)-INDEX(Accounts!$R$2:$R$11,$F533),IF(INDEX(Accounts!$S$2:$S$11,$F533)="NONE",G533-INDEX(Accounts!$R$2:$R$11,$F533),MIN(G533-INDEX(Accounts!$R$2:$R$11,$F533),INDEX(Accounts!$Q$2:$Q$11,$F533)+INDEX(Accounts!$S$2:$S$11,$F533))))),"")</f>
        <v/>
      </c>
      <c r="I533" s="16">
        <f>IF(AND($A533="",$B533="",$C533="",$D533="",$E533=""),"",IF(OR($A533="",$F533=""),"UNKNOWN_ACCOUNT",IF(OR($B533="",$C533=""),"INCOMPLETE",IFERROR(IF(OR(NOT(ISNUMBER($B533)),NOT(ISNUMBER($C533)),IF(C533="",FALSE,IF(ISNUMBER(C533),OR(C533&lt;=0,C533&gt;100000000,ROUND(C533*100,6)&lt;&gt;INT(ROUND(C533*100,6))),TRUE)),IF(D533="",FALSE,IF(ISNUMBER(D533),OR(D533&lt;=0,D533&gt;100000000,ROUND(D533*100,6)&lt;&gt;INT(ROUND(D533*100,6))),TRUE)),IF(E533="",FALSE,IF(ISNUMBER(E533),OR(E533&lt;=0,E533&gt;100000000,ROUND(E533*100,6)&lt;&gt;INT(ROUND(E533*100,6))),TRUE)),AND($D533&lt;&gt;"",$D533&lt;MAX($C533,$E533)),AND($E533&lt;&gt;"",$E533&gt;MIN($C533,IF($D533="",$C533,$D533))),COUNTIFS($A$2:$A$1001,$A533,$B$2:$B$1001,$B533)&gt;1),"INVALID",IFERROR(IF(IF(INDEX(Accounts!$T$2:$T$11,$F533),ROUND(IF($E533="",$C533,MIN($C533,$E533))-(H533),6)&lt;=0,ROUND(IF($E533="",$C533,MIN($C533,$E533))-(H533),6)&lt;0),"BREACHED","OK"),"INCOMPLETE")),"INVALID"))))</f>
        <v/>
      </c>
      <c r="J533" s="33">
        <f>IF(OR(I533="OK",I533="BREACHED"),-INT(ROUND(-(H533)*100,6))/100,I533)</f>
        <v/>
      </c>
    </row>
    <row r="534" ht="18" customHeight="1">
      <c r="A534" s="9" t="n"/>
      <c r="B534" s="32" t="n"/>
      <c r="C534" s="12" t="n"/>
      <c r="D534" s="12" t="n"/>
      <c r="E534" s="12" t="n"/>
      <c r="F534" s="15">
        <f>IFERROR(MATCH($A534,Accounts!$A$2:$A$11,0),"")</f>
        <v/>
      </c>
      <c r="G534" s="14">
        <f>IFERROR(IF(OR($A534="",$F534=""),"",IF(INDEX(Accounts!$P$2:$P$11,$F534)="static",INDEX(Accounts!$Q$2:$Q$11,$F534),IF(INDEX(Accounts!$P$2:$P$11,$F534)="eod_trailing",MAX(INDEX(Accounts!$Q$2:$Q$11,$F534),_xlfn.MAXIFS($C$2:$C$1001,$A$2:$A$1001,$A534,$B$2:$B$1001,"&lt;"&amp;$B534)),MAX(INDEX(Accounts!$Q$2:$Q$11,$F534),_xlfn.MAXIFS($C$2:$C$1001,$A$2:$A$1001,$A534,$B$2:$B$1001,"&lt;"&amp;$B534),_xlfn.MAXIFS($D$2:$D$1001,$A$2:$A$1001,$A534,$B$2:$B$1001,"&lt;="&amp;$B534),$C534)))),"")</f>
        <v/>
      </c>
      <c r="H534" s="15">
        <f>IFERROR(IF(G534="","",IF(INDEX(Accounts!$P$2:$P$11,$F534)="static",INDEX(Accounts!$Q$2:$Q$11,$F534)-INDEX(Accounts!$R$2:$R$11,$F534),IF(INDEX(Accounts!$S$2:$S$11,$F534)="NONE",G534-INDEX(Accounts!$R$2:$R$11,$F534),MIN(G534-INDEX(Accounts!$R$2:$R$11,$F534),INDEX(Accounts!$Q$2:$Q$11,$F534)+INDEX(Accounts!$S$2:$S$11,$F534))))),"")</f>
        <v/>
      </c>
      <c r="I534" s="16">
        <f>IF(AND($A534="",$B534="",$C534="",$D534="",$E534=""),"",IF(OR($A534="",$F534=""),"UNKNOWN_ACCOUNT",IF(OR($B534="",$C534=""),"INCOMPLETE",IFERROR(IF(OR(NOT(ISNUMBER($B534)),NOT(ISNUMBER($C534)),IF(C534="",FALSE,IF(ISNUMBER(C534),OR(C534&lt;=0,C534&gt;100000000,ROUND(C534*100,6)&lt;&gt;INT(ROUND(C534*100,6))),TRUE)),IF(D534="",FALSE,IF(ISNUMBER(D534),OR(D534&lt;=0,D534&gt;100000000,ROUND(D534*100,6)&lt;&gt;INT(ROUND(D534*100,6))),TRUE)),IF(E534="",FALSE,IF(ISNUMBER(E534),OR(E534&lt;=0,E534&gt;100000000,ROUND(E534*100,6)&lt;&gt;INT(ROUND(E534*100,6))),TRUE)),AND($D534&lt;&gt;"",$D534&lt;MAX($C534,$E534)),AND($E534&lt;&gt;"",$E534&gt;MIN($C534,IF($D534="",$C534,$D534))),COUNTIFS($A$2:$A$1001,$A534,$B$2:$B$1001,$B534)&gt;1),"INVALID",IFERROR(IF(IF(INDEX(Accounts!$T$2:$T$11,$F534),ROUND(IF($E534="",$C534,MIN($C534,$E534))-(H534),6)&lt;=0,ROUND(IF($E534="",$C534,MIN($C534,$E534))-(H534),6)&lt;0),"BREACHED","OK"),"INCOMPLETE")),"INVALID"))))</f>
        <v/>
      </c>
      <c r="J534" s="33">
        <f>IF(OR(I534="OK",I534="BREACHED"),-INT(ROUND(-(H534)*100,6))/100,I534)</f>
        <v/>
      </c>
    </row>
    <row r="535" ht="18" customHeight="1">
      <c r="A535" s="9" t="n"/>
      <c r="B535" s="32" t="n"/>
      <c r="C535" s="12" t="n"/>
      <c r="D535" s="12" t="n"/>
      <c r="E535" s="12" t="n"/>
      <c r="F535" s="15">
        <f>IFERROR(MATCH($A535,Accounts!$A$2:$A$11,0),"")</f>
        <v/>
      </c>
      <c r="G535" s="14">
        <f>IFERROR(IF(OR($A535="",$F535=""),"",IF(INDEX(Accounts!$P$2:$P$11,$F535)="static",INDEX(Accounts!$Q$2:$Q$11,$F535),IF(INDEX(Accounts!$P$2:$P$11,$F535)="eod_trailing",MAX(INDEX(Accounts!$Q$2:$Q$11,$F535),_xlfn.MAXIFS($C$2:$C$1001,$A$2:$A$1001,$A535,$B$2:$B$1001,"&lt;"&amp;$B535)),MAX(INDEX(Accounts!$Q$2:$Q$11,$F535),_xlfn.MAXIFS($C$2:$C$1001,$A$2:$A$1001,$A535,$B$2:$B$1001,"&lt;"&amp;$B535),_xlfn.MAXIFS($D$2:$D$1001,$A$2:$A$1001,$A535,$B$2:$B$1001,"&lt;="&amp;$B535),$C535)))),"")</f>
        <v/>
      </c>
      <c r="H535" s="15">
        <f>IFERROR(IF(G535="","",IF(INDEX(Accounts!$P$2:$P$11,$F535)="static",INDEX(Accounts!$Q$2:$Q$11,$F535)-INDEX(Accounts!$R$2:$R$11,$F535),IF(INDEX(Accounts!$S$2:$S$11,$F535)="NONE",G535-INDEX(Accounts!$R$2:$R$11,$F535),MIN(G535-INDEX(Accounts!$R$2:$R$11,$F535),INDEX(Accounts!$Q$2:$Q$11,$F535)+INDEX(Accounts!$S$2:$S$11,$F535))))),"")</f>
        <v/>
      </c>
      <c r="I535" s="16">
        <f>IF(AND($A535="",$B535="",$C535="",$D535="",$E535=""),"",IF(OR($A535="",$F535=""),"UNKNOWN_ACCOUNT",IF(OR($B535="",$C535=""),"INCOMPLETE",IFERROR(IF(OR(NOT(ISNUMBER($B535)),NOT(ISNUMBER($C535)),IF(C535="",FALSE,IF(ISNUMBER(C535),OR(C535&lt;=0,C535&gt;100000000,ROUND(C535*100,6)&lt;&gt;INT(ROUND(C535*100,6))),TRUE)),IF(D535="",FALSE,IF(ISNUMBER(D535),OR(D535&lt;=0,D535&gt;100000000,ROUND(D535*100,6)&lt;&gt;INT(ROUND(D535*100,6))),TRUE)),IF(E535="",FALSE,IF(ISNUMBER(E535),OR(E535&lt;=0,E535&gt;100000000,ROUND(E535*100,6)&lt;&gt;INT(ROUND(E535*100,6))),TRUE)),AND($D535&lt;&gt;"",$D535&lt;MAX($C535,$E535)),AND($E535&lt;&gt;"",$E535&gt;MIN($C535,IF($D535="",$C535,$D535))),COUNTIFS($A$2:$A$1001,$A535,$B$2:$B$1001,$B535)&gt;1),"INVALID",IFERROR(IF(IF(INDEX(Accounts!$T$2:$T$11,$F535),ROUND(IF($E535="",$C535,MIN($C535,$E535))-(H535),6)&lt;=0,ROUND(IF($E535="",$C535,MIN($C535,$E535))-(H535),6)&lt;0),"BREACHED","OK"),"INCOMPLETE")),"INVALID"))))</f>
        <v/>
      </c>
      <c r="J535" s="33">
        <f>IF(OR(I535="OK",I535="BREACHED"),-INT(ROUND(-(H535)*100,6))/100,I535)</f>
        <v/>
      </c>
    </row>
    <row r="536" ht="18" customHeight="1">
      <c r="A536" s="9" t="n"/>
      <c r="B536" s="32" t="n"/>
      <c r="C536" s="12" t="n"/>
      <c r="D536" s="12" t="n"/>
      <c r="E536" s="12" t="n"/>
      <c r="F536" s="15">
        <f>IFERROR(MATCH($A536,Accounts!$A$2:$A$11,0),"")</f>
        <v/>
      </c>
      <c r="G536" s="14">
        <f>IFERROR(IF(OR($A536="",$F536=""),"",IF(INDEX(Accounts!$P$2:$P$11,$F536)="static",INDEX(Accounts!$Q$2:$Q$11,$F536),IF(INDEX(Accounts!$P$2:$P$11,$F536)="eod_trailing",MAX(INDEX(Accounts!$Q$2:$Q$11,$F536),_xlfn.MAXIFS($C$2:$C$1001,$A$2:$A$1001,$A536,$B$2:$B$1001,"&lt;"&amp;$B536)),MAX(INDEX(Accounts!$Q$2:$Q$11,$F536),_xlfn.MAXIFS($C$2:$C$1001,$A$2:$A$1001,$A536,$B$2:$B$1001,"&lt;"&amp;$B536),_xlfn.MAXIFS($D$2:$D$1001,$A$2:$A$1001,$A536,$B$2:$B$1001,"&lt;="&amp;$B536),$C536)))),"")</f>
        <v/>
      </c>
      <c r="H536" s="15">
        <f>IFERROR(IF(G536="","",IF(INDEX(Accounts!$P$2:$P$11,$F536)="static",INDEX(Accounts!$Q$2:$Q$11,$F536)-INDEX(Accounts!$R$2:$R$11,$F536),IF(INDEX(Accounts!$S$2:$S$11,$F536)="NONE",G536-INDEX(Accounts!$R$2:$R$11,$F536),MIN(G536-INDEX(Accounts!$R$2:$R$11,$F536),INDEX(Accounts!$Q$2:$Q$11,$F536)+INDEX(Accounts!$S$2:$S$11,$F536))))),"")</f>
        <v/>
      </c>
      <c r="I536" s="16">
        <f>IF(AND($A536="",$B536="",$C536="",$D536="",$E536=""),"",IF(OR($A536="",$F536=""),"UNKNOWN_ACCOUNT",IF(OR($B536="",$C536=""),"INCOMPLETE",IFERROR(IF(OR(NOT(ISNUMBER($B536)),NOT(ISNUMBER($C536)),IF(C536="",FALSE,IF(ISNUMBER(C536),OR(C536&lt;=0,C536&gt;100000000,ROUND(C536*100,6)&lt;&gt;INT(ROUND(C536*100,6))),TRUE)),IF(D536="",FALSE,IF(ISNUMBER(D536),OR(D536&lt;=0,D536&gt;100000000,ROUND(D536*100,6)&lt;&gt;INT(ROUND(D536*100,6))),TRUE)),IF(E536="",FALSE,IF(ISNUMBER(E536),OR(E536&lt;=0,E536&gt;100000000,ROUND(E536*100,6)&lt;&gt;INT(ROUND(E536*100,6))),TRUE)),AND($D536&lt;&gt;"",$D536&lt;MAX($C536,$E536)),AND($E536&lt;&gt;"",$E536&gt;MIN($C536,IF($D536="",$C536,$D536))),COUNTIFS($A$2:$A$1001,$A536,$B$2:$B$1001,$B536)&gt;1),"INVALID",IFERROR(IF(IF(INDEX(Accounts!$T$2:$T$11,$F536),ROUND(IF($E536="",$C536,MIN($C536,$E536))-(H536),6)&lt;=0,ROUND(IF($E536="",$C536,MIN($C536,$E536))-(H536),6)&lt;0),"BREACHED","OK"),"INCOMPLETE")),"INVALID"))))</f>
        <v/>
      </c>
      <c r="J536" s="33">
        <f>IF(OR(I536="OK",I536="BREACHED"),-INT(ROUND(-(H536)*100,6))/100,I536)</f>
        <v/>
      </c>
    </row>
    <row r="537" ht="18" customHeight="1">
      <c r="A537" s="9" t="n"/>
      <c r="B537" s="32" t="n"/>
      <c r="C537" s="12" t="n"/>
      <c r="D537" s="12" t="n"/>
      <c r="E537" s="12" t="n"/>
      <c r="F537" s="15">
        <f>IFERROR(MATCH($A537,Accounts!$A$2:$A$11,0),"")</f>
        <v/>
      </c>
      <c r="G537" s="14">
        <f>IFERROR(IF(OR($A537="",$F537=""),"",IF(INDEX(Accounts!$P$2:$P$11,$F537)="static",INDEX(Accounts!$Q$2:$Q$11,$F537),IF(INDEX(Accounts!$P$2:$P$11,$F537)="eod_trailing",MAX(INDEX(Accounts!$Q$2:$Q$11,$F537),_xlfn.MAXIFS($C$2:$C$1001,$A$2:$A$1001,$A537,$B$2:$B$1001,"&lt;"&amp;$B537)),MAX(INDEX(Accounts!$Q$2:$Q$11,$F537),_xlfn.MAXIFS($C$2:$C$1001,$A$2:$A$1001,$A537,$B$2:$B$1001,"&lt;"&amp;$B537),_xlfn.MAXIFS($D$2:$D$1001,$A$2:$A$1001,$A537,$B$2:$B$1001,"&lt;="&amp;$B537),$C537)))),"")</f>
        <v/>
      </c>
      <c r="H537" s="15">
        <f>IFERROR(IF(G537="","",IF(INDEX(Accounts!$P$2:$P$11,$F537)="static",INDEX(Accounts!$Q$2:$Q$11,$F537)-INDEX(Accounts!$R$2:$R$11,$F537),IF(INDEX(Accounts!$S$2:$S$11,$F537)="NONE",G537-INDEX(Accounts!$R$2:$R$11,$F537),MIN(G537-INDEX(Accounts!$R$2:$R$11,$F537),INDEX(Accounts!$Q$2:$Q$11,$F537)+INDEX(Accounts!$S$2:$S$11,$F537))))),"")</f>
        <v/>
      </c>
      <c r="I537" s="16">
        <f>IF(AND($A537="",$B537="",$C537="",$D537="",$E537=""),"",IF(OR($A537="",$F537=""),"UNKNOWN_ACCOUNT",IF(OR($B537="",$C537=""),"INCOMPLETE",IFERROR(IF(OR(NOT(ISNUMBER($B537)),NOT(ISNUMBER($C537)),IF(C537="",FALSE,IF(ISNUMBER(C537),OR(C537&lt;=0,C537&gt;100000000,ROUND(C537*100,6)&lt;&gt;INT(ROUND(C537*100,6))),TRUE)),IF(D537="",FALSE,IF(ISNUMBER(D537),OR(D537&lt;=0,D537&gt;100000000,ROUND(D537*100,6)&lt;&gt;INT(ROUND(D537*100,6))),TRUE)),IF(E537="",FALSE,IF(ISNUMBER(E537),OR(E537&lt;=0,E537&gt;100000000,ROUND(E537*100,6)&lt;&gt;INT(ROUND(E537*100,6))),TRUE)),AND($D537&lt;&gt;"",$D537&lt;MAX($C537,$E537)),AND($E537&lt;&gt;"",$E537&gt;MIN($C537,IF($D537="",$C537,$D537))),COUNTIFS($A$2:$A$1001,$A537,$B$2:$B$1001,$B537)&gt;1),"INVALID",IFERROR(IF(IF(INDEX(Accounts!$T$2:$T$11,$F537),ROUND(IF($E537="",$C537,MIN($C537,$E537))-(H537),6)&lt;=0,ROUND(IF($E537="",$C537,MIN($C537,$E537))-(H537),6)&lt;0),"BREACHED","OK"),"INCOMPLETE")),"INVALID"))))</f>
        <v/>
      </c>
      <c r="J537" s="33">
        <f>IF(OR(I537="OK",I537="BREACHED"),-INT(ROUND(-(H537)*100,6))/100,I537)</f>
        <v/>
      </c>
    </row>
    <row r="538" ht="18" customHeight="1">
      <c r="A538" s="9" t="n"/>
      <c r="B538" s="32" t="n"/>
      <c r="C538" s="12" t="n"/>
      <c r="D538" s="12" t="n"/>
      <c r="E538" s="12" t="n"/>
      <c r="F538" s="15">
        <f>IFERROR(MATCH($A538,Accounts!$A$2:$A$11,0),"")</f>
        <v/>
      </c>
      <c r="G538" s="14">
        <f>IFERROR(IF(OR($A538="",$F538=""),"",IF(INDEX(Accounts!$P$2:$P$11,$F538)="static",INDEX(Accounts!$Q$2:$Q$11,$F538),IF(INDEX(Accounts!$P$2:$P$11,$F538)="eod_trailing",MAX(INDEX(Accounts!$Q$2:$Q$11,$F538),_xlfn.MAXIFS($C$2:$C$1001,$A$2:$A$1001,$A538,$B$2:$B$1001,"&lt;"&amp;$B538)),MAX(INDEX(Accounts!$Q$2:$Q$11,$F538),_xlfn.MAXIFS($C$2:$C$1001,$A$2:$A$1001,$A538,$B$2:$B$1001,"&lt;"&amp;$B538),_xlfn.MAXIFS($D$2:$D$1001,$A$2:$A$1001,$A538,$B$2:$B$1001,"&lt;="&amp;$B538),$C538)))),"")</f>
        <v/>
      </c>
      <c r="H538" s="15">
        <f>IFERROR(IF(G538="","",IF(INDEX(Accounts!$P$2:$P$11,$F538)="static",INDEX(Accounts!$Q$2:$Q$11,$F538)-INDEX(Accounts!$R$2:$R$11,$F538),IF(INDEX(Accounts!$S$2:$S$11,$F538)="NONE",G538-INDEX(Accounts!$R$2:$R$11,$F538),MIN(G538-INDEX(Accounts!$R$2:$R$11,$F538),INDEX(Accounts!$Q$2:$Q$11,$F538)+INDEX(Accounts!$S$2:$S$11,$F538))))),"")</f>
        <v/>
      </c>
      <c r="I538" s="16">
        <f>IF(AND($A538="",$B538="",$C538="",$D538="",$E538=""),"",IF(OR($A538="",$F538=""),"UNKNOWN_ACCOUNT",IF(OR($B538="",$C538=""),"INCOMPLETE",IFERROR(IF(OR(NOT(ISNUMBER($B538)),NOT(ISNUMBER($C538)),IF(C538="",FALSE,IF(ISNUMBER(C538),OR(C538&lt;=0,C538&gt;100000000,ROUND(C538*100,6)&lt;&gt;INT(ROUND(C538*100,6))),TRUE)),IF(D538="",FALSE,IF(ISNUMBER(D538),OR(D538&lt;=0,D538&gt;100000000,ROUND(D538*100,6)&lt;&gt;INT(ROUND(D538*100,6))),TRUE)),IF(E538="",FALSE,IF(ISNUMBER(E538),OR(E538&lt;=0,E538&gt;100000000,ROUND(E538*100,6)&lt;&gt;INT(ROUND(E538*100,6))),TRUE)),AND($D538&lt;&gt;"",$D538&lt;MAX($C538,$E538)),AND($E538&lt;&gt;"",$E538&gt;MIN($C538,IF($D538="",$C538,$D538))),COUNTIFS($A$2:$A$1001,$A538,$B$2:$B$1001,$B538)&gt;1),"INVALID",IFERROR(IF(IF(INDEX(Accounts!$T$2:$T$11,$F538),ROUND(IF($E538="",$C538,MIN($C538,$E538))-(H538),6)&lt;=0,ROUND(IF($E538="",$C538,MIN($C538,$E538))-(H538),6)&lt;0),"BREACHED","OK"),"INCOMPLETE")),"INVALID"))))</f>
        <v/>
      </c>
      <c r="J538" s="33">
        <f>IF(OR(I538="OK",I538="BREACHED"),-INT(ROUND(-(H538)*100,6))/100,I538)</f>
        <v/>
      </c>
    </row>
    <row r="539" ht="18" customHeight="1">
      <c r="A539" s="9" t="n"/>
      <c r="B539" s="32" t="n"/>
      <c r="C539" s="12" t="n"/>
      <c r="D539" s="12" t="n"/>
      <c r="E539" s="12" t="n"/>
      <c r="F539" s="15">
        <f>IFERROR(MATCH($A539,Accounts!$A$2:$A$11,0),"")</f>
        <v/>
      </c>
      <c r="G539" s="14">
        <f>IFERROR(IF(OR($A539="",$F539=""),"",IF(INDEX(Accounts!$P$2:$P$11,$F539)="static",INDEX(Accounts!$Q$2:$Q$11,$F539),IF(INDEX(Accounts!$P$2:$P$11,$F539)="eod_trailing",MAX(INDEX(Accounts!$Q$2:$Q$11,$F539),_xlfn.MAXIFS($C$2:$C$1001,$A$2:$A$1001,$A539,$B$2:$B$1001,"&lt;"&amp;$B539)),MAX(INDEX(Accounts!$Q$2:$Q$11,$F539),_xlfn.MAXIFS($C$2:$C$1001,$A$2:$A$1001,$A539,$B$2:$B$1001,"&lt;"&amp;$B539),_xlfn.MAXIFS($D$2:$D$1001,$A$2:$A$1001,$A539,$B$2:$B$1001,"&lt;="&amp;$B539),$C539)))),"")</f>
        <v/>
      </c>
      <c r="H539" s="15">
        <f>IFERROR(IF(G539="","",IF(INDEX(Accounts!$P$2:$P$11,$F539)="static",INDEX(Accounts!$Q$2:$Q$11,$F539)-INDEX(Accounts!$R$2:$R$11,$F539),IF(INDEX(Accounts!$S$2:$S$11,$F539)="NONE",G539-INDEX(Accounts!$R$2:$R$11,$F539),MIN(G539-INDEX(Accounts!$R$2:$R$11,$F539),INDEX(Accounts!$Q$2:$Q$11,$F539)+INDEX(Accounts!$S$2:$S$11,$F539))))),"")</f>
        <v/>
      </c>
      <c r="I539" s="16">
        <f>IF(AND($A539="",$B539="",$C539="",$D539="",$E539=""),"",IF(OR($A539="",$F539=""),"UNKNOWN_ACCOUNT",IF(OR($B539="",$C539=""),"INCOMPLETE",IFERROR(IF(OR(NOT(ISNUMBER($B539)),NOT(ISNUMBER($C539)),IF(C539="",FALSE,IF(ISNUMBER(C539),OR(C539&lt;=0,C539&gt;100000000,ROUND(C539*100,6)&lt;&gt;INT(ROUND(C539*100,6))),TRUE)),IF(D539="",FALSE,IF(ISNUMBER(D539),OR(D539&lt;=0,D539&gt;100000000,ROUND(D539*100,6)&lt;&gt;INT(ROUND(D539*100,6))),TRUE)),IF(E539="",FALSE,IF(ISNUMBER(E539),OR(E539&lt;=0,E539&gt;100000000,ROUND(E539*100,6)&lt;&gt;INT(ROUND(E539*100,6))),TRUE)),AND($D539&lt;&gt;"",$D539&lt;MAX($C539,$E539)),AND($E539&lt;&gt;"",$E539&gt;MIN($C539,IF($D539="",$C539,$D539))),COUNTIFS($A$2:$A$1001,$A539,$B$2:$B$1001,$B539)&gt;1),"INVALID",IFERROR(IF(IF(INDEX(Accounts!$T$2:$T$11,$F539),ROUND(IF($E539="",$C539,MIN($C539,$E539))-(H539),6)&lt;=0,ROUND(IF($E539="",$C539,MIN($C539,$E539))-(H539),6)&lt;0),"BREACHED","OK"),"INCOMPLETE")),"INVALID"))))</f>
        <v/>
      </c>
      <c r="J539" s="33">
        <f>IF(OR(I539="OK",I539="BREACHED"),-INT(ROUND(-(H539)*100,6))/100,I539)</f>
        <v/>
      </c>
    </row>
    <row r="540" ht="18" customHeight="1">
      <c r="A540" s="9" t="n"/>
      <c r="B540" s="32" t="n"/>
      <c r="C540" s="12" t="n"/>
      <c r="D540" s="12" t="n"/>
      <c r="E540" s="12" t="n"/>
      <c r="F540" s="15">
        <f>IFERROR(MATCH($A540,Accounts!$A$2:$A$11,0),"")</f>
        <v/>
      </c>
      <c r="G540" s="14">
        <f>IFERROR(IF(OR($A540="",$F540=""),"",IF(INDEX(Accounts!$P$2:$P$11,$F540)="static",INDEX(Accounts!$Q$2:$Q$11,$F540),IF(INDEX(Accounts!$P$2:$P$11,$F540)="eod_trailing",MAX(INDEX(Accounts!$Q$2:$Q$11,$F540),_xlfn.MAXIFS($C$2:$C$1001,$A$2:$A$1001,$A540,$B$2:$B$1001,"&lt;"&amp;$B540)),MAX(INDEX(Accounts!$Q$2:$Q$11,$F540),_xlfn.MAXIFS($C$2:$C$1001,$A$2:$A$1001,$A540,$B$2:$B$1001,"&lt;"&amp;$B540),_xlfn.MAXIFS($D$2:$D$1001,$A$2:$A$1001,$A540,$B$2:$B$1001,"&lt;="&amp;$B540),$C540)))),"")</f>
        <v/>
      </c>
      <c r="H540" s="15">
        <f>IFERROR(IF(G540="","",IF(INDEX(Accounts!$P$2:$P$11,$F540)="static",INDEX(Accounts!$Q$2:$Q$11,$F540)-INDEX(Accounts!$R$2:$R$11,$F540),IF(INDEX(Accounts!$S$2:$S$11,$F540)="NONE",G540-INDEX(Accounts!$R$2:$R$11,$F540),MIN(G540-INDEX(Accounts!$R$2:$R$11,$F540),INDEX(Accounts!$Q$2:$Q$11,$F540)+INDEX(Accounts!$S$2:$S$11,$F540))))),"")</f>
        <v/>
      </c>
      <c r="I540" s="16">
        <f>IF(AND($A540="",$B540="",$C540="",$D540="",$E540=""),"",IF(OR($A540="",$F540=""),"UNKNOWN_ACCOUNT",IF(OR($B540="",$C540=""),"INCOMPLETE",IFERROR(IF(OR(NOT(ISNUMBER($B540)),NOT(ISNUMBER($C540)),IF(C540="",FALSE,IF(ISNUMBER(C540),OR(C540&lt;=0,C540&gt;100000000,ROUND(C540*100,6)&lt;&gt;INT(ROUND(C540*100,6))),TRUE)),IF(D540="",FALSE,IF(ISNUMBER(D540),OR(D540&lt;=0,D540&gt;100000000,ROUND(D540*100,6)&lt;&gt;INT(ROUND(D540*100,6))),TRUE)),IF(E540="",FALSE,IF(ISNUMBER(E540),OR(E540&lt;=0,E540&gt;100000000,ROUND(E540*100,6)&lt;&gt;INT(ROUND(E540*100,6))),TRUE)),AND($D540&lt;&gt;"",$D540&lt;MAX($C540,$E540)),AND($E540&lt;&gt;"",$E540&gt;MIN($C540,IF($D540="",$C540,$D540))),COUNTIFS($A$2:$A$1001,$A540,$B$2:$B$1001,$B540)&gt;1),"INVALID",IFERROR(IF(IF(INDEX(Accounts!$T$2:$T$11,$F540),ROUND(IF($E540="",$C540,MIN($C540,$E540))-(H540),6)&lt;=0,ROUND(IF($E540="",$C540,MIN($C540,$E540))-(H540),6)&lt;0),"BREACHED","OK"),"INCOMPLETE")),"INVALID"))))</f>
        <v/>
      </c>
      <c r="J540" s="33">
        <f>IF(OR(I540="OK",I540="BREACHED"),-INT(ROUND(-(H540)*100,6))/100,I540)</f>
        <v/>
      </c>
    </row>
    <row r="541" ht="18" customHeight="1">
      <c r="A541" s="9" t="n"/>
      <c r="B541" s="32" t="n"/>
      <c r="C541" s="12" t="n"/>
      <c r="D541" s="12" t="n"/>
      <c r="E541" s="12" t="n"/>
      <c r="F541" s="15">
        <f>IFERROR(MATCH($A541,Accounts!$A$2:$A$11,0),"")</f>
        <v/>
      </c>
      <c r="G541" s="14">
        <f>IFERROR(IF(OR($A541="",$F541=""),"",IF(INDEX(Accounts!$P$2:$P$11,$F541)="static",INDEX(Accounts!$Q$2:$Q$11,$F541),IF(INDEX(Accounts!$P$2:$P$11,$F541)="eod_trailing",MAX(INDEX(Accounts!$Q$2:$Q$11,$F541),_xlfn.MAXIFS($C$2:$C$1001,$A$2:$A$1001,$A541,$B$2:$B$1001,"&lt;"&amp;$B541)),MAX(INDEX(Accounts!$Q$2:$Q$11,$F541),_xlfn.MAXIFS($C$2:$C$1001,$A$2:$A$1001,$A541,$B$2:$B$1001,"&lt;"&amp;$B541),_xlfn.MAXIFS($D$2:$D$1001,$A$2:$A$1001,$A541,$B$2:$B$1001,"&lt;="&amp;$B541),$C541)))),"")</f>
        <v/>
      </c>
      <c r="H541" s="15">
        <f>IFERROR(IF(G541="","",IF(INDEX(Accounts!$P$2:$P$11,$F541)="static",INDEX(Accounts!$Q$2:$Q$11,$F541)-INDEX(Accounts!$R$2:$R$11,$F541),IF(INDEX(Accounts!$S$2:$S$11,$F541)="NONE",G541-INDEX(Accounts!$R$2:$R$11,$F541),MIN(G541-INDEX(Accounts!$R$2:$R$11,$F541),INDEX(Accounts!$Q$2:$Q$11,$F541)+INDEX(Accounts!$S$2:$S$11,$F541))))),"")</f>
        <v/>
      </c>
      <c r="I541" s="16">
        <f>IF(AND($A541="",$B541="",$C541="",$D541="",$E541=""),"",IF(OR($A541="",$F541=""),"UNKNOWN_ACCOUNT",IF(OR($B541="",$C541=""),"INCOMPLETE",IFERROR(IF(OR(NOT(ISNUMBER($B541)),NOT(ISNUMBER($C541)),IF(C541="",FALSE,IF(ISNUMBER(C541),OR(C541&lt;=0,C541&gt;100000000,ROUND(C541*100,6)&lt;&gt;INT(ROUND(C541*100,6))),TRUE)),IF(D541="",FALSE,IF(ISNUMBER(D541),OR(D541&lt;=0,D541&gt;100000000,ROUND(D541*100,6)&lt;&gt;INT(ROUND(D541*100,6))),TRUE)),IF(E541="",FALSE,IF(ISNUMBER(E541),OR(E541&lt;=0,E541&gt;100000000,ROUND(E541*100,6)&lt;&gt;INT(ROUND(E541*100,6))),TRUE)),AND($D541&lt;&gt;"",$D541&lt;MAX($C541,$E541)),AND($E541&lt;&gt;"",$E541&gt;MIN($C541,IF($D541="",$C541,$D541))),COUNTIFS($A$2:$A$1001,$A541,$B$2:$B$1001,$B541)&gt;1),"INVALID",IFERROR(IF(IF(INDEX(Accounts!$T$2:$T$11,$F541),ROUND(IF($E541="",$C541,MIN($C541,$E541))-(H541),6)&lt;=0,ROUND(IF($E541="",$C541,MIN($C541,$E541))-(H541),6)&lt;0),"BREACHED","OK"),"INCOMPLETE")),"INVALID"))))</f>
        <v/>
      </c>
      <c r="J541" s="33">
        <f>IF(OR(I541="OK",I541="BREACHED"),-INT(ROUND(-(H541)*100,6))/100,I541)</f>
        <v/>
      </c>
    </row>
    <row r="542" ht="18" customHeight="1">
      <c r="A542" s="9" t="n"/>
      <c r="B542" s="32" t="n"/>
      <c r="C542" s="12" t="n"/>
      <c r="D542" s="12" t="n"/>
      <c r="E542" s="12" t="n"/>
      <c r="F542" s="15">
        <f>IFERROR(MATCH($A542,Accounts!$A$2:$A$11,0),"")</f>
        <v/>
      </c>
      <c r="G542" s="14">
        <f>IFERROR(IF(OR($A542="",$F542=""),"",IF(INDEX(Accounts!$P$2:$P$11,$F542)="static",INDEX(Accounts!$Q$2:$Q$11,$F542),IF(INDEX(Accounts!$P$2:$P$11,$F542)="eod_trailing",MAX(INDEX(Accounts!$Q$2:$Q$11,$F542),_xlfn.MAXIFS($C$2:$C$1001,$A$2:$A$1001,$A542,$B$2:$B$1001,"&lt;"&amp;$B542)),MAX(INDEX(Accounts!$Q$2:$Q$11,$F542),_xlfn.MAXIFS($C$2:$C$1001,$A$2:$A$1001,$A542,$B$2:$B$1001,"&lt;"&amp;$B542),_xlfn.MAXIFS($D$2:$D$1001,$A$2:$A$1001,$A542,$B$2:$B$1001,"&lt;="&amp;$B542),$C542)))),"")</f>
        <v/>
      </c>
      <c r="H542" s="15">
        <f>IFERROR(IF(G542="","",IF(INDEX(Accounts!$P$2:$P$11,$F542)="static",INDEX(Accounts!$Q$2:$Q$11,$F542)-INDEX(Accounts!$R$2:$R$11,$F542),IF(INDEX(Accounts!$S$2:$S$11,$F542)="NONE",G542-INDEX(Accounts!$R$2:$R$11,$F542),MIN(G542-INDEX(Accounts!$R$2:$R$11,$F542),INDEX(Accounts!$Q$2:$Q$11,$F542)+INDEX(Accounts!$S$2:$S$11,$F542))))),"")</f>
        <v/>
      </c>
      <c r="I542" s="16">
        <f>IF(AND($A542="",$B542="",$C542="",$D542="",$E542=""),"",IF(OR($A542="",$F542=""),"UNKNOWN_ACCOUNT",IF(OR($B542="",$C542=""),"INCOMPLETE",IFERROR(IF(OR(NOT(ISNUMBER($B542)),NOT(ISNUMBER($C542)),IF(C542="",FALSE,IF(ISNUMBER(C542),OR(C542&lt;=0,C542&gt;100000000,ROUND(C542*100,6)&lt;&gt;INT(ROUND(C542*100,6))),TRUE)),IF(D542="",FALSE,IF(ISNUMBER(D542),OR(D542&lt;=0,D542&gt;100000000,ROUND(D542*100,6)&lt;&gt;INT(ROUND(D542*100,6))),TRUE)),IF(E542="",FALSE,IF(ISNUMBER(E542),OR(E542&lt;=0,E542&gt;100000000,ROUND(E542*100,6)&lt;&gt;INT(ROUND(E542*100,6))),TRUE)),AND($D542&lt;&gt;"",$D542&lt;MAX($C542,$E542)),AND($E542&lt;&gt;"",$E542&gt;MIN($C542,IF($D542="",$C542,$D542))),COUNTIFS($A$2:$A$1001,$A542,$B$2:$B$1001,$B542)&gt;1),"INVALID",IFERROR(IF(IF(INDEX(Accounts!$T$2:$T$11,$F542),ROUND(IF($E542="",$C542,MIN($C542,$E542))-(H542),6)&lt;=0,ROUND(IF($E542="",$C542,MIN($C542,$E542))-(H542),6)&lt;0),"BREACHED","OK"),"INCOMPLETE")),"INVALID"))))</f>
        <v/>
      </c>
      <c r="J542" s="33">
        <f>IF(OR(I542="OK",I542="BREACHED"),-INT(ROUND(-(H542)*100,6))/100,I542)</f>
        <v/>
      </c>
    </row>
    <row r="543" ht="18" customHeight="1">
      <c r="A543" s="9" t="n"/>
      <c r="B543" s="32" t="n"/>
      <c r="C543" s="12" t="n"/>
      <c r="D543" s="12" t="n"/>
      <c r="E543" s="12" t="n"/>
      <c r="F543" s="15">
        <f>IFERROR(MATCH($A543,Accounts!$A$2:$A$11,0),"")</f>
        <v/>
      </c>
      <c r="G543" s="14">
        <f>IFERROR(IF(OR($A543="",$F543=""),"",IF(INDEX(Accounts!$P$2:$P$11,$F543)="static",INDEX(Accounts!$Q$2:$Q$11,$F543),IF(INDEX(Accounts!$P$2:$P$11,$F543)="eod_trailing",MAX(INDEX(Accounts!$Q$2:$Q$11,$F543),_xlfn.MAXIFS($C$2:$C$1001,$A$2:$A$1001,$A543,$B$2:$B$1001,"&lt;"&amp;$B543)),MAX(INDEX(Accounts!$Q$2:$Q$11,$F543),_xlfn.MAXIFS($C$2:$C$1001,$A$2:$A$1001,$A543,$B$2:$B$1001,"&lt;"&amp;$B543),_xlfn.MAXIFS($D$2:$D$1001,$A$2:$A$1001,$A543,$B$2:$B$1001,"&lt;="&amp;$B543),$C543)))),"")</f>
        <v/>
      </c>
      <c r="H543" s="15">
        <f>IFERROR(IF(G543="","",IF(INDEX(Accounts!$P$2:$P$11,$F543)="static",INDEX(Accounts!$Q$2:$Q$11,$F543)-INDEX(Accounts!$R$2:$R$11,$F543),IF(INDEX(Accounts!$S$2:$S$11,$F543)="NONE",G543-INDEX(Accounts!$R$2:$R$11,$F543),MIN(G543-INDEX(Accounts!$R$2:$R$11,$F543),INDEX(Accounts!$Q$2:$Q$11,$F543)+INDEX(Accounts!$S$2:$S$11,$F543))))),"")</f>
        <v/>
      </c>
      <c r="I543" s="16">
        <f>IF(AND($A543="",$B543="",$C543="",$D543="",$E543=""),"",IF(OR($A543="",$F543=""),"UNKNOWN_ACCOUNT",IF(OR($B543="",$C543=""),"INCOMPLETE",IFERROR(IF(OR(NOT(ISNUMBER($B543)),NOT(ISNUMBER($C543)),IF(C543="",FALSE,IF(ISNUMBER(C543),OR(C543&lt;=0,C543&gt;100000000,ROUND(C543*100,6)&lt;&gt;INT(ROUND(C543*100,6))),TRUE)),IF(D543="",FALSE,IF(ISNUMBER(D543),OR(D543&lt;=0,D543&gt;100000000,ROUND(D543*100,6)&lt;&gt;INT(ROUND(D543*100,6))),TRUE)),IF(E543="",FALSE,IF(ISNUMBER(E543),OR(E543&lt;=0,E543&gt;100000000,ROUND(E543*100,6)&lt;&gt;INT(ROUND(E543*100,6))),TRUE)),AND($D543&lt;&gt;"",$D543&lt;MAX($C543,$E543)),AND($E543&lt;&gt;"",$E543&gt;MIN($C543,IF($D543="",$C543,$D543))),COUNTIFS($A$2:$A$1001,$A543,$B$2:$B$1001,$B543)&gt;1),"INVALID",IFERROR(IF(IF(INDEX(Accounts!$T$2:$T$11,$F543),ROUND(IF($E543="",$C543,MIN($C543,$E543))-(H543),6)&lt;=0,ROUND(IF($E543="",$C543,MIN($C543,$E543))-(H543),6)&lt;0),"BREACHED","OK"),"INCOMPLETE")),"INVALID"))))</f>
        <v/>
      </c>
      <c r="J543" s="33">
        <f>IF(OR(I543="OK",I543="BREACHED"),-INT(ROUND(-(H543)*100,6))/100,I543)</f>
        <v/>
      </c>
    </row>
    <row r="544" ht="18" customHeight="1">
      <c r="A544" s="9" t="n"/>
      <c r="B544" s="32" t="n"/>
      <c r="C544" s="12" t="n"/>
      <c r="D544" s="12" t="n"/>
      <c r="E544" s="12" t="n"/>
      <c r="F544" s="15">
        <f>IFERROR(MATCH($A544,Accounts!$A$2:$A$11,0),"")</f>
        <v/>
      </c>
      <c r="G544" s="14">
        <f>IFERROR(IF(OR($A544="",$F544=""),"",IF(INDEX(Accounts!$P$2:$P$11,$F544)="static",INDEX(Accounts!$Q$2:$Q$11,$F544),IF(INDEX(Accounts!$P$2:$P$11,$F544)="eod_trailing",MAX(INDEX(Accounts!$Q$2:$Q$11,$F544),_xlfn.MAXIFS($C$2:$C$1001,$A$2:$A$1001,$A544,$B$2:$B$1001,"&lt;"&amp;$B544)),MAX(INDEX(Accounts!$Q$2:$Q$11,$F544),_xlfn.MAXIFS($C$2:$C$1001,$A$2:$A$1001,$A544,$B$2:$B$1001,"&lt;"&amp;$B544),_xlfn.MAXIFS($D$2:$D$1001,$A$2:$A$1001,$A544,$B$2:$B$1001,"&lt;="&amp;$B544),$C544)))),"")</f>
        <v/>
      </c>
      <c r="H544" s="15">
        <f>IFERROR(IF(G544="","",IF(INDEX(Accounts!$P$2:$P$11,$F544)="static",INDEX(Accounts!$Q$2:$Q$11,$F544)-INDEX(Accounts!$R$2:$R$11,$F544),IF(INDEX(Accounts!$S$2:$S$11,$F544)="NONE",G544-INDEX(Accounts!$R$2:$R$11,$F544),MIN(G544-INDEX(Accounts!$R$2:$R$11,$F544),INDEX(Accounts!$Q$2:$Q$11,$F544)+INDEX(Accounts!$S$2:$S$11,$F544))))),"")</f>
        <v/>
      </c>
      <c r="I544" s="16">
        <f>IF(AND($A544="",$B544="",$C544="",$D544="",$E544=""),"",IF(OR($A544="",$F544=""),"UNKNOWN_ACCOUNT",IF(OR($B544="",$C544=""),"INCOMPLETE",IFERROR(IF(OR(NOT(ISNUMBER($B544)),NOT(ISNUMBER($C544)),IF(C544="",FALSE,IF(ISNUMBER(C544),OR(C544&lt;=0,C544&gt;100000000,ROUND(C544*100,6)&lt;&gt;INT(ROUND(C544*100,6))),TRUE)),IF(D544="",FALSE,IF(ISNUMBER(D544),OR(D544&lt;=0,D544&gt;100000000,ROUND(D544*100,6)&lt;&gt;INT(ROUND(D544*100,6))),TRUE)),IF(E544="",FALSE,IF(ISNUMBER(E544),OR(E544&lt;=0,E544&gt;100000000,ROUND(E544*100,6)&lt;&gt;INT(ROUND(E544*100,6))),TRUE)),AND($D544&lt;&gt;"",$D544&lt;MAX($C544,$E544)),AND($E544&lt;&gt;"",$E544&gt;MIN($C544,IF($D544="",$C544,$D544))),COUNTIFS($A$2:$A$1001,$A544,$B$2:$B$1001,$B544)&gt;1),"INVALID",IFERROR(IF(IF(INDEX(Accounts!$T$2:$T$11,$F544),ROUND(IF($E544="",$C544,MIN($C544,$E544))-(H544),6)&lt;=0,ROUND(IF($E544="",$C544,MIN($C544,$E544))-(H544),6)&lt;0),"BREACHED","OK"),"INCOMPLETE")),"INVALID"))))</f>
        <v/>
      </c>
      <c r="J544" s="33">
        <f>IF(OR(I544="OK",I544="BREACHED"),-INT(ROUND(-(H544)*100,6))/100,I544)</f>
        <v/>
      </c>
    </row>
    <row r="545" ht="18" customHeight="1">
      <c r="A545" s="9" t="n"/>
      <c r="B545" s="32" t="n"/>
      <c r="C545" s="12" t="n"/>
      <c r="D545" s="12" t="n"/>
      <c r="E545" s="12" t="n"/>
      <c r="F545" s="15">
        <f>IFERROR(MATCH($A545,Accounts!$A$2:$A$11,0),"")</f>
        <v/>
      </c>
      <c r="G545" s="14">
        <f>IFERROR(IF(OR($A545="",$F545=""),"",IF(INDEX(Accounts!$P$2:$P$11,$F545)="static",INDEX(Accounts!$Q$2:$Q$11,$F545),IF(INDEX(Accounts!$P$2:$P$11,$F545)="eod_trailing",MAX(INDEX(Accounts!$Q$2:$Q$11,$F545),_xlfn.MAXIFS($C$2:$C$1001,$A$2:$A$1001,$A545,$B$2:$B$1001,"&lt;"&amp;$B545)),MAX(INDEX(Accounts!$Q$2:$Q$11,$F545),_xlfn.MAXIFS($C$2:$C$1001,$A$2:$A$1001,$A545,$B$2:$B$1001,"&lt;"&amp;$B545),_xlfn.MAXIFS($D$2:$D$1001,$A$2:$A$1001,$A545,$B$2:$B$1001,"&lt;="&amp;$B545),$C545)))),"")</f>
        <v/>
      </c>
      <c r="H545" s="15">
        <f>IFERROR(IF(G545="","",IF(INDEX(Accounts!$P$2:$P$11,$F545)="static",INDEX(Accounts!$Q$2:$Q$11,$F545)-INDEX(Accounts!$R$2:$R$11,$F545),IF(INDEX(Accounts!$S$2:$S$11,$F545)="NONE",G545-INDEX(Accounts!$R$2:$R$11,$F545),MIN(G545-INDEX(Accounts!$R$2:$R$11,$F545),INDEX(Accounts!$Q$2:$Q$11,$F545)+INDEX(Accounts!$S$2:$S$11,$F545))))),"")</f>
        <v/>
      </c>
      <c r="I545" s="16">
        <f>IF(AND($A545="",$B545="",$C545="",$D545="",$E545=""),"",IF(OR($A545="",$F545=""),"UNKNOWN_ACCOUNT",IF(OR($B545="",$C545=""),"INCOMPLETE",IFERROR(IF(OR(NOT(ISNUMBER($B545)),NOT(ISNUMBER($C545)),IF(C545="",FALSE,IF(ISNUMBER(C545),OR(C545&lt;=0,C545&gt;100000000,ROUND(C545*100,6)&lt;&gt;INT(ROUND(C545*100,6))),TRUE)),IF(D545="",FALSE,IF(ISNUMBER(D545),OR(D545&lt;=0,D545&gt;100000000,ROUND(D545*100,6)&lt;&gt;INT(ROUND(D545*100,6))),TRUE)),IF(E545="",FALSE,IF(ISNUMBER(E545),OR(E545&lt;=0,E545&gt;100000000,ROUND(E545*100,6)&lt;&gt;INT(ROUND(E545*100,6))),TRUE)),AND($D545&lt;&gt;"",$D545&lt;MAX($C545,$E545)),AND($E545&lt;&gt;"",$E545&gt;MIN($C545,IF($D545="",$C545,$D545))),COUNTIFS($A$2:$A$1001,$A545,$B$2:$B$1001,$B545)&gt;1),"INVALID",IFERROR(IF(IF(INDEX(Accounts!$T$2:$T$11,$F545),ROUND(IF($E545="",$C545,MIN($C545,$E545))-(H545),6)&lt;=0,ROUND(IF($E545="",$C545,MIN($C545,$E545))-(H545),6)&lt;0),"BREACHED","OK"),"INCOMPLETE")),"INVALID"))))</f>
        <v/>
      </c>
      <c r="J545" s="33">
        <f>IF(OR(I545="OK",I545="BREACHED"),-INT(ROUND(-(H545)*100,6))/100,I545)</f>
        <v/>
      </c>
    </row>
    <row r="546" ht="18" customHeight="1">
      <c r="A546" s="9" t="n"/>
      <c r="B546" s="32" t="n"/>
      <c r="C546" s="12" t="n"/>
      <c r="D546" s="12" t="n"/>
      <c r="E546" s="12" t="n"/>
      <c r="F546" s="15">
        <f>IFERROR(MATCH($A546,Accounts!$A$2:$A$11,0),"")</f>
        <v/>
      </c>
      <c r="G546" s="14">
        <f>IFERROR(IF(OR($A546="",$F546=""),"",IF(INDEX(Accounts!$P$2:$P$11,$F546)="static",INDEX(Accounts!$Q$2:$Q$11,$F546),IF(INDEX(Accounts!$P$2:$P$11,$F546)="eod_trailing",MAX(INDEX(Accounts!$Q$2:$Q$11,$F546),_xlfn.MAXIFS($C$2:$C$1001,$A$2:$A$1001,$A546,$B$2:$B$1001,"&lt;"&amp;$B546)),MAX(INDEX(Accounts!$Q$2:$Q$11,$F546),_xlfn.MAXIFS($C$2:$C$1001,$A$2:$A$1001,$A546,$B$2:$B$1001,"&lt;"&amp;$B546),_xlfn.MAXIFS($D$2:$D$1001,$A$2:$A$1001,$A546,$B$2:$B$1001,"&lt;="&amp;$B546),$C546)))),"")</f>
        <v/>
      </c>
      <c r="H546" s="15">
        <f>IFERROR(IF(G546="","",IF(INDEX(Accounts!$P$2:$P$11,$F546)="static",INDEX(Accounts!$Q$2:$Q$11,$F546)-INDEX(Accounts!$R$2:$R$11,$F546),IF(INDEX(Accounts!$S$2:$S$11,$F546)="NONE",G546-INDEX(Accounts!$R$2:$R$11,$F546),MIN(G546-INDEX(Accounts!$R$2:$R$11,$F546),INDEX(Accounts!$Q$2:$Q$11,$F546)+INDEX(Accounts!$S$2:$S$11,$F546))))),"")</f>
        <v/>
      </c>
      <c r="I546" s="16">
        <f>IF(AND($A546="",$B546="",$C546="",$D546="",$E546=""),"",IF(OR($A546="",$F546=""),"UNKNOWN_ACCOUNT",IF(OR($B546="",$C546=""),"INCOMPLETE",IFERROR(IF(OR(NOT(ISNUMBER($B546)),NOT(ISNUMBER($C546)),IF(C546="",FALSE,IF(ISNUMBER(C546),OR(C546&lt;=0,C546&gt;100000000,ROUND(C546*100,6)&lt;&gt;INT(ROUND(C546*100,6))),TRUE)),IF(D546="",FALSE,IF(ISNUMBER(D546),OR(D546&lt;=0,D546&gt;100000000,ROUND(D546*100,6)&lt;&gt;INT(ROUND(D546*100,6))),TRUE)),IF(E546="",FALSE,IF(ISNUMBER(E546),OR(E546&lt;=0,E546&gt;100000000,ROUND(E546*100,6)&lt;&gt;INT(ROUND(E546*100,6))),TRUE)),AND($D546&lt;&gt;"",$D546&lt;MAX($C546,$E546)),AND($E546&lt;&gt;"",$E546&gt;MIN($C546,IF($D546="",$C546,$D546))),COUNTIFS($A$2:$A$1001,$A546,$B$2:$B$1001,$B546)&gt;1),"INVALID",IFERROR(IF(IF(INDEX(Accounts!$T$2:$T$11,$F546),ROUND(IF($E546="",$C546,MIN($C546,$E546))-(H546),6)&lt;=0,ROUND(IF($E546="",$C546,MIN($C546,$E546))-(H546),6)&lt;0),"BREACHED","OK"),"INCOMPLETE")),"INVALID"))))</f>
        <v/>
      </c>
      <c r="J546" s="33">
        <f>IF(OR(I546="OK",I546="BREACHED"),-INT(ROUND(-(H546)*100,6))/100,I546)</f>
        <v/>
      </c>
    </row>
    <row r="547" ht="18" customHeight="1">
      <c r="A547" s="9" t="n"/>
      <c r="B547" s="32" t="n"/>
      <c r="C547" s="12" t="n"/>
      <c r="D547" s="12" t="n"/>
      <c r="E547" s="12" t="n"/>
      <c r="F547" s="15">
        <f>IFERROR(MATCH($A547,Accounts!$A$2:$A$11,0),"")</f>
        <v/>
      </c>
      <c r="G547" s="14">
        <f>IFERROR(IF(OR($A547="",$F547=""),"",IF(INDEX(Accounts!$P$2:$P$11,$F547)="static",INDEX(Accounts!$Q$2:$Q$11,$F547),IF(INDEX(Accounts!$P$2:$P$11,$F547)="eod_trailing",MAX(INDEX(Accounts!$Q$2:$Q$11,$F547),_xlfn.MAXIFS($C$2:$C$1001,$A$2:$A$1001,$A547,$B$2:$B$1001,"&lt;"&amp;$B547)),MAX(INDEX(Accounts!$Q$2:$Q$11,$F547),_xlfn.MAXIFS($C$2:$C$1001,$A$2:$A$1001,$A547,$B$2:$B$1001,"&lt;"&amp;$B547),_xlfn.MAXIFS($D$2:$D$1001,$A$2:$A$1001,$A547,$B$2:$B$1001,"&lt;="&amp;$B547),$C547)))),"")</f>
        <v/>
      </c>
      <c r="H547" s="15">
        <f>IFERROR(IF(G547="","",IF(INDEX(Accounts!$P$2:$P$11,$F547)="static",INDEX(Accounts!$Q$2:$Q$11,$F547)-INDEX(Accounts!$R$2:$R$11,$F547),IF(INDEX(Accounts!$S$2:$S$11,$F547)="NONE",G547-INDEX(Accounts!$R$2:$R$11,$F547),MIN(G547-INDEX(Accounts!$R$2:$R$11,$F547),INDEX(Accounts!$Q$2:$Q$11,$F547)+INDEX(Accounts!$S$2:$S$11,$F547))))),"")</f>
        <v/>
      </c>
      <c r="I547" s="16">
        <f>IF(AND($A547="",$B547="",$C547="",$D547="",$E547=""),"",IF(OR($A547="",$F547=""),"UNKNOWN_ACCOUNT",IF(OR($B547="",$C547=""),"INCOMPLETE",IFERROR(IF(OR(NOT(ISNUMBER($B547)),NOT(ISNUMBER($C547)),IF(C547="",FALSE,IF(ISNUMBER(C547),OR(C547&lt;=0,C547&gt;100000000,ROUND(C547*100,6)&lt;&gt;INT(ROUND(C547*100,6))),TRUE)),IF(D547="",FALSE,IF(ISNUMBER(D547),OR(D547&lt;=0,D547&gt;100000000,ROUND(D547*100,6)&lt;&gt;INT(ROUND(D547*100,6))),TRUE)),IF(E547="",FALSE,IF(ISNUMBER(E547),OR(E547&lt;=0,E547&gt;100000000,ROUND(E547*100,6)&lt;&gt;INT(ROUND(E547*100,6))),TRUE)),AND($D547&lt;&gt;"",$D547&lt;MAX($C547,$E547)),AND($E547&lt;&gt;"",$E547&gt;MIN($C547,IF($D547="",$C547,$D547))),COUNTIFS($A$2:$A$1001,$A547,$B$2:$B$1001,$B547)&gt;1),"INVALID",IFERROR(IF(IF(INDEX(Accounts!$T$2:$T$11,$F547),ROUND(IF($E547="",$C547,MIN($C547,$E547))-(H547),6)&lt;=0,ROUND(IF($E547="",$C547,MIN($C547,$E547))-(H547),6)&lt;0),"BREACHED","OK"),"INCOMPLETE")),"INVALID"))))</f>
        <v/>
      </c>
      <c r="J547" s="33">
        <f>IF(OR(I547="OK",I547="BREACHED"),-INT(ROUND(-(H547)*100,6))/100,I547)</f>
        <v/>
      </c>
    </row>
    <row r="548" ht="18" customHeight="1">
      <c r="A548" s="9" t="n"/>
      <c r="B548" s="32" t="n"/>
      <c r="C548" s="12" t="n"/>
      <c r="D548" s="12" t="n"/>
      <c r="E548" s="12" t="n"/>
      <c r="F548" s="15">
        <f>IFERROR(MATCH($A548,Accounts!$A$2:$A$11,0),"")</f>
        <v/>
      </c>
      <c r="G548" s="14">
        <f>IFERROR(IF(OR($A548="",$F548=""),"",IF(INDEX(Accounts!$P$2:$P$11,$F548)="static",INDEX(Accounts!$Q$2:$Q$11,$F548),IF(INDEX(Accounts!$P$2:$P$11,$F548)="eod_trailing",MAX(INDEX(Accounts!$Q$2:$Q$11,$F548),_xlfn.MAXIFS($C$2:$C$1001,$A$2:$A$1001,$A548,$B$2:$B$1001,"&lt;"&amp;$B548)),MAX(INDEX(Accounts!$Q$2:$Q$11,$F548),_xlfn.MAXIFS($C$2:$C$1001,$A$2:$A$1001,$A548,$B$2:$B$1001,"&lt;"&amp;$B548),_xlfn.MAXIFS($D$2:$D$1001,$A$2:$A$1001,$A548,$B$2:$B$1001,"&lt;="&amp;$B548),$C548)))),"")</f>
        <v/>
      </c>
      <c r="H548" s="15">
        <f>IFERROR(IF(G548="","",IF(INDEX(Accounts!$P$2:$P$11,$F548)="static",INDEX(Accounts!$Q$2:$Q$11,$F548)-INDEX(Accounts!$R$2:$R$11,$F548),IF(INDEX(Accounts!$S$2:$S$11,$F548)="NONE",G548-INDEX(Accounts!$R$2:$R$11,$F548),MIN(G548-INDEX(Accounts!$R$2:$R$11,$F548),INDEX(Accounts!$Q$2:$Q$11,$F548)+INDEX(Accounts!$S$2:$S$11,$F548))))),"")</f>
        <v/>
      </c>
      <c r="I548" s="16">
        <f>IF(AND($A548="",$B548="",$C548="",$D548="",$E548=""),"",IF(OR($A548="",$F548=""),"UNKNOWN_ACCOUNT",IF(OR($B548="",$C548=""),"INCOMPLETE",IFERROR(IF(OR(NOT(ISNUMBER($B548)),NOT(ISNUMBER($C548)),IF(C548="",FALSE,IF(ISNUMBER(C548),OR(C548&lt;=0,C548&gt;100000000,ROUND(C548*100,6)&lt;&gt;INT(ROUND(C548*100,6))),TRUE)),IF(D548="",FALSE,IF(ISNUMBER(D548),OR(D548&lt;=0,D548&gt;100000000,ROUND(D548*100,6)&lt;&gt;INT(ROUND(D548*100,6))),TRUE)),IF(E548="",FALSE,IF(ISNUMBER(E548),OR(E548&lt;=0,E548&gt;100000000,ROUND(E548*100,6)&lt;&gt;INT(ROUND(E548*100,6))),TRUE)),AND($D548&lt;&gt;"",$D548&lt;MAX($C548,$E548)),AND($E548&lt;&gt;"",$E548&gt;MIN($C548,IF($D548="",$C548,$D548))),COUNTIFS($A$2:$A$1001,$A548,$B$2:$B$1001,$B548)&gt;1),"INVALID",IFERROR(IF(IF(INDEX(Accounts!$T$2:$T$11,$F548),ROUND(IF($E548="",$C548,MIN($C548,$E548))-(H548),6)&lt;=0,ROUND(IF($E548="",$C548,MIN($C548,$E548))-(H548),6)&lt;0),"BREACHED","OK"),"INCOMPLETE")),"INVALID"))))</f>
        <v/>
      </c>
      <c r="J548" s="33">
        <f>IF(OR(I548="OK",I548="BREACHED"),-INT(ROUND(-(H548)*100,6))/100,I548)</f>
        <v/>
      </c>
    </row>
    <row r="549" ht="18" customHeight="1">
      <c r="A549" s="9" t="n"/>
      <c r="B549" s="32" t="n"/>
      <c r="C549" s="12" t="n"/>
      <c r="D549" s="12" t="n"/>
      <c r="E549" s="12" t="n"/>
      <c r="F549" s="15">
        <f>IFERROR(MATCH($A549,Accounts!$A$2:$A$11,0),"")</f>
        <v/>
      </c>
      <c r="G549" s="14">
        <f>IFERROR(IF(OR($A549="",$F549=""),"",IF(INDEX(Accounts!$P$2:$P$11,$F549)="static",INDEX(Accounts!$Q$2:$Q$11,$F549),IF(INDEX(Accounts!$P$2:$P$11,$F549)="eod_trailing",MAX(INDEX(Accounts!$Q$2:$Q$11,$F549),_xlfn.MAXIFS($C$2:$C$1001,$A$2:$A$1001,$A549,$B$2:$B$1001,"&lt;"&amp;$B549)),MAX(INDEX(Accounts!$Q$2:$Q$11,$F549),_xlfn.MAXIFS($C$2:$C$1001,$A$2:$A$1001,$A549,$B$2:$B$1001,"&lt;"&amp;$B549),_xlfn.MAXIFS($D$2:$D$1001,$A$2:$A$1001,$A549,$B$2:$B$1001,"&lt;="&amp;$B549),$C549)))),"")</f>
        <v/>
      </c>
      <c r="H549" s="15">
        <f>IFERROR(IF(G549="","",IF(INDEX(Accounts!$P$2:$P$11,$F549)="static",INDEX(Accounts!$Q$2:$Q$11,$F549)-INDEX(Accounts!$R$2:$R$11,$F549),IF(INDEX(Accounts!$S$2:$S$11,$F549)="NONE",G549-INDEX(Accounts!$R$2:$R$11,$F549),MIN(G549-INDEX(Accounts!$R$2:$R$11,$F549),INDEX(Accounts!$Q$2:$Q$11,$F549)+INDEX(Accounts!$S$2:$S$11,$F549))))),"")</f>
        <v/>
      </c>
      <c r="I549" s="16">
        <f>IF(AND($A549="",$B549="",$C549="",$D549="",$E549=""),"",IF(OR($A549="",$F549=""),"UNKNOWN_ACCOUNT",IF(OR($B549="",$C549=""),"INCOMPLETE",IFERROR(IF(OR(NOT(ISNUMBER($B549)),NOT(ISNUMBER($C549)),IF(C549="",FALSE,IF(ISNUMBER(C549),OR(C549&lt;=0,C549&gt;100000000,ROUND(C549*100,6)&lt;&gt;INT(ROUND(C549*100,6))),TRUE)),IF(D549="",FALSE,IF(ISNUMBER(D549),OR(D549&lt;=0,D549&gt;100000000,ROUND(D549*100,6)&lt;&gt;INT(ROUND(D549*100,6))),TRUE)),IF(E549="",FALSE,IF(ISNUMBER(E549),OR(E549&lt;=0,E549&gt;100000000,ROUND(E549*100,6)&lt;&gt;INT(ROUND(E549*100,6))),TRUE)),AND($D549&lt;&gt;"",$D549&lt;MAX($C549,$E549)),AND($E549&lt;&gt;"",$E549&gt;MIN($C549,IF($D549="",$C549,$D549))),COUNTIFS($A$2:$A$1001,$A549,$B$2:$B$1001,$B549)&gt;1),"INVALID",IFERROR(IF(IF(INDEX(Accounts!$T$2:$T$11,$F549),ROUND(IF($E549="",$C549,MIN($C549,$E549))-(H549),6)&lt;=0,ROUND(IF($E549="",$C549,MIN($C549,$E549))-(H549),6)&lt;0),"BREACHED","OK"),"INCOMPLETE")),"INVALID"))))</f>
        <v/>
      </c>
      <c r="J549" s="33">
        <f>IF(OR(I549="OK",I549="BREACHED"),-INT(ROUND(-(H549)*100,6))/100,I549)</f>
        <v/>
      </c>
    </row>
    <row r="550" ht="18" customHeight="1">
      <c r="A550" s="9" t="n"/>
      <c r="B550" s="32" t="n"/>
      <c r="C550" s="12" t="n"/>
      <c r="D550" s="12" t="n"/>
      <c r="E550" s="12" t="n"/>
      <c r="F550" s="15">
        <f>IFERROR(MATCH($A550,Accounts!$A$2:$A$11,0),"")</f>
        <v/>
      </c>
      <c r="G550" s="14">
        <f>IFERROR(IF(OR($A550="",$F550=""),"",IF(INDEX(Accounts!$P$2:$P$11,$F550)="static",INDEX(Accounts!$Q$2:$Q$11,$F550),IF(INDEX(Accounts!$P$2:$P$11,$F550)="eod_trailing",MAX(INDEX(Accounts!$Q$2:$Q$11,$F550),_xlfn.MAXIFS($C$2:$C$1001,$A$2:$A$1001,$A550,$B$2:$B$1001,"&lt;"&amp;$B550)),MAX(INDEX(Accounts!$Q$2:$Q$11,$F550),_xlfn.MAXIFS($C$2:$C$1001,$A$2:$A$1001,$A550,$B$2:$B$1001,"&lt;"&amp;$B550),_xlfn.MAXIFS($D$2:$D$1001,$A$2:$A$1001,$A550,$B$2:$B$1001,"&lt;="&amp;$B550),$C550)))),"")</f>
        <v/>
      </c>
      <c r="H550" s="15">
        <f>IFERROR(IF(G550="","",IF(INDEX(Accounts!$P$2:$P$11,$F550)="static",INDEX(Accounts!$Q$2:$Q$11,$F550)-INDEX(Accounts!$R$2:$R$11,$F550),IF(INDEX(Accounts!$S$2:$S$11,$F550)="NONE",G550-INDEX(Accounts!$R$2:$R$11,$F550),MIN(G550-INDEX(Accounts!$R$2:$R$11,$F550),INDEX(Accounts!$Q$2:$Q$11,$F550)+INDEX(Accounts!$S$2:$S$11,$F550))))),"")</f>
        <v/>
      </c>
      <c r="I550" s="16">
        <f>IF(AND($A550="",$B550="",$C550="",$D550="",$E550=""),"",IF(OR($A550="",$F550=""),"UNKNOWN_ACCOUNT",IF(OR($B550="",$C550=""),"INCOMPLETE",IFERROR(IF(OR(NOT(ISNUMBER($B550)),NOT(ISNUMBER($C550)),IF(C550="",FALSE,IF(ISNUMBER(C550),OR(C550&lt;=0,C550&gt;100000000,ROUND(C550*100,6)&lt;&gt;INT(ROUND(C550*100,6))),TRUE)),IF(D550="",FALSE,IF(ISNUMBER(D550),OR(D550&lt;=0,D550&gt;100000000,ROUND(D550*100,6)&lt;&gt;INT(ROUND(D550*100,6))),TRUE)),IF(E550="",FALSE,IF(ISNUMBER(E550),OR(E550&lt;=0,E550&gt;100000000,ROUND(E550*100,6)&lt;&gt;INT(ROUND(E550*100,6))),TRUE)),AND($D550&lt;&gt;"",$D550&lt;MAX($C550,$E550)),AND($E550&lt;&gt;"",$E550&gt;MIN($C550,IF($D550="",$C550,$D550))),COUNTIFS($A$2:$A$1001,$A550,$B$2:$B$1001,$B550)&gt;1),"INVALID",IFERROR(IF(IF(INDEX(Accounts!$T$2:$T$11,$F550),ROUND(IF($E550="",$C550,MIN($C550,$E550))-(H550),6)&lt;=0,ROUND(IF($E550="",$C550,MIN($C550,$E550))-(H550),6)&lt;0),"BREACHED","OK"),"INCOMPLETE")),"INVALID"))))</f>
        <v/>
      </c>
      <c r="J550" s="33">
        <f>IF(OR(I550="OK",I550="BREACHED"),-INT(ROUND(-(H550)*100,6))/100,I550)</f>
        <v/>
      </c>
    </row>
    <row r="551" ht="18" customHeight="1">
      <c r="A551" s="9" t="n"/>
      <c r="B551" s="32" t="n"/>
      <c r="C551" s="12" t="n"/>
      <c r="D551" s="12" t="n"/>
      <c r="E551" s="12" t="n"/>
      <c r="F551" s="15">
        <f>IFERROR(MATCH($A551,Accounts!$A$2:$A$11,0),"")</f>
        <v/>
      </c>
      <c r="G551" s="14">
        <f>IFERROR(IF(OR($A551="",$F551=""),"",IF(INDEX(Accounts!$P$2:$P$11,$F551)="static",INDEX(Accounts!$Q$2:$Q$11,$F551),IF(INDEX(Accounts!$P$2:$P$11,$F551)="eod_trailing",MAX(INDEX(Accounts!$Q$2:$Q$11,$F551),_xlfn.MAXIFS($C$2:$C$1001,$A$2:$A$1001,$A551,$B$2:$B$1001,"&lt;"&amp;$B551)),MAX(INDEX(Accounts!$Q$2:$Q$11,$F551),_xlfn.MAXIFS($C$2:$C$1001,$A$2:$A$1001,$A551,$B$2:$B$1001,"&lt;"&amp;$B551),_xlfn.MAXIFS($D$2:$D$1001,$A$2:$A$1001,$A551,$B$2:$B$1001,"&lt;="&amp;$B551),$C551)))),"")</f>
        <v/>
      </c>
      <c r="H551" s="15">
        <f>IFERROR(IF(G551="","",IF(INDEX(Accounts!$P$2:$P$11,$F551)="static",INDEX(Accounts!$Q$2:$Q$11,$F551)-INDEX(Accounts!$R$2:$R$11,$F551),IF(INDEX(Accounts!$S$2:$S$11,$F551)="NONE",G551-INDEX(Accounts!$R$2:$R$11,$F551),MIN(G551-INDEX(Accounts!$R$2:$R$11,$F551),INDEX(Accounts!$Q$2:$Q$11,$F551)+INDEX(Accounts!$S$2:$S$11,$F551))))),"")</f>
        <v/>
      </c>
      <c r="I551" s="16">
        <f>IF(AND($A551="",$B551="",$C551="",$D551="",$E551=""),"",IF(OR($A551="",$F551=""),"UNKNOWN_ACCOUNT",IF(OR($B551="",$C551=""),"INCOMPLETE",IFERROR(IF(OR(NOT(ISNUMBER($B551)),NOT(ISNUMBER($C551)),IF(C551="",FALSE,IF(ISNUMBER(C551),OR(C551&lt;=0,C551&gt;100000000,ROUND(C551*100,6)&lt;&gt;INT(ROUND(C551*100,6))),TRUE)),IF(D551="",FALSE,IF(ISNUMBER(D551),OR(D551&lt;=0,D551&gt;100000000,ROUND(D551*100,6)&lt;&gt;INT(ROUND(D551*100,6))),TRUE)),IF(E551="",FALSE,IF(ISNUMBER(E551),OR(E551&lt;=0,E551&gt;100000000,ROUND(E551*100,6)&lt;&gt;INT(ROUND(E551*100,6))),TRUE)),AND($D551&lt;&gt;"",$D551&lt;MAX($C551,$E551)),AND($E551&lt;&gt;"",$E551&gt;MIN($C551,IF($D551="",$C551,$D551))),COUNTIFS($A$2:$A$1001,$A551,$B$2:$B$1001,$B551)&gt;1),"INVALID",IFERROR(IF(IF(INDEX(Accounts!$T$2:$T$11,$F551),ROUND(IF($E551="",$C551,MIN($C551,$E551))-(H551),6)&lt;=0,ROUND(IF($E551="",$C551,MIN($C551,$E551))-(H551),6)&lt;0),"BREACHED","OK"),"INCOMPLETE")),"INVALID"))))</f>
        <v/>
      </c>
      <c r="J551" s="33">
        <f>IF(OR(I551="OK",I551="BREACHED"),-INT(ROUND(-(H551)*100,6))/100,I551)</f>
        <v/>
      </c>
    </row>
    <row r="552" ht="18" customHeight="1">
      <c r="A552" s="9" t="n"/>
      <c r="B552" s="32" t="n"/>
      <c r="C552" s="12" t="n"/>
      <c r="D552" s="12" t="n"/>
      <c r="E552" s="12" t="n"/>
      <c r="F552" s="15">
        <f>IFERROR(MATCH($A552,Accounts!$A$2:$A$11,0),"")</f>
        <v/>
      </c>
      <c r="G552" s="14">
        <f>IFERROR(IF(OR($A552="",$F552=""),"",IF(INDEX(Accounts!$P$2:$P$11,$F552)="static",INDEX(Accounts!$Q$2:$Q$11,$F552),IF(INDEX(Accounts!$P$2:$P$11,$F552)="eod_trailing",MAX(INDEX(Accounts!$Q$2:$Q$11,$F552),_xlfn.MAXIFS($C$2:$C$1001,$A$2:$A$1001,$A552,$B$2:$B$1001,"&lt;"&amp;$B552)),MAX(INDEX(Accounts!$Q$2:$Q$11,$F552),_xlfn.MAXIFS($C$2:$C$1001,$A$2:$A$1001,$A552,$B$2:$B$1001,"&lt;"&amp;$B552),_xlfn.MAXIFS($D$2:$D$1001,$A$2:$A$1001,$A552,$B$2:$B$1001,"&lt;="&amp;$B552),$C552)))),"")</f>
        <v/>
      </c>
      <c r="H552" s="15">
        <f>IFERROR(IF(G552="","",IF(INDEX(Accounts!$P$2:$P$11,$F552)="static",INDEX(Accounts!$Q$2:$Q$11,$F552)-INDEX(Accounts!$R$2:$R$11,$F552),IF(INDEX(Accounts!$S$2:$S$11,$F552)="NONE",G552-INDEX(Accounts!$R$2:$R$11,$F552),MIN(G552-INDEX(Accounts!$R$2:$R$11,$F552),INDEX(Accounts!$Q$2:$Q$11,$F552)+INDEX(Accounts!$S$2:$S$11,$F552))))),"")</f>
        <v/>
      </c>
      <c r="I552" s="16">
        <f>IF(AND($A552="",$B552="",$C552="",$D552="",$E552=""),"",IF(OR($A552="",$F552=""),"UNKNOWN_ACCOUNT",IF(OR($B552="",$C552=""),"INCOMPLETE",IFERROR(IF(OR(NOT(ISNUMBER($B552)),NOT(ISNUMBER($C552)),IF(C552="",FALSE,IF(ISNUMBER(C552),OR(C552&lt;=0,C552&gt;100000000,ROUND(C552*100,6)&lt;&gt;INT(ROUND(C552*100,6))),TRUE)),IF(D552="",FALSE,IF(ISNUMBER(D552),OR(D552&lt;=0,D552&gt;100000000,ROUND(D552*100,6)&lt;&gt;INT(ROUND(D552*100,6))),TRUE)),IF(E552="",FALSE,IF(ISNUMBER(E552),OR(E552&lt;=0,E552&gt;100000000,ROUND(E552*100,6)&lt;&gt;INT(ROUND(E552*100,6))),TRUE)),AND($D552&lt;&gt;"",$D552&lt;MAX($C552,$E552)),AND($E552&lt;&gt;"",$E552&gt;MIN($C552,IF($D552="",$C552,$D552))),COUNTIFS($A$2:$A$1001,$A552,$B$2:$B$1001,$B552)&gt;1),"INVALID",IFERROR(IF(IF(INDEX(Accounts!$T$2:$T$11,$F552),ROUND(IF($E552="",$C552,MIN($C552,$E552))-(H552),6)&lt;=0,ROUND(IF($E552="",$C552,MIN($C552,$E552))-(H552),6)&lt;0),"BREACHED","OK"),"INCOMPLETE")),"INVALID"))))</f>
        <v/>
      </c>
      <c r="J552" s="33">
        <f>IF(OR(I552="OK",I552="BREACHED"),-INT(ROUND(-(H552)*100,6))/100,I552)</f>
        <v/>
      </c>
    </row>
    <row r="553" ht="18" customHeight="1">
      <c r="A553" s="9" t="n"/>
      <c r="B553" s="32" t="n"/>
      <c r="C553" s="12" t="n"/>
      <c r="D553" s="12" t="n"/>
      <c r="E553" s="12" t="n"/>
      <c r="F553" s="15">
        <f>IFERROR(MATCH($A553,Accounts!$A$2:$A$11,0),"")</f>
        <v/>
      </c>
      <c r="G553" s="14">
        <f>IFERROR(IF(OR($A553="",$F553=""),"",IF(INDEX(Accounts!$P$2:$P$11,$F553)="static",INDEX(Accounts!$Q$2:$Q$11,$F553),IF(INDEX(Accounts!$P$2:$P$11,$F553)="eod_trailing",MAX(INDEX(Accounts!$Q$2:$Q$11,$F553),_xlfn.MAXIFS($C$2:$C$1001,$A$2:$A$1001,$A553,$B$2:$B$1001,"&lt;"&amp;$B553)),MAX(INDEX(Accounts!$Q$2:$Q$11,$F553),_xlfn.MAXIFS($C$2:$C$1001,$A$2:$A$1001,$A553,$B$2:$B$1001,"&lt;"&amp;$B553),_xlfn.MAXIFS($D$2:$D$1001,$A$2:$A$1001,$A553,$B$2:$B$1001,"&lt;="&amp;$B553),$C553)))),"")</f>
        <v/>
      </c>
      <c r="H553" s="15">
        <f>IFERROR(IF(G553="","",IF(INDEX(Accounts!$P$2:$P$11,$F553)="static",INDEX(Accounts!$Q$2:$Q$11,$F553)-INDEX(Accounts!$R$2:$R$11,$F553),IF(INDEX(Accounts!$S$2:$S$11,$F553)="NONE",G553-INDEX(Accounts!$R$2:$R$11,$F553),MIN(G553-INDEX(Accounts!$R$2:$R$11,$F553),INDEX(Accounts!$Q$2:$Q$11,$F553)+INDEX(Accounts!$S$2:$S$11,$F553))))),"")</f>
        <v/>
      </c>
      <c r="I553" s="16">
        <f>IF(AND($A553="",$B553="",$C553="",$D553="",$E553=""),"",IF(OR($A553="",$F553=""),"UNKNOWN_ACCOUNT",IF(OR($B553="",$C553=""),"INCOMPLETE",IFERROR(IF(OR(NOT(ISNUMBER($B553)),NOT(ISNUMBER($C553)),IF(C553="",FALSE,IF(ISNUMBER(C553),OR(C553&lt;=0,C553&gt;100000000,ROUND(C553*100,6)&lt;&gt;INT(ROUND(C553*100,6))),TRUE)),IF(D553="",FALSE,IF(ISNUMBER(D553),OR(D553&lt;=0,D553&gt;100000000,ROUND(D553*100,6)&lt;&gt;INT(ROUND(D553*100,6))),TRUE)),IF(E553="",FALSE,IF(ISNUMBER(E553),OR(E553&lt;=0,E553&gt;100000000,ROUND(E553*100,6)&lt;&gt;INT(ROUND(E553*100,6))),TRUE)),AND($D553&lt;&gt;"",$D553&lt;MAX($C553,$E553)),AND($E553&lt;&gt;"",$E553&gt;MIN($C553,IF($D553="",$C553,$D553))),COUNTIFS($A$2:$A$1001,$A553,$B$2:$B$1001,$B553)&gt;1),"INVALID",IFERROR(IF(IF(INDEX(Accounts!$T$2:$T$11,$F553),ROUND(IF($E553="",$C553,MIN($C553,$E553))-(H553),6)&lt;=0,ROUND(IF($E553="",$C553,MIN($C553,$E553))-(H553),6)&lt;0),"BREACHED","OK"),"INCOMPLETE")),"INVALID"))))</f>
        <v/>
      </c>
      <c r="J553" s="33">
        <f>IF(OR(I553="OK",I553="BREACHED"),-INT(ROUND(-(H553)*100,6))/100,I553)</f>
        <v/>
      </c>
    </row>
    <row r="554" ht="18" customHeight="1">
      <c r="A554" s="9" t="n"/>
      <c r="B554" s="32" t="n"/>
      <c r="C554" s="12" t="n"/>
      <c r="D554" s="12" t="n"/>
      <c r="E554" s="12" t="n"/>
      <c r="F554" s="15">
        <f>IFERROR(MATCH($A554,Accounts!$A$2:$A$11,0),"")</f>
        <v/>
      </c>
      <c r="G554" s="14">
        <f>IFERROR(IF(OR($A554="",$F554=""),"",IF(INDEX(Accounts!$P$2:$P$11,$F554)="static",INDEX(Accounts!$Q$2:$Q$11,$F554),IF(INDEX(Accounts!$P$2:$P$11,$F554)="eod_trailing",MAX(INDEX(Accounts!$Q$2:$Q$11,$F554),_xlfn.MAXIFS($C$2:$C$1001,$A$2:$A$1001,$A554,$B$2:$B$1001,"&lt;"&amp;$B554)),MAX(INDEX(Accounts!$Q$2:$Q$11,$F554),_xlfn.MAXIFS($C$2:$C$1001,$A$2:$A$1001,$A554,$B$2:$B$1001,"&lt;"&amp;$B554),_xlfn.MAXIFS($D$2:$D$1001,$A$2:$A$1001,$A554,$B$2:$B$1001,"&lt;="&amp;$B554),$C554)))),"")</f>
        <v/>
      </c>
      <c r="H554" s="15">
        <f>IFERROR(IF(G554="","",IF(INDEX(Accounts!$P$2:$P$11,$F554)="static",INDEX(Accounts!$Q$2:$Q$11,$F554)-INDEX(Accounts!$R$2:$R$11,$F554),IF(INDEX(Accounts!$S$2:$S$11,$F554)="NONE",G554-INDEX(Accounts!$R$2:$R$11,$F554),MIN(G554-INDEX(Accounts!$R$2:$R$11,$F554),INDEX(Accounts!$Q$2:$Q$11,$F554)+INDEX(Accounts!$S$2:$S$11,$F554))))),"")</f>
        <v/>
      </c>
      <c r="I554" s="16">
        <f>IF(AND($A554="",$B554="",$C554="",$D554="",$E554=""),"",IF(OR($A554="",$F554=""),"UNKNOWN_ACCOUNT",IF(OR($B554="",$C554=""),"INCOMPLETE",IFERROR(IF(OR(NOT(ISNUMBER($B554)),NOT(ISNUMBER($C554)),IF(C554="",FALSE,IF(ISNUMBER(C554),OR(C554&lt;=0,C554&gt;100000000,ROUND(C554*100,6)&lt;&gt;INT(ROUND(C554*100,6))),TRUE)),IF(D554="",FALSE,IF(ISNUMBER(D554),OR(D554&lt;=0,D554&gt;100000000,ROUND(D554*100,6)&lt;&gt;INT(ROUND(D554*100,6))),TRUE)),IF(E554="",FALSE,IF(ISNUMBER(E554),OR(E554&lt;=0,E554&gt;100000000,ROUND(E554*100,6)&lt;&gt;INT(ROUND(E554*100,6))),TRUE)),AND($D554&lt;&gt;"",$D554&lt;MAX($C554,$E554)),AND($E554&lt;&gt;"",$E554&gt;MIN($C554,IF($D554="",$C554,$D554))),COUNTIFS($A$2:$A$1001,$A554,$B$2:$B$1001,$B554)&gt;1),"INVALID",IFERROR(IF(IF(INDEX(Accounts!$T$2:$T$11,$F554),ROUND(IF($E554="",$C554,MIN($C554,$E554))-(H554),6)&lt;=0,ROUND(IF($E554="",$C554,MIN($C554,$E554))-(H554),6)&lt;0),"BREACHED","OK"),"INCOMPLETE")),"INVALID"))))</f>
        <v/>
      </c>
      <c r="J554" s="33">
        <f>IF(OR(I554="OK",I554="BREACHED"),-INT(ROUND(-(H554)*100,6))/100,I554)</f>
        <v/>
      </c>
    </row>
    <row r="555" ht="18" customHeight="1">
      <c r="A555" s="9" t="n"/>
      <c r="B555" s="32" t="n"/>
      <c r="C555" s="12" t="n"/>
      <c r="D555" s="12" t="n"/>
      <c r="E555" s="12" t="n"/>
      <c r="F555" s="15">
        <f>IFERROR(MATCH($A555,Accounts!$A$2:$A$11,0),"")</f>
        <v/>
      </c>
      <c r="G555" s="14">
        <f>IFERROR(IF(OR($A555="",$F555=""),"",IF(INDEX(Accounts!$P$2:$P$11,$F555)="static",INDEX(Accounts!$Q$2:$Q$11,$F555),IF(INDEX(Accounts!$P$2:$P$11,$F555)="eod_trailing",MAX(INDEX(Accounts!$Q$2:$Q$11,$F555),_xlfn.MAXIFS($C$2:$C$1001,$A$2:$A$1001,$A555,$B$2:$B$1001,"&lt;"&amp;$B555)),MAX(INDEX(Accounts!$Q$2:$Q$11,$F555),_xlfn.MAXIFS($C$2:$C$1001,$A$2:$A$1001,$A555,$B$2:$B$1001,"&lt;"&amp;$B555),_xlfn.MAXIFS($D$2:$D$1001,$A$2:$A$1001,$A555,$B$2:$B$1001,"&lt;="&amp;$B555),$C555)))),"")</f>
        <v/>
      </c>
      <c r="H555" s="15">
        <f>IFERROR(IF(G555="","",IF(INDEX(Accounts!$P$2:$P$11,$F555)="static",INDEX(Accounts!$Q$2:$Q$11,$F555)-INDEX(Accounts!$R$2:$R$11,$F555),IF(INDEX(Accounts!$S$2:$S$11,$F555)="NONE",G555-INDEX(Accounts!$R$2:$R$11,$F555),MIN(G555-INDEX(Accounts!$R$2:$R$11,$F555),INDEX(Accounts!$Q$2:$Q$11,$F555)+INDEX(Accounts!$S$2:$S$11,$F555))))),"")</f>
        <v/>
      </c>
      <c r="I555" s="16">
        <f>IF(AND($A555="",$B555="",$C555="",$D555="",$E555=""),"",IF(OR($A555="",$F555=""),"UNKNOWN_ACCOUNT",IF(OR($B555="",$C555=""),"INCOMPLETE",IFERROR(IF(OR(NOT(ISNUMBER($B555)),NOT(ISNUMBER($C555)),IF(C555="",FALSE,IF(ISNUMBER(C555),OR(C555&lt;=0,C555&gt;100000000,ROUND(C555*100,6)&lt;&gt;INT(ROUND(C555*100,6))),TRUE)),IF(D555="",FALSE,IF(ISNUMBER(D555),OR(D555&lt;=0,D555&gt;100000000,ROUND(D555*100,6)&lt;&gt;INT(ROUND(D555*100,6))),TRUE)),IF(E555="",FALSE,IF(ISNUMBER(E555),OR(E555&lt;=0,E555&gt;100000000,ROUND(E555*100,6)&lt;&gt;INT(ROUND(E555*100,6))),TRUE)),AND($D555&lt;&gt;"",$D555&lt;MAX($C555,$E555)),AND($E555&lt;&gt;"",$E555&gt;MIN($C555,IF($D555="",$C555,$D555))),COUNTIFS($A$2:$A$1001,$A555,$B$2:$B$1001,$B555)&gt;1),"INVALID",IFERROR(IF(IF(INDEX(Accounts!$T$2:$T$11,$F555),ROUND(IF($E555="",$C555,MIN($C555,$E555))-(H555),6)&lt;=0,ROUND(IF($E555="",$C555,MIN($C555,$E555))-(H555),6)&lt;0),"BREACHED","OK"),"INCOMPLETE")),"INVALID"))))</f>
        <v/>
      </c>
      <c r="J555" s="33">
        <f>IF(OR(I555="OK",I555="BREACHED"),-INT(ROUND(-(H555)*100,6))/100,I555)</f>
        <v/>
      </c>
    </row>
    <row r="556" ht="18" customHeight="1">
      <c r="A556" s="9" t="n"/>
      <c r="B556" s="32" t="n"/>
      <c r="C556" s="12" t="n"/>
      <c r="D556" s="12" t="n"/>
      <c r="E556" s="12" t="n"/>
      <c r="F556" s="15">
        <f>IFERROR(MATCH($A556,Accounts!$A$2:$A$11,0),"")</f>
        <v/>
      </c>
      <c r="G556" s="14">
        <f>IFERROR(IF(OR($A556="",$F556=""),"",IF(INDEX(Accounts!$P$2:$P$11,$F556)="static",INDEX(Accounts!$Q$2:$Q$11,$F556),IF(INDEX(Accounts!$P$2:$P$11,$F556)="eod_trailing",MAX(INDEX(Accounts!$Q$2:$Q$11,$F556),_xlfn.MAXIFS($C$2:$C$1001,$A$2:$A$1001,$A556,$B$2:$B$1001,"&lt;"&amp;$B556)),MAX(INDEX(Accounts!$Q$2:$Q$11,$F556),_xlfn.MAXIFS($C$2:$C$1001,$A$2:$A$1001,$A556,$B$2:$B$1001,"&lt;"&amp;$B556),_xlfn.MAXIFS($D$2:$D$1001,$A$2:$A$1001,$A556,$B$2:$B$1001,"&lt;="&amp;$B556),$C556)))),"")</f>
        <v/>
      </c>
      <c r="H556" s="15">
        <f>IFERROR(IF(G556="","",IF(INDEX(Accounts!$P$2:$P$11,$F556)="static",INDEX(Accounts!$Q$2:$Q$11,$F556)-INDEX(Accounts!$R$2:$R$11,$F556),IF(INDEX(Accounts!$S$2:$S$11,$F556)="NONE",G556-INDEX(Accounts!$R$2:$R$11,$F556),MIN(G556-INDEX(Accounts!$R$2:$R$11,$F556),INDEX(Accounts!$Q$2:$Q$11,$F556)+INDEX(Accounts!$S$2:$S$11,$F556))))),"")</f>
        <v/>
      </c>
      <c r="I556" s="16">
        <f>IF(AND($A556="",$B556="",$C556="",$D556="",$E556=""),"",IF(OR($A556="",$F556=""),"UNKNOWN_ACCOUNT",IF(OR($B556="",$C556=""),"INCOMPLETE",IFERROR(IF(OR(NOT(ISNUMBER($B556)),NOT(ISNUMBER($C556)),IF(C556="",FALSE,IF(ISNUMBER(C556),OR(C556&lt;=0,C556&gt;100000000,ROUND(C556*100,6)&lt;&gt;INT(ROUND(C556*100,6))),TRUE)),IF(D556="",FALSE,IF(ISNUMBER(D556),OR(D556&lt;=0,D556&gt;100000000,ROUND(D556*100,6)&lt;&gt;INT(ROUND(D556*100,6))),TRUE)),IF(E556="",FALSE,IF(ISNUMBER(E556),OR(E556&lt;=0,E556&gt;100000000,ROUND(E556*100,6)&lt;&gt;INT(ROUND(E556*100,6))),TRUE)),AND($D556&lt;&gt;"",$D556&lt;MAX($C556,$E556)),AND($E556&lt;&gt;"",$E556&gt;MIN($C556,IF($D556="",$C556,$D556))),COUNTIFS($A$2:$A$1001,$A556,$B$2:$B$1001,$B556)&gt;1),"INVALID",IFERROR(IF(IF(INDEX(Accounts!$T$2:$T$11,$F556),ROUND(IF($E556="",$C556,MIN($C556,$E556))-(H556),6)&lt;=0,ROUND(IF($E556="",$C556,MIN($C556,$E556))-(H556),6)&lt;0),"BREACHED","OK"),"INCOMPLETE")),"INVALID"))))</f>
        <v/>
      </c>
      <c r="J556" s="33">
        <f>IF(OR(I556="OK",I556="BREACHED"),-INT(ROUND(-(H556)*100,6))/100,I556)</f>
        <v/>
      </c>
    </row>
    <row r="557" ht="18" customHeight="1">
      <c r="A557" s="9" t="n"/>
      <c r="B557" s="32" t="n"/>
      <c r="C557" s="12" t="n"/>
      <c r="D557" s="12" t="n"/>
      <c r="E557" s="12" t="n"/>
      <c r="F557" s="15">
        <f>IFERROR(MATCH($A557,Accounts!$A$2:$A$11,0),"")</f>
        <v/>
      </c>
      <c r="G557" s="14">
        <f>IFERROR(IF(OR($A557="",$F557=""),"",IF(INDEX(Accounts!$P$2:$P$11,$F557)="static",INDEX(Accounts!$Q$2:$Q$11,$F557),IF(INDEX(Accounts!$P$2:$P$11,$F557)="eod_trailing",MAX(INDEX(Accounts!$Q$2:$Q$11,$F557),_xlfn.MAXIFS($C$2:$C$1001,$A$2:$A$1001,$A557,$B$2:$B$1001,"&lt;"&amp;$B557)),MAX(INDEX(Accounts!$Q$2:$Q$11,$F557),_xlfn.MAXIFS($C$2:$C$1001,$A$2:$A$1001,$A557,$B$2:$B$1001,"&lt;"&amp;$B557),_xlfn.MAXIFS($D$2:$D$1001,$A$2:$A$1001,$A557,$B$2:$B$1001,"&lt;="&amp;$B557),$C557)))),"")</f>
        <v/>
      </c>
      <c r="H557" s="15">
        <f>IFERROR(IF(G557="","",IF(INDEX(Accounts!$P$2:$P$11,$F557)="static",INDEX(Accounts!$Q$2:$Q$11,$F557)-INDEX(Accounts!$R$2:$R$11,$F557),IF(INDEX(Accounts!$S$2:$S$11,$F557)="NONE",G557-INDEX(Accounts!$R$2:$R$11,$F557),MIN(G557-INDEX(Accounts!$R$2:$R$11,$F557),INDEX(Accounts!$Q$2:$Q$11,$F557)+INDEX(Accounts!$S$2:$S$11,$F557))))),"")</f>
        <v/>
      </c>
      <c r="I557" s="16">
        <f>IF(AND($A557="",$B557="",$C557="",$D557="",$E557=""),"",IF(OR($A557="",$F557=""),"UNKNOWN_ACCOUNT",IF(OR($B557="",$C557=""),"INCOMPLETE",IFERROR(IF(OR(NOT(ISNUMBER($B557)),NOT(ISNUMBER($C557)),IF(C557="",FALSE,IF(ISNUMBER(C557),OR(C557&lt;=0,C557&gt;100000000,ROUND(C557*100,6)&lt;&gt;INT(ROUND(C557*100,6))),TRUE)),IF(D557="",FALSE,IF(ISNUMBER(D557),OR(D557&lt;=0,D557&gt;100000000,ROUND(D557*100,6)&lt;&gt;INT(ROUND(D557*100,6))),TRUE)),IF(E557="",FALSE,IF(ISNUMBER(E557),OR(E557&lt;=0,E557&gt;100000000,ROUND(E557*100,6)&lt;&gt;INT(ROUND(E557*100,6))),TRUE)),AND($D557&lt;&gt;"",$D557&lt;MAX($C557,$E557)),AND($E557&lt;&gt;"",$E557&gt;MIN($C557,IF($D557="",$C557,$D557))),COUNTIFS($A$2:$A$1001,$A557,$B$2:$B$1001,$B557)&gt;1),"INVALID",IFERROR(IF(IF(INDEX(Accounts!$T$2:$T$11,$F557),ROUND(IF($E557="",$C557,MIN($C557,$E557))-(H557),6)&lt;=0,ROUND(IF($E557="",$C557,MIN($C557,$E557))-(H557),6)&lt;0),"BREACHED","OK"),"INCOMPLETE")),"INVALID"))))</f>
        <v/>
      </c>
      <c r="J557" s="33">
        <f>IF(OR(I557="OK",I557="BREACHED"),-INT(ROUND(-(H557)*100,6))/100,I557)</f>
        <v/>
      </c>
    </row>
    <row r="558" ht="18" customHeight="1">
      <c r="A558" s="9" t="n"/>
      <c r="B558" s="32" t="n"/>
      <c r="C558" s="12" t="n"/>
      <c r="D558" s="12" t="n"/>
      <c r="E558" s="12" t="n"/>
      <c r="F558" s="15">
        <f>IFERROR(MATCH($A558,Accounts!$A$2:$A$11,0),"")</f>
        <v/>
      </c>
      <c r="G558" s="14">
        <f>IFERROR(IF(OR($A558="",$F558=""),"",IF(INDEX(Accounts!$P$2:$P$11,$F558)="static",INDEX(Accounts!$Q$2:$Q$11,$F558),IF(INDEX(Accounts!$P$2:$P$11,$F558)="eod_trailing",MAX(INDEX(Accounts!$Q$2:$Q$11,$F558),_xlfn.MAXIFS($C$2:$C$1001,$A$2:$A$1001,$A558,$B$2:$B$1001,"&lt;"&amp;$B558)),MAX(INDEX(Accounts!$Q$2:$Q$11,$F558),_xlfn.MAXIFS($C$2:$C$1001,$A$2:$A$1001,$A558,$B$2:$B$1001,"&lt;"&amp;$B558),_xlfn.MAXIFS($D$2:$D$1001,$A$2:$A$1001,$A558,$B$2:$B$1001,"&lt;="&amp;$B558),$C558)))),"")</f>
        <v/>
      </c>
      <c r="H558" s="15">
        <f>IFERROR(IF(G558="","",IF(INDEX(Accounts!$P$2:$P$11,$F558)="static",INDEX(Accounts!$Q$2:$Q$11,$F558)-INDEX(Accounts!$R$2:$R$11,$F558),IF(INDEX(Accounts!$S$2:$S$11,$F558)="NONE",G558-INDEX(Accounts!$R$2:$R$11,$F558),MIN(G558-INDEX(Accounts!$R$2:$R$11,$F558),INDEX(Accounts!$Q$2:$Q$11,$F558)+INDEX(Accounts!$S$2:$S$11,$F558))))),"")</f>
        <v/>
      </c>
      <c r="I558" s="16">
        <f>IF(AND($A558="",$B558="",$C558="",$D558="",$E558=""),"",IF(OR($A558="",$F558=""),"UNKNOWN_ACCOUNT",IF(OR($B558="",$C558=""),"INCOMPLETE",IFERROR(IF(OR(NOT(ISNUMBER($B558)),NOT(ISNUMBER($C558)),IF(C558="",FALSE,IF(ISNUMBER(C558),OR(C558&lt;=0,C558&gt;100000000,ROUND(C558*100,6)&lt;&gt;INT(ROUND(C558*100,6))),TRUE)),IF(D558="",FALSE,IF(ISNUMBER(D558),OR(D558&lt;=0,D558&gt;100000000,ROUND(D558*100,6)&lt;&gt;INT(ROUND(D558*100,6))),TRUE)),IF(E558="",FALSE,IF(ISNUMBER(E558),OR(E558&lt;=0,E558&gt;100000000,ROUND(E558*100,6)&lt;&gt;INT(ROUND(E558*100,6))),TRUE)),AND($D558&lt;&gt;"",$D558&lt;MAX($C558,$E558)),AND($E558&lt;&gt;"",$E558&gt;MIN($C558,IF($D558="",$C558,$D558))),COUNTIFS($A$2:$A$1001,$A558,$B$2:$B$1001,$B558)&gt;1),"INVALID",IFERROR(IF(IF(INDEX(Accounts!$T$2:$T$11,$F558),ROUND(IF($E558="",$C558,MIN($C558,$E558))-(H558),6)&lt;=0,ROUND(IF($E558="",$C558,MIN($C558,$E558))-(H558),6)&lt;0),"BREACHED","OK"),"INCOMPLETE")),"INVALID"))))</f>
        <v/>
      </c>
      <c r="J558" s="33">
        <f>IF(OR(I558="OK",I558="BREACHED"),-INT(ROUND(-(H558)*100,6))/100,I558)</f>
        <v/>
      </c>
    </row>
    <row r="559" ht="18" customHeight="1">
      <c r="A559" s="9" t="n"/>
      <c r="B559" s="32" t="n"/>
      <c r="C559" s="12" t="n"/>
      <c r="D559" s="12" t="n"/>
      <c r="E559" s="12" t="n"/>
      <c r="F559" s="15">
        <f>IFERROR(MATCH($A559,Accounts!$A$2:$A$11,0),"")</f>
        <v/>
      </c>
      <c r="G559" s="14">
        <f>IFERROR(IF(OR($A559="",$F559=""),"",IF(INDEX(Accounts!$P$2:$P$11,$F559)="static",INDEX(Accounts!$Q$2:$Q$11,$F559),IF(INDEX(Accounts!$P$2:$P$11,$F559)="eod_trailing",MAX(INDEX(Accounts!$Q$2:$Q$11,$F559),_xlfn.MAXIFS($C$2:$C$1001,$A$2:$A$1001,$A559,$B$2:$B$1001,"&lt;"&amp;$B559)),MAX(INDEX(Accounts!$Q$2:$Q$11,$F559),_xlfn.MAXIFS($C$2:$C$1001,$A$2:$A$1001,$A559,$B$2:$B$1001,"&lt;"&amp;$B559),_xlfn.MAXIFS($D$2:$D$1001,$A$2:$A$1001,$A559,$B$2:$B$1001,"&lt;="&amp;$B559),$C559)))),"")</f>
        <v/>
      </c>
      <c r="H559" s="15">
        <f>IFERROR(IF(G559="","",IF(INDEX(Accounts!$P$2:$P$11,$F559)="static",INDEX(Accounts!$Q$2:$Q$11,$F559)-INDEX(Accounts!$R$2:$R$11,$F559),IF(INDEX(Accounts!$S$2:$S$11,$F559)="NONE",G559-INDEX(Accounts!$R$2:$R$11,$F559),MIN(G559-INDEX(Accounts!$R$2:$R$11,$F559),INDEX(Accounts!$Q$2:$Q$11,$F559)+INDEX(Accounts!$S$2:$S$11,$F559))))),"")</f>
        <v/>
      </c>
      <c r="I559" s="16">
        <f>IF(AND($A559="",$B559="",$C559="",$D559="",$E559=""),"",IF(OR($A559="",$F559=""),"UNKNOWN_ACCOUNT",IF(OR($B559="",$C559=""),"INCOMPLETE",IFERROR(IF(OR(NOT(ISNUMBER($B559)),NOT(ISNUMBER($C559)),IF(C559="",FALSE,IF(ISNUMBER(C559),OR(C559&lt;=0,C559&gt;100000000,ROUND(C559*100,6)&lt;&gt;INT(ROUND(C559*100,6))),TRUE)),IF(D559="",FALSE,IF(ISNUMBER(D559),OR(D559&lt;=0,D559&gt;100000000,ROUND(D559*100,6)&lt;&gt;INT(ROUND(D559*100,6))),TRUE)),IF(E559="",FALSE,IF(ISNUMBER(E559),OR(E559&lt;=0,E559&gt;100000000,ROUND(E559*100,6)&lt;&gt;INT(ROUND(E559*100,6))),TRUE)),AND($D559&lt;&gt;"",$D559&lt;MAX($C559,$E559)),AND($E559&lt;&gt;"",$E559&gt;MIN($C559,IF($D559="",$C559,$D559))),COUNTIFS($A$2:$A$1001,$A559,$B$2:$B$1001,$B559)&gt;1),"INVALID",IFERROR(IF(IF(INDEX(Accounts!$T$2:$T$11,$F559),ROUND(IF($E559="",$C559,MIN($C559,$E559))-(H559),6)&lt;=0,ROUND(IF($E559="",$C559,MIN($C559,$E559))-(H559),6)&lt;0),"BREACHED","OK"),"INCOMPLETE")),"INVALID"))))</f>
        <v/>
      </c>
      <c r="J559" s="33">
        <f>IF(OR(I559="OK",I559="BREACHED"),-INT(ROUND(-(H559)*100,6))/100,I559)</f>
        <v/>
      </c>
    </row>
    <row r="560" ht="18" customHeight="1">
      <c r="A560" s="9" t="n"/>
      <c r="B560" s="32" t="n"/>
      <c r="C560" s="12" t="n"/>
      <c r="D560" s="12" t="n"/>
      <c r="E560" s="12" t="n"/>
      <c r="F560" s="15">
        <f>IFERROR(MATCH($A560,Accounts!$A$2:$A$11,0),"")</f>
        <v/>
      </c>
      <c r="G560" s="14">
        <f>IFERROR(IF(OR($A560="",$F560=""),"",IF(INDEX(Accounts!$P$2:$P$11,$F560)="static",INDEX(Accounts!$Q$2:$Q$11,$F560),IF(INDEX(Accounts!$P$2:$P$11,$F560)="eod_trailing",MAX(INDEX(Accounts!$Q$2:$Q$11,$F560),_xlfn.MAXIFS($C$2:$C$1001,$A$2:$A$1001,$A560,$B$2:$B$1001,"&lt;"&amp;$B560)),MAX(INDEX(Accounts!$Q$2:$Q$11,$F560),_xlfn.MAXIFS($C$2:$C$1001,$A$2:$A$1001,$A560,$B$2:$B$1001,"&lt;"&amp;$B560),_xlfn.MAXIFS($D$2:$D$1001,$A$2:$A$1001,$A560,$B$2:$B$1001,"&lt;="&amp;$B560),$C560)))),"")</f>
        <v/>
      </c>
      <c r="H560" s="15">
        <f>IFERROR(IF(G560="","",IF(INDEX(Accounts!$P$2:$P$11,$F560)="static",INDEX(Accounts!$Q$2:$Q$11,$F560)-INDEX(Accounts!$R$2:$R$11,$F560),IF(INDEX(Accounts!$S$2:$S$11,$F560)="NONE",G560-INDEX(Accounts!$R$2:$R$11,$F560),MIN(G560-INDEX(Accounts!$R$2:$R$11,$F560),INDEX(Accounts!$Q$2:$Q$11,$F560)+INDEX(Accounts!$S$2:$S$11,$F560))))),"")</f>
        <v/>
      </c>
      <c r="I560" s="16">
        <f>IF(AND($A560="",$B560="",$C560="",$D560="",$E560=""),"",IF(OR($A560="",$F560=""),"UNKNOWN_ACCOUNT",IF(OR($B560="",$C560=""),"INCOMPLETE",IFERROR(IF(OR(NOT(ISNUMBER($B560)),NOT(ISNUMBER($C560)),IF(C560="",FALSE,IF(ISNUMBER(C560),OR(C560&lt;=0,C560&gt;100000000,ROUND(C560*100,6)&lt;&gt;INT(ROUND(C560*100,6))),TRUE)),IF(D560="",FALSE,IF(ISNUMBER(D560),OR(D560&lt;=0,D560&gt;100000000,ROUND(D560*100,6)&lt;&gt;INT(ROUND(D560*100,6))),TRUE)),IF(E560="",FALSE,IF(ISNUMBER(E560),OR(E560&lt;=0,E560&gt;100000000,ROUND(E560*100,6)&lt;&gt;INT(ROUND(E560*100,6))),TRUE)),AND($D560&lt;&gt;"",$D560&lt;MAX($C560,$E560)),AND($E560&lt;&gt;"",$E560&gt;MIN($C560,IF($D560="",$C560,$D560))),COUNTIFS($A$2:$A$1001,$A560,$B$2:$B$1001,$B560)&gt;1),"INVALID",IFERROR(IF(IF(INDEX(Accounts!$T$2:$T$11,$F560),ROUND(IF($E560="",$C560,MIN($C560,$E560))-(H560),6)&lt;=0,ROUND(IF($E560="",$C560,MIN($C560,$E560))-(H560),6)&lt;0),"BREACHED","OK"),"INCOMPLETE")),"INVALID"))))</f>
        <v/>
      </c>
      <c r="J560" s="33">
        <f>IF(OR(I560="OK",I560="BREACHED"),-INT(ROUND(-(H560)*100,6))/100,I560)</f>
        <v/>
      </c>
    </row>
    <row r="561" ht="18" customHeight="1">
      <c r="A561" s="9" t="n"/>
      <c r="B561" s="32" t="n"/>
      <c r="C561" s="12" t="n"/>
      <c r="D561" s="12" t="n"/>
      <c r="E561" s="12" t="n"/>
      <c r="F561" s="15">
        <f>IFERROR(MATCH($A561,Accounts!$A$2:$A$11,0),"")</f>
        <v/>
      </c>
      <c r="G561" s="14">
        <f>IFERROR(IF(OR($A561="",$F561=""),"",IF(INDEX(Accounts!$P$2:$P$11,$F561)="static",INDEX(Accounts!$Q$2:$Q$11,$F561),IF(INDEX(Accounts!$P$2:$P$11,$F561)="eod_trailing",MAX(INDEX(Accounts!$Q$2:$Q$11,$F561),_xlfn.MAXIFS($C$2:$C$1001,$A$2:$A$1001,$A561,$B$2:$B$1001,"&lt;"&amp;$B561)),MAX(INDEX(Accounts!$Q$2:$Q$11,$F561),_xlfn.MAXIFS($C$2:$C$1001,$A$2:$A$1001,$A561,$B$2:$B$1001,"&lt;"&amp;$B561),_xlfn.MAXIFS($D$2:$D$1001,$A$2:$A$1001,$A561,$B$2:$B$1001,"&lt;="&amp;$B561),$C561)))),"")</f>
        <v/>
      </c>
      <c r="H561" s="15">
        <f>IFERROR(IF(G561="","",IF(INDEX(Accounts!$P$2:$P$11,$F561)="static",INDEX(Accounts!$Q$2:$Q$11,$F561)-INDEX(Accounts!$R$2:$R$11,$F561),IF(INDEX(Accounts!$S$2:$S$11,$F561)="NONE",G561-INDEX(Accounts!$R$2:$R$11,$F561),MIN(G561-INDEX(Accounts!$R$2:$R$11,$F561),INDEX(Accounts!$Q$2:$Q$11,$F561)+INDEX(Accounts!$S$2:$S$11,$F561))))),"")</f>
        <v/>
      </c>
      <c r="I561" s="16">
        <f>IF(AND($A561="",$B561="",$C561="",$D561="",$E561=""),"",IF(OR($A561="",$F561=""),"UNKNOWN_ACCOUNT",IF(OR($B561="",$C561=""),"INCOMPLETE",IFERROR(IF(OR(NOT(ISNUMBER($B561)),NOT(ISNUMBER($C561)),IF(C561="",FALSE,IF(ISNUMBER(C561),OR(C561&lt;=0,C561&gt;100000000,ROUND(C561*100,6)&lt;&gt;INT(ROUND(C561*100,6))),TRUE)),IF(D561="",FALSE,IF(ISNUMBER(D561),OR(D561&lt;=0,D561&gt;100000000,ROUND(D561*100,6)&lt;&gt;INT(ROUND(D561*100,6))),TRUE)),IF(E561="",FALSE,IF(ISNUMBER(E561),OR(E561&lt;=0,E561&gt;100000000,ROUND(E561*100,6)&lt;&gt;INT(ROUND(E561*100,6))),TRUE)),AND($D561&lt;&gt;"",$D561&lt;MAX($C561,$E561)),AND($E561&lt;&gt;"",$E561&gt;MIN($C561,IF($D561="",$C561,$D561))),COUNTIFS($A$2:$A$1001,$A561,$B$2:$B$1001,$B561)&gt;1),"INVALID",IFERROR(IF(IF(INDEX(Accounts!$T$2:$T$11,$F561),ROUND(IF($E561="",$C561,MIN($C561,$E561))-(H561),6)&lt;=0,ROUND(IF($E561="",$C561,MIN($C561,$E561))-(H561),6)&lt;0),"BREACHED","OK"),"INCOMPLETE")),"INVALID"))))</f>
        <v/>
      </c>
      <c r="J561" s="33">
        <f>IF(OR(I561="OK",I561="BREACHED"),-INT(ROUND(-(H561)*100,6))/100,I561)</f>
        <v/>
      </c>
    </row>
    <row r="562" ht="18" customHeight="1">
      <c r="A562" s="9" t="n"/>
      <c r="B562" s="32" t="n"/>
      <c r="C562" s="12" t="n"/>
      <c r="D562" s="12" t="n"/>
      <c r="E562" s="12" t="n"/>
      <c r="F562" s="15">
        <f>IFERROR(MATCH($A562,Accounts!$A$2:$A$11,0),"")</f>
        <v/>
      </c>
      <c r="G562" s="14">
        <f>IFERROR(IF(OR($A562="",$F562=""),"",IF(INDEX(Accounts!$P$2:$P$11,$F562)="static",INDEX(Accounts!$Q$2:$Q$11,$F562),IF(INDEX(Accounts!$P$2:$P$11,$F562)="eod_trailing",MAX(INDEX(Accounts!$Q$2:$Q$11,$F562),_xlfn.MAXIFS($C$2:$C$1001,$A$2:$A$1001,$A562,$B$2:$B$1001,"&lt;"&amp;$B562)),MAX(INDEX(Accounts!$Q$2:$Q$11,$F562),_xlfn.MAXIFS($C$2:$C$1001,$A$2:$A$1001,$A562,$B$2:$B$1001,"&lt;"&amp;$B562),_xlfn.MAXIFS($D$2:$D$1001,$A$2:$A$1001,$A562,$B$2:$B$1001,"&lt;="&amp;$B562),$C562)))),"")</f>
        <v/>
      </c>
      <c r="H562" s="15">
        <f>IFERROR(IF(G562="","",IF(INDEX(Accounts!$P$2:$P$11,$F562)="static",INDEX(Accounts!$Q$2:$Q$11,$F562)-INDEX(Accounts!$R$2:$R$11,$F562),IF(INDEX(Accounts!$S$2:$S$11,$F562)="NONE",G562-INDEX(Accounts!$R$2:$R$11,$F562),MIN(G562-INDEX(Accounts!$R$2:$R$11,$F562),INDEX(Accounts!$Q$2:$Q$11,$F562)+INDEX(Accounts!$S$2:$S$11,$F562))))),"")</f>
        <v/>
      </c>
      <c r="I562" s="16">
        <f>IF(AND($A562="",$B562="",$C562="",$D562="",$E562=""),"",IF(OR($A562="",$F562=""),"UNKNOWN_ACCOUNT",IF(OR($B562="",$C562=""),"INCOMPLETE",IFERROR(IF(OR(NOT(ISNUMBER($B562)),NOT(ISNUMBER($C562)),IF(C562="",FALSE,IF(ISNUMBER(C562),OR(C562&lt;=0,C562&gt;100000000,ROUND(C562*100,6)&lt;&gt;INT(ROUND(C562*100,6))),TRUE)),IF(D562="",FALSE,IF(ISNUMBER(D562),OR(D562&lt;=0,D562&gt;100000000,ROUND(D562*100,6)&lt;&gt;INT(ROUND(D562*100,6))),TRUE)),IF(E562="",FALSE,IF(ISNUMBER(E562),OR(E562&lt;=0,E562&gt;100000000,ROUND(E562*100,6)&lt;&gt;INT(ROUND(E562*100,6))),TRUE)),AND($D562&lt;&gt;"",$D562&lt;MAX($C562,$E562)),AND($E562&lt;&gt;"",$E562&gt;MIN($C562,IF($D562="",$C562,$D562))),COUNTIFS($A$2:$A$1001,$A562,$B$2:$B$1001,$B562)&gt;1),"INVALID",IFERROR(IF(IF(INDEX(Accounts!$T$2:$T$11,$F562),ROUND(IF($E562="",$C562,MIN($C562,$E562))-(H562),6)&lt;=0,ROUND(IF($E562="",$C562,MIN($C562,$E562))-(H562),6)&lt;0),"BREACHED","OK"),"INCOMPLETE")),"INVALID"))))</f>
        <v/>
      </c>
      <c r="J562" s="33">
        <f>IF(OR(I562="OK",I562="BREACHED"),-INT(ROUND(-(H562)*100,6))/100,I562)</f>
        <v/>
      </c>
    </row>
    <row r="563" ht="18" customHeight="1">
      <c r="A563" s="9" t="n"/>
      <c r="B563" s="32" t="n"/>
      <c r="C563" s="12" t="n"/>
      <c r="D563" s="12" t="n"/>
      <c r="E563" s="12" t="n"/>
      <c r="F563" s="15">
        <f>IFERROR(MATCH($A563,Accounts!$A$2:$A$11,0),"")</f>
        <v/>
      </c>
      <c r="G563" s="14">
        <f>IFERROR(IF(OR($A563="",$F563=""),"",IF(INDEX(Accounts!$P$2:$P$11,$F563)="static",INDEX(Accounts!$Q$2:$Q$11,$F563),IF(INDEX(Accounts!$P$2:$P$11,$F563)="eod_trailing",MAX(INDEX(Accounts!$Q$2:$Q$11,$F563),_xlfn.MAXIFS($C$2:$C$1001,$A$2:$A$1001,$A563,$B$2:$B$1001,"&lt;"&amp;$B563)),MAX(INDEX(Accounts!$Q$2:$Q$11,$F563),_xlfn.MAXIFS($C$2:$C$1001,$A$2:$A$1001,$A563,$B$2:$B$1001,"&lt;"&amp;$B563),_xlfn.MAXIFS($D$2:$D$1001,$A$2:$A$1001,$A563,$B$2:$B$1001,"&lt;="&amp;$B563),$C563)))),"")</f>
        <v/>
      </c>
      <c r="H563" s="15">
        <f>IFERROR(IF(G563="","",IF(INDEX(Accounts!$P$2:$P$11,$F563)="static",INDEX(Accounts!$Q$2:$Q$11,$F563)-INDEX(Accounts!$R$2:$R$11,$F563),IF(INDEX(Accounts!$S$2:$S$11,$F563)="NONE",G563-INDEX(Accounts!$R$2:$R$11,$F563),MIN(G563-INDEX(Accounts!$R$2:$R$11,$F563),INDEX(Accounts!$Q$2:$Q$11,$F563)+INDEX(Accounts!$S$2:$S$11,$F563))))),"")</f>
        <v/>
      </c>
      <c r="I563" s="16">
        <f>IF(AND($A563="",$B563="",$C563="",$D563="",$E563=""),"",IF(OR($A563="",$F563=""),"UNKNOWN_ACCOUNT",IF(OR($B563="",$C563=""),"INCOMPLETE",IFERROR(IF(OR(NOT(ISNUMBER($B563)),NOT(ISNUMBER($C563)),IF(C563="",FALSE,IF(ISNUMBER(C563),OR(C563&lt;=0,C563&gt;100000000,ROUND(C563*100,6)&lt;&gt;INT(ROUND(C563*100,6))),TRUE)),IF(D563="",FALSE,IF(ISNUMBER(D563),OR(D563&lt;=0,D563&gt;100000000,ROUND(D563*100,6)&lt;&gt;INT(ROUND(D563*100,6))),TRUE)),IF(E563="",FALSE,IF(ISNUMBER(E563),OR(E563&lt;=0,E563&gt;100000000,ROUND(E563*100,6)&lt;&gt;INT(ROUND(E563*100,6))),TRUE)),AND($D563&lt;&gt;"",$D563&lt;MAX($C563,$E563)),AND($E563&lt;&gt;"",$E563&gt;MIN($C563,IF($D563="",$C563,$D563))),COUNTIFS($A$2:$A$1001,$A563,$B$2:$B$1001,$B563)&gt;1),"INVALID",IFERROR(IF(IF(INDEX(Accounts!$T$2:$T$11,$F563),ROUND(IF($E563="",$C563,MIN($C563,$E563))-(H563),6)&lt;=0,ROUND(IF($E563="",$C563,MIN($C563,$E563))-(H563),6)&lt;0),"BREACHED","OK"),"INCOMPLETE")),"INVALID"))))</f>
        <v/>
      </c>
      <c r="J563" s="33">
        <f>IF(OR(I563="OK",I563="BREACHED"),-INT(ROUND(-(H563)*100,6))/100,I563)</f>
        <v/>
      </c>
    </row>
    <row r="564" ht="18" customHeight="1">
      <c r="A564" s="9" t="n"/>
      <c r="B564" s="32" t="n"/>
      <c r="C564" s="12" t="n"/>
      <c r="D564" s="12" t="n"/>
      <c r="E564" s="12" t="n"/>
      <c r="F564" s="15">
        <f>IFERROR(MATCH($A564,Accounts!$A$2:$A$11,0),"")</f>
        <v/>
      </c>
      <c r="G564" s="14">
        <f>IFERROR(IF(OR($A564="",$F564=""),"",IF(INDEX(Accounts!$P$2:$P$11,$F564)="static",INDEX(Accounts!$Q$2:$Q$11,$F564),IF(INDEX(Accounts!$P$2:$P$11,$F564)="eod_trailing",MAX(INDEX(Accounts!$Q$2:$Q$11,$F564),_xlfn.MAXIFS($C$2:$C$1001,$A$2:$A$1001,$A564,$B$2:$B$1001,"&lt;"&amp;$B564)),MAX(INDEX(Accounts!$Q$2:$Q$11,$F564),_xlfn.MAXIFS($C$2:$C$1001,$A$2:$A$1001,$A564,$B$2:$B$1001,"&lt;"&amp;$B564),_xlfn.MAXIFS($D$2:$D$1001,$A$2:$A$1001,$A564,$B$2:$B$1001,"&lt;="&amp;$B564),$C564)))),"")</f>
        <v/>
      </c>
      <c r="H564" s="15">
        <f>IFERROR(IF(G564="","",IF(INDEX(Accounts!$P$2:$P$11,$F564)="static",INDEX(Accounts!$Q$2:$Q$11,$F564)-INDEX(Accounts!$R$2:$R$11,$F564),IF(INDEX(Accounts!$S$2:$S$11,$F564)="NONE",G564-INDEX(Accounts!$R$2:$R$11,$F564),MIN(G564-INDEX(Accounts!$R$2:$R$11,$F564),INDEX(Accounts!$Q$2:$Q$11,$F564)+INDEX(Accounts!$S$2:$S$11,$F564))))),"")</f>
        <v/>
      </c>
      <c r="I564" s="16">
        <f>IF(AND($A564="",$B564="",$C564="",$D564="",$E564=""),"",IF(OR($A564="",$F564=""),"UNKNOWN_ACCOUNT",IF(OR($B564="",$C564=""),"INCOMPLETE",IFERROR(IF(OR(NOT(ISNUMBER($B564)),NOT(ISNUMBER($C564)),IF(C564="",FALSE,IF(ISNUMBER(C564),OR(C564&lt;=0,C564&gt;100000000,ROUND(C564*100,6)&lt;&gt;INT(ROUND(C564*100,6))),TRUE)),IF(D564="",FALSE,IF(ISNUMBER(D564),OR(D564&lt;=0,D564&gt;100000000,ROUND(D564*100,6)&lt;&gt;INT(ROUND(D564*100,6))),TRUE)),IF(E564="",FALSE,IF(ISNUMBER(E564),OR(E564&lt;=0,E564&gt;100000000,ROUND(E564*100,6)&lt;&gt;INT(ROUND(E564*100,6))),TRUE)),AND($D564&lt;&gt;"",$D564&lt;MAX($C564,$E564)),AND($E564&lt;&gt;"",$E564&gt;MIN($C564,IF($D564="",$C564,$D564))),COUNTIFS($A$2:$A$1001,$A564,$B$2:$B$1001,$B564)&gt;1),"INVALID",IFERROR(IF(IF(INDEX(Accounts!$T$2:$T$11,$F564),ROUND(IF($E564="",$C564,MIN($C564,$E564))-(H564),6)&lt;=0,ROUND(IF($E564="",$C564,MIN($C564,$E564))-(H564),6)&lt;0),"BREACHED","OK"),"INCOMPLETE")),"INVALID"))))</f>
        <v/>
      </c>
      <c r="J564" s="33">
        <f>IF(OR(I564="OK",I564="BREACHED"),-INT(ROUND(-(H564)*100,6))/100,I564)</f>
        <v/>
      </c>
    </row>
    <row r="565" ht="18" customHeight="1">
      <c r="A565" s="9" t="n"/>
      <c r="B565" s="32" t="n"/>
      <c r="C565" s="12" t="n"/>
      <c r="D565" s="12" t="n"/>
      <c r="E565" s="12" t="n"/>
      <c r="F565" s="15">
        <f>IFERROR(MATCH($A565,Accounts!$A$2:$A$11,0),"")</f>
        <v/>
      </c>
      <c r="G565" s="14">
        <f>IFERROR(IF(OR($A565="",$F565=""),"",IF(INDEX(Accounts!$P$2:$P$11,$F565)="static",INDEX(Accounts!$Q$2:$Q$11,$F565),IF(INDEX(Accounts!$P$2:$P$11,$F565)="eod_trailing",MAX(INDEX(Accounts!$Q$2:$Q$11,$F565),_xlfn.MAXIFS($C$2:$C$1001,$A$2:$A$1001,$A565,$B$2:$B$1001,"&lt;"&amp;$B565)),MAX(INDEX(Accounts!$Q$2:$Q$11,$F565),_xlfn.MAXIFS($C$2:$C$1001,$A$2:$A$1001,$A565,$B$2:$B$1001,"&lt;"&amp;$B565),_xlfn.MAXIFS($D$2:$D$1001,$A$2:$A$1001,$A565,$B$2:$B$1001,"&lt;="&amp;$B565),$C565)))),"")</f>
        <v/>
      </c>
      <c r="H565" s="15">
        <f>IFERROR(IF(G565="","",IF(INDEX(Accounts!$P$2:$P$11,$F565)="static",INDEX(Accounts!$Q$2:$Q$11,$F565)-INDEX(Accounts!$R$2:$R$11,$F565),IF(INDEX(Accounts!$S$2:$S$11,$F565)="NONE",G565-INDEX(Accounts!$R$2:$R$11,$F565),MIN(G565-INDEX(Accounts!$R$2:$R$11,$F565),INDEX(Accounts!$Q$2:$Q$11,$F565)+INDEX(Accounts!$S$2:$S$11,$F565))))),"")</f>
        <v/>
      </c>
      <c r="I565" s="16">
        <f>IF(AND($A565="",$B565="",$C565="",$D565="",$E565=""),"",IF(OR($A565="",$F565=""),"UNKNOWN_ACCOUNT",IF(OR($B565="",$C565=""),"INCOMPLETE",IFERROR(IF(OR(NOT(ISNUMBER($B565)),NOT(ISNUMBER($C565)),IF(C565="",FALSE,IF(ISNUMBER(C565),OR(C565&lt;=0,C565&gt;100000000,ROUND(C565*100,6)&lt;&gt;INT(ROUND(C565*100,6))),TRUE)),IF(D565="",FALSE,IF(ISNUMBER(D565),OR(D565&lt;=0,D565&gt;100000000,ROUND(D565*100,6)&lt;&gt;INT(ROUND(D565*100,6))),TRUE)),IF(E565="",FALSE,IF(ISNUMBER(E565),OR(E565&lt;=0,E565&gt;100000000,ROUND(E565*100,6)&lt;&gt;INT(ROUND(E565*100,6))),TRUE)),AND($D565&lt;&gt;"",$D565&lt;MAX($C565,$E565)),AND($E565&lt;&gt;"",$E565&gt;MIN($C565,IF($D565="",$C565,$D565))),COUNTIFS($A$2:$A$1001,$A565,$B$2:$B$1001,$B565)&gt;1),"INVALID",IFERROR(IF(IF(INDEX(Accounts!$T$2:$T$11,$F565),ROUND(IF($E565="",$C565,MIN($C565,$E565))-(H565),6)&lt;=0,ROUND(IF($E565="",$C565,MIN($C565,$E565))-(H565),6)&lt;0),"BREACHED","OK"),"INCOMPLETE")),"INVALID"))))</f>
        <v/>
      </c>
      <c r="J565" s="33">
        <f>IF(OR(I565="OK",I565="BREACHED"),-INT(ROUND(-(H565)*100,6))/100,I565)</f>
        <v/>
      </c>
    </row>
    <row r="566" ht="18" customHeight="1">
      <c r="A566" s="9" t="n"/>
      <c r="B566" s="32" t="n"/>
      <c r="C566" s="12" t="n"/>
      <c r="D566" s="12" t="n"/>
      <c r="E566" s="12" t="n"/>
      <c r="F566" s="15">
        <f>IFERROR(MATCH($A566,Accounts!$A$2:$A$11,0),"")</f>
        <v/>
      </c>
      <c r="G566" s="14">
        <f>IFERROR(IF(OR($A566="",$F566=""),"",IF(INDEX(Accounts!$P$2:$P$11,$F566)="static",INDEX(Accounts!$Q$2:$Q$11,$F566),IF(INDEX(Accounts!$P$2:$P$11,$F566)="eod_trailing",MAX(INDEX(Accounts!$Q$2:$Q$11,$F566),_xlfn.MAXIFS($C$2:$C$1001,$A$2:$A$1001,$A566,$B$2:$B$1001,"&lt;"&amp;$B566)),MAX(INDEX(Accounts!$Q$2:$Q$11,$F566),_xlfn.MAXIFS($C$2:$C$1001,$A$2:$A$1001,$A566,$B$2:$B$1001,"&lt;"&amp;$B566),_xlfn.MAXIFS($D$2:$D$1001,$A$2:$A$1001,$A566,$B$2:$B$1001,"&lt;="&amp;$B566),$C566)))),"")</f>
        <v/>
      </c>
      <c r="H566" s="15">
        <f>IFERROR(IF(G566="","",IF(INDEX(Accounts!$P$2:$P$11,$F566)="static",INDEX(Accounts!$Q$2:$Q$11,$F566)-INDEX(Accounts!$R$2:$R$11,$F566),IF(INDEX(Accounts!$S$2:$S$11,$F566)="NONE",G566-INDEX(Accounts!$R$2:$R$11,$F566),MIN(G566-INDEX(Accounts!$R$2:$R$11,$F566),INDEX(Accounts!$Q$2:$Q$11,$F566)+INDEX(Accounts!$S$2:$S$11,$F566))))),"")</f>
        <v/>
      </c>
      <c r="I566" s="16">
        <f>IF(AND($A566="",$B566="",$C566="",$D566="",$E566=""),"",IF(OR($A566="",$F566=""),"UNKNOWN_ACCOUNT",IF(OR($B566="",$C566=""),"INCOMPLETE",IFERROR(IF(OR(NOT(ISNUMBER($B566)),NOT(ISNUMBER($C566)),IF(C566="",FALSE,IF(ISNUMBER(C566),OR(C566&lt;=0,C566&gt;100000000,ROUND(C566*100,6)&lt;&gt;INT(ROUND(C566*100,6))),TRUE)),IF(D566="",FALSE,IF(ISNUMBER(D566),OR(D566&lt;=0,D566&gt;100000000,ROUND(D566*100,6)&lt;&gt;INT(ROUND(D566*100,6))),TRUE)),IF(E566="",FALSE,IF(ISNUMBER(E566),OR(E566&lt;=0,E566&gt;100000000,ROUND(E566*100,6)&lt;&gt;INT(ROUND(E566*100,6))),TRUE)),AND($D566&lt;&gt;"",$D566&lt;MAX($C566,$E566)),AND($E566&lt;&gt;"",$E566&gt;MIN($C566,IF($D566="",$C566,$D566))),COUNTIFS($A$2:$A$1001,$A566,$B$2:$B$1001,$B566)&gt;1),"INVALID",IFERROR(IF(IF(INDEX(Accounts!$T$2:$T$11,$F566),ROUND(IF($E566="",$C566,MIN($C566,$E566))-(H566),6)&lt;=0,ROUND(IF($E566="",$C566,MIN($C566,$E566))-(H566),6)&lt;0),"BREACHED","OK"),"INCOMPLETE")),"INVALID"))))</f>
        <v/>
      </c>
      <c r="J566" s="33">
        <f>IF(OR(I566="OK",I566="BREACHED"),-INT(ROUND(-(H566)*100,6))/100,I566)</f>
        <v/>
      </c>
    </row>
    <row r="567" ht="18" customHeight="1">
      <c r="A567" s="9" t="n"/>
      <c r="B567" s="32" t="n"/>
      <c r="C567" s="12" t="n"/>
      <c r="D567" s="12" t="n"/>
      <c r="E567" s="12" t="n"/>
      <c r="F567" s="15">
        <f>IFERROR(MATCH($A567,Accounts!$A$2:$A$11,0),"")</f>
        <v/>
      </c>
      <c r="G567" s="14">
        <f>IFERROR(IF(OR($A567="",$F567=""),"",IF(INDEX(Accounts!$P$2:$P$11,$F567)="static",INDEX(Accounts!$Q$2:$Q$11,$F567),IF(INDEX(Accounts!$P$2:$P$11,$F567)="eod_trailing",MAX(INDEX(Accounts!$Q$2:$Q$11,$F567),_xlfn.MAXIFS($C$2:$C$1001,$A$2:$A$1001,$A567,$B$2:$B$1001,"&lt;"&amp;$B567)),MAX(INDEX(Accounts!$Q$2:$Q$11,$F567),_xlfn.MAXIFS($C$2:$C$1001,$A$2:$A$1001,$A567,$B$2:$B$1001,"&lt;"&amp;$B567),_xlfn.MAXIFS($D$2:$D$1001,$A$2:$A$1001,$A567,$B$2:$B$1001,"&lt;="&amp;$B567),$C567)))),"")</f>
        <v/>
      </c>
      <c r="H567" s="15">
        <f>IFERROR(IF(G567="","",IF(INDEX(Accounts!$P$2:$P$11,$F567)="static",INDEX(Accounts!$Q$2:$Q$11,$F567)-INDEX(Accounts!$R$2:$R$11,$F567),IF(INDEX(Accounts!$S$2:$S$11,$F567)="NONE",G567-INDEX(Accounts!$R$2:$R$11,$F567),MIN(G567-INDEX(Accounts!$R$2:$R$11,$F567),INDEX(Accounts!$Q$2:$Q$11,$F567)+INDEX(Accounts!$S$2:$S$11,$F567))))),"")</f>
        <v/>
      </c>
      <c r="I567" s="16">
        <f>IF(AND($A567="",$B567="",$C567="",$D567="",$E567=""),"",IF(OR($A567="",$F567=""),"UNKNOWN_ACCOUNT",IF(OR($B567="",$C567=""),"INCOMPLETE",IFERROR(IF(OR(NOT(ISNUMBER($B567)),NOT(ISNUMBER($C567)),IF(C567="",FALSE,IF(ISNUMBER(C567),OR(C567&lt;=0,C567&gt;100000000,ROUND(C567*100,6)&lt;&gt;INT(ROUND(C567*100,6))),TRUE)),IF(D567="",FALSE,IF(ISNUMBER(D567),OR(D567&lt;=0,D567&gt;100000000,ROUND(D567*100,6)&lt;&gt;INT(ROUND(D567*100,6))),TRUE)),IF(E567="",FALSE,IF(ISNUMBER(E567),OR(E567&lt;=0,E567&gt;100000000,ROUND(E567*100,6)&lt;&gt;INT(ROUND(E567*100,6))),TRUE)),AND($D567&lt;&gt;"",$D567&lt;MAX($C567,$E567)),AND($E567&lt;&gt;"",$E567&gt;MIN($C567,IF($D567="",$C567,$D567))),COUNTIFS($A$2:$A$1001,$A567,$B$2:$B$1001,$B567)&gt;1),"INVALID",IFERROR(IF(IF(INDEX(Accounts!$T$2:$T$11,$F567),ROUND(IF($E567="",$C567,MIN($C567,$E567))-(H567),6)&lt;=0,ROUND(IF($E567="",$C567,MIN($C567,$E567))-(H567),6)&lt;0),"BREACHED","OK"),"INCOMPLETE")),"INVALID"))))</f>
        <v/>
      </c>
      <c r="J567" s="33">
        <f>IF(OR(I567="OK",I567="BREACHED"),-INT(ROUND(-(H567)*100,6))/100,I567)</f>
        <v/>
      </c>
    </row>
    <row r="568" ht="18" customHeight="1">
      <c r="A568" s="9" t="n"/>
      <c r="B568" s="32" t="n"/>
      <c r="C568" s="12" t="n"/>
      <c r="D568" s="12" t="n"/>
      <c r="E568" s="12" t="n"/>
      <c r="F568" s="15">
        <f>IFERROR(MATCH($A568,Accounts!$A$2:$A$11,0),"")</f>
        <v/>
      </c>
      <c r="G568" s="14">
        <f>IFERROR(IF(OR($A568="",$F568=""),"",IF(INDEX(Accounts!$P$2:$P$11,$F568)="static",INDEX(Accounts!$Q$2:$Q$11,$F568),IF(INDEX(Accounts!$P$2:$P$11,$F568)="eod_trailing",MAX(INDEX(Accounts!$Q$2:$Q$11,$F568),_xlfn.MAXIFS($C$2:$C$1001,$A$2:$A$1001,$A568,$B$2:$B$1001,"&lt;"&amp;$B568)),MAX(INDEX(Accounts!$Q$2:$Q$11,$F568),_xlfn.MAXIFS($C$2:$C$1001,$A$2:$A$1001,$A568,$B$2:$B$1001,"&lt;"&amp;$B568),_xlfn.MAXIFS($D$2:$D$1001,$A$2:$A$1001,$A568,$B$2:$B$1001,"&lt;="&amp;$B568),$C568)))),"")</f>
        <v/>
      </c>
      <c r="H568" s="15">
        <f>IFERROR(IF(G568="","",IF(INDEX(Accounts!$P$2:$P$11,$F568)="static",INDEX(Accounts!$Q$2:$Q$11,$F568)-INDEX(Accounts!$R$2:$R$11,$F568),IF(INDEX(Accounts!$S$2:$S$11,$F568)="NONE",G568-INDEX(Accounts!$R$2:$R$11,$F568),MIN(G568-INDEX(Accounts!$R$2:$R$11,$F568),INDEX(Accounts!$Q$2:$Q$11,$F568)+INDEX(Accounts!$S$2:$S$11,$F568))))),"")</f>
        <v/>
      </c>
      <c r="I568" s="16">
        <f>IF(AND($A568="",$B568="",$C568="",$D568="",$E568=""),"",IF(OR($A568="",$F568=""),"UNKNOWN_ACCOUNT",IF(OR($B568="",$C568=""),"INCOMPLETE",IFERROR(IF(OR(NOT(ISNUMBER($B568)),NOT(ISNUMBER($C568)),IF(C568="",FALSE,IF(ISNUMBER(C568),OR(C568&lt;=0,C568&gt;100000000,ROUND(C568*100,6)&lt;&gt;INT(ROUND(C568*100,6))),TRUE)),IF(D568="",FALSE,IF(ISNUMBER(D568),OR(D568&lt;=0,D568&gt;100000000,ROUND(D568*100,6)&lt;&gt;INT(ROUND(D568*100,6))),TRUE)),IF(E568="",FALSE,IF(ISNUMBER(E568),OR(E568&lt;=0,E568&gt;100000000,ROUND(E568*100,6)&lt;&gt;INT(ROUND(E568*100,6))),TRUE)),AND($D568&lt;&gt;"",$D568&lt;MAX($C568,$E568)),AND($E568&lt;&gt;"",$E568&gt;MIN($C568,IF($D568="",$C568,$D568))),COUNTIFS($A$2:$A$1001,$A568,$B$2:$B$1001,$B568)&gt;1),"INVALID",IFERROR(IF(IF(INDEX(Accounts!$T$2:$T$11,$F568),ROUND(IF($E568="",$C568,MIN($C568,$E568))-(H568),6)&lt;=0,ROUND(IF($E568="",$C568,MIN($C568,$E568))-(H568),6)&lt;0),"BREACHED","OK"),"INCOMPLETE")),"INVALID"))))</f>
        <v/>
      </c>
      <c r="J568" s="33">
        <f>IF(OR(I568="OK",I568="BREACHED"),-INT(ROUND(-(H568)*100,6))/100,I568)</f>
        <v/>
      </c>
    </row>
    <row r="569" ht="18" customHeight="1">
      <c r="A569" s="9" t="n"/>
      <c r="B569" s="32" t="n"/>
      <c r="C569" s="12" t="n"/>
      <c r="D569" s="12" t="n"/>
      <c r="E569" s="12" t="n"/>
      <c r="F569" s="15">
        <f>IFERROR(MATCH($A569,Accounts!$A$2:$A$11,0),"")</f>
        <v/>
      </c>
      <c r="G569" s="14">
        <f>IFERROR(IF(OR($A569="",$F569=""),"",IF(INDEX(Accounts!$P$2:$P$11,$F569)="static",INDEX(Accounts!$Q$2:$Q$11,$F569),IF(INDEX(Accounts!$P$2:$P$11,$F569)="eod_trailing",MAX(INDEX(Accounts!$Q$2:$Q$11,$F569),_xlfn.MAXIFS($C$2:$C$1001,$A$2:$A$1001,$A569,$B$2:$B$1001,"&lt;"&amp;$B569)),MAX(INDEX(Accounts!$Q$2:$Q$11,$F569),_xlfn.MAXIFS($C$2:$C$1001,$A$2:$A$1001,$A569,$B$2:$B$1001,"&lt;"&amp;$B569),_xlfn.MAXIFS($D$2:$D$1001,$A$2:$A$1001,$A569,$B$2:$B$1001,"&lt;="&amp;$B569),$C569)))),"")</f>
        <v/>
      </c>
      <c r="H569" s="15">
        <f>IFERROR(IF(G569="","",IF(INDEX(Accounts!$P$2:$P$11,$F569)="static",INDEX(Accounts!$Q$2:$Q$11,$F569)-INDEX(Accounts!$R$2:$R$11,$F569),IF(INDEX(Accounts!$S$2:$S$11,$F569)="NONE",G569-INDEX(Accounts!$R$2:$R$11,$F569),MIN(G569-INDEX(Accounts!$R$2:$R$11,$F569),INDEX(Accounts!$Q$2:$Q$11,$F569)+INDEX(Accounts!$S$2:$S$11,$F569))))),"")</f>
        <v/>
      </c>
      <c r="I569" s="16">
        <f>IF(AND($A569="",$B569="",$C569="",$D569="",$E569=""),"",IF(OR($A569="",$F569=""),"UNKNOWN_ACCOUNT",IF(OR($B569="",$C569=""),"INCOMPLETE",IFERROR(IF(OR(NOT(ISNUMBER($B569)),NOT(ISNUMBER($C569)),IF(C569="",FALSE,IF(ISNUMBER(C569),OR(C569&lt;=0,C569&gt;100000000,ROUND(C569*100,6)&lt;&gt;INT(ROUND(C569*100,6))),TRUE)),IF(D569="",FALSE,IF(ISNUMBER(D569),OR(D569&lt;=0,D569&gt;100000000,ROUND(D569*100,6)&lt;&gt;INT(ROUND(D569*100,6))),TRUE)),IF(E569="",FALSE,IF(ISNUMBER(E569),OR(E569&lt;=0,E569&gt;100000000,ROUND(E569*100,6)&lt;&gt;INT(ROUND(E569*100,6))),TRUE)),AND($D569&lt;&gt;"",$D569&lt;MAX($C569,$E569)),AND($E569&lt;&gt;"",$E569&gt;MIN($C569,IF($D569="",$C569,$D569))),COUNTIFS($A$2:$A$1001,$A569,$B$2:$B$1001,$B569)&gt;1),"INVALID",IFERROR(IF(IF(INDEX(Accounts!$T$2:$T$11,$F569),ROUND(IF($E569="",$C569,MIN($C569,$E569))-(H569),6)&lt;=0,ROUND(IF($E569="",$C569,MIN($C569,$E569))-(H569),6)&lt;0),"BREACHED","OK"),"INCOMPLETE")),"INVALID"))))</f>
        <v/>
      </c>
      <c r="J569" s="33">
        <f>IF(OR(I569="OK",I569="BREACHED"),-INT(ROUND(-(H569)*100,6))/100,I569)</f>
        <v/>
      </c>
    </row>
    <row r="570" ht="18" customHeight="1">
      <c r="A570" s="9" t="n"/>
      <c r="B570" s="32" t="n"/>
      <c r="C570" s="12" t="n"/>
      <c r="D570" s="12" t="n"/>
      <c r="E570" s="12" t="n"/>
      <c r="F570" s="15">
        <f>IFERROR(MATCH($A570,Accounts!$A$2:$A$11,0),"")</f>
        <v/>
      </c>
      <c r="G570" s="14">
        <f>IFERROR(IF(OR($A570="",$F570=""),"",IF(INDEX(Accounts!$P$2:$P$11,$F570)="static",INDEX(Accounts!$Q$2:$Q$11,$F570),IF(INDEX(Accounts!$P$2:$P$11,$F570)="eod_trailing",MAX(INDEX(Accounts!$Q$2:$Q$11,$F570),_xlfn.MAXIFS($C$2:$C$1001,$A$2:$A$1001,$A570,$B$2:$B$1001,"&lt;"&amp;$B570)),MAX(INDEX(Accounts!$Q$2:$Q$11,$F570),_xlfn.MAXIFS($C$2:$C$1001,$A$2:$A$1001,$A570,$B$2:$B$1001,"&lt;"&amp;$B570),_xlfn.MAXIFS($D$2:$D$1001,$A$2:$A$1001,$A570,$B$2:$B$1001,"&lt;="&amp;$B570),$C570)))),"")</f>
        <v/>
      </c>
      <c r="H570" s="15">
        <f>IFERROR(IF(G570="","",IF(INDEX(Accounts!$P$2:$P$11,$F570)="static",INDEX(Accounts!$Q$2:$Q$11,$F570)-INDEX(Accounts!$R$2:$R$11,$F570),IF(INDEX(Accounts!$S$2:$S$11,$F570)="NONE",G570-INDEX(Accounts!$R$2:$R$11,$F570),MIN(G570-INDEX(Accounts!$R$2:$R$11,$F570),INDEX(Accounts!$Q$2:$Q$11,$F570)+INDEX(Accounts!$S$2:$S$11,$F570))))),"")</f>
        <v/>
      </c>
      <c r="I570" s="16">
        <f>IF(AND($A570="",$B570="",$C570="",$D570="",$E570=""),"",IF(OR($A570="",$F570=""),"UNKNOWN_ACCOUNT",IF(OR($B570="",$C570=""),"INCOMPLETE",IFERROR(IF(OR(NOT(ISNUMBER($B570)),NOT(ISNUMBER($C570)),IF(C570="",FALSE,IF(ISNUMBER(C570),OR(C570&lt;=0,C570&gt;100000000,ROUND(C570*100,6)&lt;&gt;INT(ROUND(C570*100,6))),TRUE)),IF(D570="",FALSE,IF(ISNUMBER(D570),OR(D570&lt;=0,D570&gt;100000000,ROUND(D570*100,6)&lt;&gt;INT(ROUND(D570*100,6))),TRUE)),IF(E570="",FALSE,IF(ISNUMBER(E570),OR(E570&lt;=0,E570&gt;100000000,ROUND(E570*100,6)&lt;&gt;INT(ROUND(E570*100,6))),TRUE)),AND($D570&lt;&gt;"",$D570&lt;MAX($C570,$E570)),AND($E570&lt;&gt;"",$E570&gt;MIN($C570,IF($D570="",$C570,$D570))),COUNTIFS($A$2:$A$1001,$A570,$B$2:$B$1001,$B570)&gt;1),"INVALID",IFERROR(IF(IF(INDEX(Accounts!$T$2:$T$11,$F570),ROUND(IF($E570="",$C570,MIN($C570,$E570))-(H570),6)&lt;=0,ROUND(IF($E570="",$C570,MIN($C570,$E570))-(H570),6)&lt;0),"BREACHED","OK"),"INCOMPLETE")),"INVALID"))))</f>
        <v/>
      </c>
      <c r="J570" s="33">
        <f>IF(OR(I570="OK",I570="BREACHED"),-INT(ROUND(-(H570)*100,6))/100,I570)</f>
        <v/>
      </c>
    </row>
    <row r="571" ht="18" customHeight="1">
      <c r="A571" s="9" t="n"/>
      <c r="B571" s="32" t="n"/>
      <c r="C571" s="12" t="n"/>
      <c r="D571" s="12" t="n"/>
      <c r="E571" s="12" t="n"/>
      <c r="F571" s="15">
        <f>IFERROR(MATCH($A571,Accounts!$A$2:$A$11,0),"")</f>
        <v/>
      </c>
      <c r="G571" s="14">
        <f>IFERROR(IF(OR($A571="",$F571=""),"",IF(INDEX(Accounts!$P$2:$P$11,$F571)="static",INDEX(Accounts!$Q$2:$Q$11,$F571),IF(INDEX(Accounts!$P$2:$P$11,$F571)="eod_trailing",MAX(INDEX(Accounts!$Q$2:$Q$11,$F571),_xlfn.MAXIFS($C$2:$C$1001,$A$2:$A$1001,$A571,$B$2:$B$1001,"&lt;"&amp;$B571)),MAX(INDEX(Accounts!$Q$2:$Q$11,$F571),_xlfn.MAXIFS($C$2:$C$1001,$A$2:$A$1001,$A571,$B$2:$B$1001,"&lt;"&amp;$B571),_xlfn.MAXIFS($D$2:$D$1001,$A$2:$A$1001,$A571,$B$2:$B$1001,"&lt;="&amp;$B571),$C571)))),"")</f>
        <v/>
      </c>
      <c r="H571" s="15">
        <f>IFERROR(IF(G571="","",IF(INDEX(Accounts!$P$2:$P$11,$F571)="static",INDEX(Accounts!$Q$2:$Q$11,$F571)-INDEX(Accounts!$R$2:$R$11,$F571),IF(INDEX(Accounts!$S$2:$S$11,$F571)="NONE",G571-INDEX(Accounts!$R$2:$R$11,$F571),MIN(G571-INDEX(Accounts!$R$2:$R$11,$F571),INDEX(Accounts!$Q$2:$Q$11,$F571)+INDEX(Accounts!$S$2:$S$11,$F571))))),"")</f>
        <v/>
      </c>
      <c r="I571" s="16">
        <f>IF(AND($A571="",$B571="",$C571="",$D571="",$E571=""),"",IF(OR($A571="",$F571=""),"UNKNOWN_ACCOUNT",IF(OR($B571="",$C571=""),"INCOMPLETE",IFERROR(IF(OR(NOT(ISNUMBER($B571)),NOT(ISNUMBER($C571)),IF(C571="",FALSE,IF(ISNUMBER(C571),OR(C571&lt;=0,C571&gt;100000000,ROUND(C571*100,6)&lt;&gt;INT(ROUND(C571*100,6))),TRUE)),IF(D571="",FALSE,IF(ISNUMBER(D571),OR(D571&lt;=0,D571&gt;100000000,ROUND(D571*100,6)&lt;&gt;INT(ROUND(D571*100,6))),TRUE)),IF(E571="",FALSE,IF(ISNUMBER(E571),OR(E571&lt;=0,E571&gt;100000000,ROUND(E571*100,6)&lt;&gt;INT(ROUND(E571*100,6))),TRUE)),AND($D571&lt;&gt;"",$D571&lt;MAX($C571,$E571)),AND($E571&lt;&gt;"",$E571&gt;MIN($C571,IF($D571="",$C571,$D571))),COUNTIFS($A$2:$A$1001,$A571,$B$2:$B$1001,$B571)&gt;1),"INVALID",IFERROR(IF(IF(INDEX(Accounts!$T$2:$T$11,$F571),ROUND(IF($E571="",$C571,MIN($C571,$E571))-(H571),6)&lt;=0,ROUND(IF($E571="",$C571,MIN($C571,$E571))-(H571),6)&lt;0),"BREACHED","OK"),"INCOMPLETE")),"INVALID"))))</f>
        <v/>
      </c>
      <c r="J571" s="33">
        <f>IF(OR(I571="OK",I571="BREACHED"),-INT(ROUND(-(H571)*100,6))/100,I571)</f>
        <v/>
      </c>
    </row>
    <row r="572" ht="18" customHeight="1">
      <c r="A572" s="9" t="n"/>
      <c r="B572" s="32" t="n"/>
      <c r="C572" s="12" t="n"/>
      <c r="D572" s="12" t="n"/>
      <c r="E572" s="12" t="n"/>
      <c r="F572" s="15">
        <f>IFERROR(MATCH($A572,Accounts!$A$2:$A$11,0),"")</f>
        <v/>
      </c>
      <c r="G572" s="14">
        <f>IFERROR(IF(OR($A572="",$F572=""),"",IF(INDEX(Accounts!$P$2:$P$11,$F572)="static",INDEX(Accounts!$Q$2:$Q$11,$F572),IF(INDEX(Accounts!$P$2:$P$11,$F572)="eod_trailing",MAX(INDEX(Accounts!$Q$2:$Q$11,$F572),_xlfn.MAXIFS($C$2:$C$1001,$A$2:$A$1001,$A572,$B$2:$B$1001,"&lt;"&amp;$B572)),MAX(INDEX(Accounts!$Q$2:$Q$11,$F572),_xlfn.MAXIFS($C$2:$C$1001,$A$2:$A$1001,$A572,$B$2:$B$1001,"&lt;"&amp;$B572),_xlfn.MAXIFS($D$2:$D$1001,$A$2:$A$1001,$A572,$B$2:$B$1001,"&lt;="&amp;$B572),$C572)))),"")</f>
        <v/>
      </c>
      <c r="H572" s="15">
        <f>IFERROR(IF(G572="","",IF(INDEX(Accounts!$P$2:$P$11,$F572)="static",INDEX(Accounts!$Q$2:$Q$11,$F572)-INDEX(Accounts!$R$2:$R$11,$F572),IF(INDEX(Accounts!$S$2:$S$11,$F572)="NONE",G572-INDEX(Accounts!$R$2:$R$11,$F572),MIN(G572-INDEX(Accounts!$R$2:$R$11,$F572),INDEX(Accounts!$Q$2:$Q$11,$F572)+INDEX(Accounts!$S$2:$S$11,$F572))))),"")</f>
        <v/>
      </c>
      <c r="I572" s="16">
        <f>IF(AND($A572="",$B572="",$C572="",$D572="",$E572=""),"",IF(OR($A572="",$F572=""),"UNKNOWN_ACCOUNT",IF(OR($B572="",$C572=""),"INCOMPLETE",IFERROR(IF(OR(NOT(ISNUMBER($B572)),NOT(ISNUMBER($C572)),IF(C572="",FALSE,IF(ISNUMBER(C572),OR(C572&lt;=0,C572&gt;100000000,ROUND(C572*100,6)&lt;&gt;INT(ROUND(C572*100,6))),TRUE)),IF(D572="",FALSE,IF(ISNUMBER(D572),OR(D572&lt;=0,D572&gt;100000000,ROUND(D572*100,6)&lt;&gt;INT(ROUND(D572*100,6))),TRUE)),IF(E572="",FALSE,IF(ISNUMBER(E572),OR(E572&lt;=0,E572&gt;100000000,ROUND(E572*100,6)&lt;&gt;INT(ROUND(E572*100,6))),TRUE)),AND($D572&lt;&gt;"",$D572&lt;MAX($C572,$E572)),AND($E572&lt;&gt;"",$E572&gt;MIN($C572,IF($D572="",$C572,$D572))),COUNTIFS($A$2:$A$1001,$A572,$B$2:$B$1001,$B572)&gt;1),"INVALID",IFERROR(IF(IF(INDEX(Accounts!$T$2:$T$11,$F572),ROUND(IF($E572="",$C572,MIN($C572,$E572))-(H572),6)&lt;=0,ROUND(IF($E572="",$C572,MIN($C572,$E572))-(H572),6)&lt;0),"BREACHED","OK"),"INCOMPLETE")),"INVALID"))))</f>
        <v/>
      </c>
      <c r="J572" s="33">
        <f>IF(OR(I572="OK",I572="BREACHED"),-INT(ROUND(-(H572)*100,6))/100,I572)</f>
        <v/>
      </c>
    </row>
    <row r="573" ht="18" customHeight="1">
      <c r="A573" s="9" t="n"/>
      <c r="B573" s="32" t="n"/>
      <c r="C573" s="12" t="n"/>
      <c r="D573" s="12" t="n"/>
      <c r="E573" s="12" t="n"/>
      <c r="F573" s="15">
        <f>IFERROR(MATCH($A573,Accounts!$A$2:$A$11,0),"")</f>
        <v/>
      </c>
      <c r="G573" s="14">
        <f>IFERROR(IF(OR($A573="",$F573=""),"",IF(INDEX(Accounts!$P$2:$P$11,$F573)="static",INDEX(Accounts!$Q$2:$Q$11,$F573),IF(INDEX(Accounts!$P$2:$P$11,$F573)="eod_trailing",MAX(INDEX(Accounts!$Q$2:$Q$11,$F573),_xlfn.MAXIFS($C$2:$C$1001,$A$2:$A$1001,$A573,$B$2:$B$1001,"&lt;"&amp;$B573)),MAX(INDEX(Accounts!$Q$2:$Q$11,$F573),_xlfn.MAXIFS($C$2:$C$1001,$A$2:$A$1001,$A573,$B$2:$B$1001,"&lt;"&amp;$B573),_xlfn.MAXIFS($D$2:$D$1001,$A$2:$A$1001,$A573,$B$2:$B$1001,"&lt;="&amp;$B573),$C573)))),"")</f>
        <v/>
      </c>
      <c r="H573" s="15">
        <f>IFERROR(IF(G573="","",IF(INDEX(Accounts!$P$2:$P$11,$F573)="static",INDEX(Accounts!$Q$2:$Q$11,$F573)-INDEX(Accounts!$R$2:$R$11,$F573),IF(INDEX(Accounts!$S$2:$S$11,$F573)="NONE",G573-INDEX(Accounts!$R$2:$R$11,$F573),MIN(G573-INDEX(Accounts!$R$2:$R$11,$F573),INDEX(Accounts!$Q$2:$Q$11,$F573)+INDEX(Accounts!$S$2:$S$11,$F573))))),"")</f>
        <v/>
      </c>
      <c r="I573" s="16">
        <f>IF(AND($A573="",$B573="",$C573="",$D573="",$E573=""),"",IF(OR($A573="",$F573=""),"UNKNOWN_ACCOUNT",IF(OR($B573="",$C573=""),"INCOMPLETE",IFERROR(IF(OR(NOT(ISNUMBER($B573)),NOT(ISNUMBER($C573)),IF(C573="",FALSE,IF(ISNUMBER(C573),OR(C573&lt;=0,C573&gt;100000000,ROUND(C573*100,6)&lt;&gt;INT(ROUND(C573*100,6))),TRUE)),IF(D573="",FALSE,IF(ISNUMBER(D573),OR(D573&lt;=0,D573&gt;100000000,ROUND(D573*100,6)&lt;&gt;INT(ROUND(D573*100,6))),TRUE)),IF(E573="",FALSE,IF(ISNUMBER(E573),OR(E573&lt;=0,E573&gt;100000000,ROUND(E573*100,6)&lt;&gt;INT(ROUND(E573*100,6))),TRUE)),AND($D573&lt;&gt;"",$D573&lt;MAX($C573,$E573)),AND($E573&lt;&gt;"",$E573&gt;MIN($C573,IF($D573="",$C573,$D573))),COUNTIFS($A$2:$A$1001,$A573,$B$2:$B$1001,$B573)&gt;1),"INVALID",IFERROR(IF(IF(INDEX(Accounts!$T$2:$T$11,$F573),ROUND(IF($E573="",$C573,MIN($C573,$E573))-(H573),6)&lt;=0,ROUND(IF($E573="",$C573,MIN($C573,$E573))-(H573),6)&lt;0),"BREACHED","OK"),"INCOMPLETE")),"INVALID"))))</f>
        <v/>
      </c>
      <c r="J573" s="33">
        <f>IF(OR(I573="OK",I573="BREACHED"),-INT(ROUND(-(H573)*100,6))/100,I573)</f>
        <v/>
      </c>
    </row>
    <row r="574" ht="18" customHeight="1">
      <c r="A574" s="9" t="n"/>
      <c r="B574" s="32" t="n"/>
      <c r="C574" s="12" t="n"/>
      <c r="D574" s="12" t="n"/>
      <c r="E574" s="12" t="n"/>
      <c r="F574" s="15">
        <f>IFERROR(MATCH($A574,Accounts!$A$2:$A$11,0),"")</f>
        <v/>
      </c>
      <c r="G574" s="14">
        <f>IFERROR(IF(OR($A574="",$F574=""),"",IF(INDEX(Accounts!$P$2:$P$11,$F574)="static",INDEX(Accounts!$Q$2:$Q$11,$F574),IF(INDEX(Accounts!$P$2:$P$11,$F574)="eod_trailing",MAX(INDEX(Accounts!$Q$2:$Q$11,$F574),_xlfn.MAXIFS($C$2:$C$1001,$A$2:$A$1001,$A574,$B$2:$B$1001,"&lt;"&amp;$B574)),MAX(INDEX(Accounts!$Q$2:$Q$11,$F574),_xlfn.MAXIFS($C$2:$C$1001,$A$2:$A$1001,$A574,$B$2:$B$1001,"&lt;"&amp;$B574),_xlfn.MAXIFS($D$2:$D$1001,$A$2:$A$1001,$A574,$B$2:$B$1001,"&lt;="&amp;$B574),$C574)))),"")</f>
        <v/>
      </c>
      <c r="H574" s="15">
        <f>IFERROR(IF(G574="","",IF(INDEX(Accounts!$P$2:$P$11,$F574)="static",INDEX(Accounts!$Q$2:$Q$11,$F574)-INDEX(Accounts!$R$2:$R$11,$F574),IF(INDEX(Accounts!$S$2:$S$11,$F574)="NONE",G574-INDEX(Accounts!$R$2:$R$11,$F574),MIN(G574-INDEX(Accounts!$R$2:$R$11,$F574),INDEX(Accounts!$Q$2:$Q$11,$F574)+INDEX(Accounts!$S$2:$S$11,$F574))))),"")</f>
        <v/>
      </c>
      <c r="I574" s="16">
        <f>IF(AND($A574="",$B574="",$C574="",$D574="",$E574=""),"",IF(OR($A574="",$F574=""),"UNKNOWN_ACCOUNT",IF(OR($B574="",$C574=""),"INCOMPLETE",IFERROR(IF(OR(NOT(ISNUMBER($B574)),NOT(ISNUMBER($C574)),IF(C574="",FALSE,IF(ISNUMBER(C574),OR(C574&lt;=0,C574&gt;100000000,ROUND(C574*100,6)&lt;&gt;INT(ROUND(C574*100,6))),TRUE)),IF(D574="",FALSE,IF(ISNUMBER(D574),OR(D574&lt;=0,D574&gt;100000000,ROUND(D574*100,6)&lt;&gt;INT(ROUND(D574*100,6))),TRUE)),IF(E574="",FALSE,IF(ISNUMBER(E574),OR(E574&lt;=0,E574&gt;100000000,ROUND(E574*100,6)&lt;&gt;INT(ROUND(E574*100,6))),TRUE)),AND($D574&lt;&gt;"",$D574&lt;MAX($C574,$E574)),AND($E574&lt;&gt;"",$E574&gt;MIN($C574,IF($D574="",$C574,$D574))),COUNTIFS($A$2:$A$1001,$A574,$B$2:$B$1001,$B574)&gt;1),"INVALID",IFERROR(IF(IF(INDEX(Accounts!$T$2:$T$11,$F574),ROUND(IF($E574="",$C574,MIN($C574,$E574))-(H574),6)&lt;=0,ROUND(IF($E574="",$C574,MIN($C574,$E574))-(H574),6)&lt;0),"BREACHED","OK"),"INCOMPLETE")),"INVALID"))))</f>
        <v/>
      </c>
      <c r="J574" s="33">
        <f>IF(OR(I574="OK",I574="BREACHED"),-INT(ROUND(-(H574)*100,6))/100,I574)</f>
        <v/>
      </c>
    </row>
    <row r="575" ht="18" customHeight="1">
      <c r="A575" s="9" t="n"/>
      <c r="B575" s="32" t="n"/>
      <c r="C575" s="12" t="n"/>
      <c r="D575" s="12" t="n"/>
      <c r="E575" s="12" t="n"/>
      <c r="F575" s="15">
        <f>IFERROR(MATCH($A575,Accounts!$A$2:$A$11,0),"")</f>
        <v/>
      </c>
      <c r="G575" s="14">
        <f>IFERROR(IF(OR($A575="",$F575=""),"",IF(INDEX(Accounts!$P$2:$P$11,$F575)="static",INDEX(Accounts!$Q$2:$Q$11,$F575),IF(INDEX(Accounts!$P$2:$P$11,$F575)="eod_trailing",MAX(INDEX(Accounts!$Q$2:$Q$11,$F575),_xlfn.MAXIFS($C$2:$C$1001,$A$2:$A$1001,$A575,$B$2:$B$1001,"&lt;"&amp;$B575)),MAX(INDEX(Accounts!$Q$2:$Q$11,$F575),_xlfn.MAXIFS($C$2:$C$1001,$A$2:$A$1001,$A575,$B$2:$B$1001,"&lt;"&amp;$B575),_xlfn.MAXIFS($D$2:$D$1001,$A$2:$A$1001,$A575,$B$2:$B$1001,"&lt;="&amp;$B575),$C575)))),"")</f>
        <v/>
      </c>
      <c r="H575" s="15">
        <f>IFERROR(IF(G575="","",IF(INDEX(Accounts!$P$2:$P$11,$F575)="static",INDEX(Accounts!$Q$2:$Q$11,$F575)-INDEX(Accounts!$R$2:$R$11,$F575),IF(INDEX(Accounts!$S$2:$S$11,$F575)="NONE",G575-INDEX(Accounts!$R$2:$R$11,$F575),MIN(G575-INDEX(Accounts!$R$2:$R$11,$F575),INDEX(Accounts!$Q$2:$Q$11,$F575)+INDEX(Accounts!$S$2:$S$11,$F575))))),"")</f>
        <v/>
      </c>
      <c r="I575" s="16">
        <f>IF(AND($A575="",$B575="",$C575="",$D575="",$E575=""),"",IF(OR($A575="",$F575=""),"UNKNOWN_ACCOUNT",IF(OR($B575="",$C575=""),"INCOMPLETE",IFERROR(IF(OR(NOT(ISNUMBER($B575)),NOT(ISNUMBER($C575)),IF(C575="",FALSE,IF(ISNUMBER(C575),OR(C575&lt;=0,C575&gt;100000000,ROUND(C575*100,6)&lt;&gt;INT(ROUND(C575*100,6))),TRUE)),IF(D575="",FALSE,IF(ISNUMBER(D575),OR(D575&lt;=0,D575&gt;100000000,ROUND(D575*100,6)&lt;&gt;INT(ROUND(D575*100,6))),TRUE)),IF(E575="",FALSE,IF(ISNUMBER(E575),OR(E575&lt;=0,E575&gt;100000000,ROUND(E575*100,6)&lt;&gt;INT(ROUND(E575*100,6))),TRUE)),AND($D575&lt;&gt;"",$D575&lt;MAX($C575,$E575)),AND($E575&lt;&gt;"",$E575&gt;MIN($C575,IF($D575="",$C575,$D575))),COUNTIFS($A$2:$A$1001,$A575,$B$2:$B$1001,$B575)&gt;1),"INVALID",IFERROR(IF(IF(INDEX(Accounts!$T$2:$T$11,$F575),ROUND(IF($E575="",$C575,MIN($C575,$E575))-(H575),6)&lt;=0,ROUND(IF($E575="",$C575,MIN($C575,$E575))-(H575),6)&lt;0),"BREACHED","OK"),"INCOMPLETE")),"INVALID"))))</f>
        <v/>
      </c>
      <c r="J575" s="33">
        <f>IF(OR(I575="OK",I575="BREACHED"),-INT(ROUND(-(H575)*100,6))/100,I575)</f>
        <v/>
      </c>
    </row>
    <row r="576" ht="18" customHeight="1">
      <c r="A576" s="9" t="n"/>
      <c r="B576" s="32" t="n"/>
      <c r="C576" s="12" t="n"/>
      <c r="D576" s="12" t="n"/>
      <c r="E576" s="12" t="n"/>
      <c r="F576" s="15">
        <f>IFERROR(MATCH($A576,Accounts!$A$2:$A$11,0),"")</f>
        <v/>
      </c>
      <c r="G576" s="14">
        <f>IFERROR(IF(OR($A576="",$F576=""),"",IF(INDEX(Accounts!$P$2:$P$11,$F576)="static",INDEX(Accounts!$Q$2:$Q$11,$F576),IF(INDEX(Accounts!$P$2:$P$11,$F576)="eod_trailing",MAX(INDEX(Accounts!$Q$2:$Q$11,$F576),_xlfn.MAXIFS($C$2:$C$1001,$A$2:$A$1001,$A576,$B$2:$B$1001,"&lt;"&amp;$B576)),MAX(INDEX(Accounts!$Q$2:$Q$11,$F576),_xlfn.MAXIFS($C$2:$C$1001,$A$2:$A$1001,$A576,$B$2:$B$1001,"&lt;"&amp;$B576),_xlfn.MAXIFS($D$2:$D$1001,$A$2:$A$1001,$A576,$B$2:$B$1001,"&lt;="&amp;$B576),$C576)))),"")</f>
        <v/>
      </c>
      <c r="H576" s="15">
        <f>IFERROR(IF(G576="","",IF(INDEX(Accounts!$P$2:$P$11,$F576)="static",INDEX(Accounts!$Q$2:$Q$11,$F576)-INDEX(Accounts!$R$2:$R$11,$F576),IF(INDEX(Accounts!$S$2:$S$11,$F576)="NONE",G576-INDEX(Accounts!$R$2:$R$11,$F576),MIN(G576-INDEX(Accounts!$R$2:$R$11,$F576),INDEX(Accounts!$Q$2:$Q$11,$F576)+INDEX(Accounts!$S$2:$S$11,$F576))))),"")</f>
        <v/>
      </c>
      <c r="I576" s="16">
        <f>IF(AND($A576="",$B576="",$C576="",$D576="",$E576=""),"",IF(OR($A576="",$F576=""),"UNKNOWN_ACCOUNT",IF(OR($B576="",$C576=""),"INCOMPLETE",IFERROR(IF(OR(NOT(ISNUMBER($B576)),NOT(ISNUMBER($C576)),IF(C576="",FALSE,IF(ISNUMBER(C576),OR(C576&lt;=0,C576&gt;100000000,ROUND(C576*100,6)&lt;&gt;INT(ROUND(C576*100,6))),TRUE)),IF(D576="",FALSE,IF(ISNUMBER(D576),OR(D576&lt;=0,D576&gt;100000000,ROUND(D576*100,6)&lt;&gt;INT(ROUND(D576*100,6))),TRUE)),IF(E576="",FALSE,IF(ISNUMBER(E576),OR(E576&lt;=0,E576&gt;100000000,ROUND(E576*100,6)&lt;&gt;INT(ROUND(E576*100,6))),TRUE)),AND($D576&lt;&gt;"",$D576&lt;MAX($C576,$E576)),AND($E576&lt;&gt;"",$E576&gt;MIN($C576,IF($D576="",$C576,$D576))),COUNTIFS($A$2:$A$1001,$A576,$B$2:$B$1001,$B576)&gt;1),"INVALID",IFERROR(IF(IF(INDEX(Accounts!$T$2:$T$11,$F576),ROUND(IF($E576="",$C576,MIN($C576,$E576))-(H576),6)&lt;=0,ROUND(IF($E576="",$C576,MIN($C576,$E576))-(H576),6)&lt;0),"BREACHED","OK"),"INCOMPLETE")),"INVALID"))))</f>
        <v/>
      </c>
      <c r="J576" s="33">
        <f>IF(OR(I576="OK",I576="BREACHED"),-INT(ROUND(-(H576)*100,6))/100,I576)</f>
        <v/>
      </c>
    </row>
    <row r="577" ht="18" customHeight="1">
      <c r="A577" s="9" t="n"/>
      <c r="B577" s="32" t="n"/>
      <c r="C577" s="12" t="n"/>
      <c r="D577" s="12" t="n"/>
      <c r="E577" s="12" t="n"/>
      <c r="F577" s="15">
        <f>IFERROR(MATCH($A577,Accounts!$A$2:$A$11,0),"")</f>
        <v/>
      </c>
      <c r="G577" s="14">
        <f>IFERROR(IF(OR($A577="",$F577=""),"",IF(INDEX(Accounts!$P$2:$P$11,$F577)="static",INDEX(Accounts!$Q$2:$Q$11,$F577),IF(INDEX(Accounts!$P$2:$P$11,$F577)="eod_trailing",MAX(INDEX(Accounts!$Q$2:$Q$11,$F577),_xlfn.MAXIFS($C$2:$C$1001,$A$2:$A$1001,$A577,$B$2:$B$1001,"&lt;"&amp;$B577)),MAX(INDEX(Accounts!$Q$2:$Q$11,$F577),_xlfn.MAXIFS($C$2:$C$1001,$A$2:$A$1001,$A577,$B$2:$B$1001,"&lt;"&amp;$B577),_xlfn.MAXIFS($D$2:$D$1001,$A$2:$A$1001,$A577,$B$2:$B$1001,"&lt;="&amp;$B577),$C577)))),"")</f>
        <v/>
      </c>
      <c r="H577" s="15">
        <f>IFERROR(IF(G577="","",IF(INDEX(Accounts!$P$2:$P$11,$F577)="static",INDEX(Accounts!$Q$2:$Q$11,$F577)-INDEX(Accounts!$R$2:$R$11,$F577),IF(INDEX(Accounts!$S$2:$S$11,$F577)="NONE",G577-INDEX(Accounts!$R$2:$R$11,$F577),MIN(G577-INDEX(Accounts!$R$2:$R$11,$F577),INDEX(Accounts!$Q$2:$Q$11,$F577)+INDEX(Accounts!$S$2:$S$11,$F577))))),"")</f>
        <v/>
      </c>
      <c r="I577" s="16">
        <f>IF(AND($A577="",$B577="",$C577="",$D577="",$E577=""),"",IF(OR($A577="",$F577=""),"UNKNOWN_ACCOUNT",IF(OR($B577="",$C577=""),"INCOMPLETE",IFERROR(IF(OR(NOT(ISNUMBER($B577)),NOT(ISNUMBER($C577)),IF(C577="",FALSE,IF(ISNUMBER(C577),OR(C577&lt;=0,C577&gt;100000000,ROUND(C577*100,6)&lt;&gt;INT(ROUND(C577*100,6))),TRUE)),IF(D577="",FALSE,IF(ISNUMBER(D577),OR(D577&lt;=0,D577&gt;100000000,ROUND(D577*100,6)&lt;&gt;INT(ROUND(D577*100,6))),TRUE)),IF(E577="",FALSE,IF(ISNUMBER(E577),OR(E577&lt;=0,E577&gt;100000000,ROUND(E577*100,6)&lt;&gt;INT(ROUND(E577*100,6))),TRUE)),AND($D577&lt;&gt;"",$D577&lt;MAX($C577,$E577)),AND($E577&lt;&gt;"",$E577&gt;MIN($C577,IF($D577="",$C577,$D577))),COUNTIFS($A$2:$A$1001,$A577,$B$2:$B$1001,$B577)&gt;1),"INVALID",IFERROR(IF(IF(INDEX(Accounts!$T$2:$T$11,$F577),ROUND(IF($E577="",$C577,MIN($C577,$E577))-(H577),6)&lt;=0,ROUND(IF($E577="",$C577,MIN($C577,$E577))-(H577),6)&lt;0),"BREACHED","OK"),"INCOMPLETE")),"INVALID"))))</f>
        <v/>
      </c>
      <c r="J577" s="33">
        <f>IF(OR(I577="OK",I577="BREACHED"),-INT(ROUND(-(H577)*100,6))/100,I577)</f>
        <v/>
      </c>
    </row>
    <row r="578" ht="18" customHeight="1">
      <c r="A578" s="9" t="n"/>
      <c r="B578" s="32" t="n"/>
      <c r="C578" s="12" t="n"/>
      <c r="D578" s="12" t="n"/>
      <c r="E578" s="12" t="n"/>
      <c r="F578" s="15">
        <f>IFERROR(MATCH($A578,Accounts!$A$2:$A$11,0),"")</f>
        <v/>
      </c>
      <c r="G578" s="14">
        <f>IFERROR(IF(OR($A578="",$F578=""),"",IF(INDEX(Accounts!$P$2:$P$11,$F578)="static",INDEX(Accounts!$Q$2:$Q$11,$F578),IF(INDEX(Accounts!$P$2:$P$11,$F578)="eod_trailing",MAX(INDEX(Accounts!$Q$2:$Q$11,$F578),_xlfn.MAXIFS($C$2:$C$1001,$A$2:$A$1001,$A578,$B$2:$B$1001,"&lt;"&amp;$B578)),MAX(INDEX(Accounts!$Q$2:$Q$11,$F578),_xlfn.MAXIFS($C$2:$C$1001,$A$2:$A$1001,$A578,$B$2:$B$1001,"&lt;"&amp;$B578),_xlfn.MAXIFS($D$2:$D$1001,$A$2:$A$1001,$A578,$B$2:$B$1001,"&lt;="&amp;$B578),$C578)))),"")</f>
        <v/>
      </c>
      <c r="H578" s="15">
        <f>IFERROR(IF(G578="","",IF(INDEX(Accounts!$P$2:$P$11,$F578)="static",INDEX(Accounts!$Q$2:$Q$11,$F578)-INDEX(Accounts!$R$2:$R$11,$F578),IF(INDEX(Accounts!$S$2:$S$11,$F578)="NONE",G578-INDEX(Accounts!$R$2:$R$11,$F578),MIN(G578-INDEX(Accounts!$R$2:$R$11,$F578),INDEX(Accounts!$Q$2:$Q$11,$F578)+INDEX(Accounts!$S$2:$S$11,$F578))))),"")</f>
        <v/>
      </c>
      <c r="I578" s="16">
        <f>IF(AND($A578="",$B578="",$C578="",$D578="",$E578=""),"",IF(OR($A578="",$F578=""),"UNKNOWN_ACCOUNT",IF(OR($B578="",$C578=""),"INCOMPLETE",IFERROR(IF(OR(NOT(ISNUMBER($B578)),NOT(ISNUMBER($C578)),IF(C578="",FALSE,IF(ISNUMBER(C578),OR(C578&lt;=0,C578&gt;100000000,ROUND(C578*100,6)&lt;&gt;INT(ROUND(C578*100,6))),TRUE)),IF(D578="",FALSE,IF(ISNUMBER(D578),OR(D578&lt;=0,D578&gt;100000000,ROUND(D578*100,6)&lt;&gt;INT(ROUND(D578*100,6))),TRUE)),IF(E578="",FALSE,IF(ISNUMBER(E578),OR(E578&lt;=0,E578&gt;100000000,ROUND(E578*100,6)&lt;&gt;INT(ROUND(E578*100,6))),TRUE)),AND($D578&lt;&gt;"",$D578&lt;MAX($C578,$E578)),AND($E578&lt;&gt;"",$E578&gt;MIN($C578,IF($D578="",$C578,$D578))),COUNTIFS($A$2:$A$1001,$A578,$B$2:$B$1001,$B578)&gt;1),"INVALID",IFERROR(IF(IF(INDEX(Accounts!$T$2:$T$11,$F578),ROUND(IF($E578="",$C578,MIN($C578,$E578))-(H578),6)&lt;=0,ROUND(IF($E578="",$C578,MIN($C578,$E578))-(H578),6)&lt;0),"BREACHED","OK"),"INCOMPLETE")),"INVALID"))))</f>
        <v/>
      </c>
      <c r="J578" s="33">
        <f>IF(OR(I578="OK",I578="BREACHED"),-INT(ROUND(-(H578)*100,6))/100,I578)</f>
        <v/>
      </c>
    </row>
    <row r="579" ht="18" customHeight="1">
      <c r="A579" s="9" t="n"/>
      <c r="B579" s="32" t="n"/>
      <c r="C579" s="12" t="n"/>
      <c r="D579" s="12" t="n"/>
      <c r="E579" s="12" t="n"/>
      <c r="F579" s="15">
        <f>IFERROR(MATCH($A579,Accounts!$A$2:$A$11,0),"")</f>
        <v/>
      </c>
      <c r="G579" s="14">
        <f>IFERROR(IF(OR($A579="",$F579=""),"",IF(INDEX(Accounts!$P$2:$P$11,$F579)="static",INDEX(Accounts!$Q$2:$Q$11,$F579),IF(INDEX(Accounts!$P$2:$P$11,$F579)="eod_trailing",MAX(INDEX(Accounts!$Q$2:$Q$11,$F579),_xlfn.MAXIFS($C$2:$C$1001,$A$2:$A$1001,$A579,$B$2:$B$1001,"&lt;"&amp;$B579)),MAX(INDEX(Accounts!$Q$2:$Q$11,$F579),_xlfn.MAXIFS($C$2:$C$1001,$A$2:$A$1001,$A579,$B$2:$B$1001,"&lt;"&amp;$B579),_xlfn.MAXIFS($D$2:$D$1001,$A$2:$A$1001,$A579,$B$2:$B$1001,"&lt;="&amp;$B579),$C579)))),"")</f>
        <v/>
      </c>
      <c r="H579" s="15">
        <f>IFERROR(IF(G579="","",IF(INDEX(Accounts!$P$2:$P$11,$F579)="static",INDEX(Accounts!$Q$2:$Q$11,$F579)-INDEX(Accounts!$R$2:$R$11,$F579),IF(INDEX(Accounts!$S$2:$S$11,$F579)="NONE",G579-INDEX(Accounts!$R$2:$R$11,$F579),MIN(G579-INDEX(Accounts!$R$2:$R$11,$F579),INDEX(Accounts!$Q$2:$Q$11,$F579)+INDEX(Accounts!$S$2:$S$11,$F579))))),"")</f>
        <v/>
      </c>
      <c r="I579" s="16">
        <f>IF(AND($A579="",$B579="",$C579="",$D579="",$E579=""),"",IF(OR($A579="",$F579=""),"UNKNOWN_ACCOUNT",IF(OR($B579="",$C579=""),"INCOMPLETE",IFERROR(IF(OR(NOT(ISNUMBER($B579)),NOT(ISNUMBER($C579)),IF(C579="",FALSE,IF(ISNUMBER(C579),OR(C579&lt;=0,C579&gt;100000000,ROUND(C579*100,6)&lt;&gt;INT(ROUND(C579*100,6))),TRUE)),IF(D579="",FALSE,IF(ISNUMBER(D579),OR(D579&lt;=0,D579&gt;100000000,ROUND(D579*100,6)&lt;&gt;INT(ROUND(D579*100,6))),TRUE)),IF(E579="",FALSE,IF(ISNUMBER(E579),OR(E579&lt;=0,E579&gt;100000000,ROUND(E579*100,6)&lt;&gt;INT(ROUND(E579*100,6))),TRUE)),AND($D579&lt;&gt;"",$D579&lt;MAX($C579,$E579)),AND($E579&lt;&gt;"",$E579&gt;MIN($C579,IF($D579="",$C579,$D579))),COUNTIFS($A$2:$A$1001,$A579,$B$2:$B$1001,$B579)&gt;1),"INVALID",IFERROR(IF(IF(INDEX(Accounts!$T$2:$T$11,$F579),ROUND(IF($E579="",$C579,MIN($C579,$E579))-(H579),6)&lt;=0,ROUND(IF($E579="",$C579,MIN($C579,$E579))-(H579),6)&lt;0),"BREACHED","OK"),"INCOMPLETE")),"INVALID"))))</f>
        <v/>
      </c>
      <c r="J579" s="33">
        <f>IF(OR(I579="OK",I579="BREACHED"),-INT(ROUND(-(H579)*100,6))/100,I579)</f>
        <v/>
      </c>
    </row>
    <row r="580" ht="18" customHeight="1">
      <c r="A580" s="9" t="n"/>
      <c r="B580" s="32" t="n"/>
      <c r="C580" s="12" t="n"/>
      <c r="D580" s="12" t="n"/>
      <c r="E580" s="12" t="n"/>
      <c r="F580" s="15">
        <f>IFERROR(MATCH($A580,Accounts!$A$2:$A$11,0),"")</f>
        <v/>
      </c>
      <c r="G580" s="14">
        <f>IFERROR(IF(OR($A580="",$F580=""),"",IF(INDEX(Accounts!$P$2:$P$11,$F580)="static",INDEX(Accounts!$Q$2:$Q$11,$F580),IF(INDEX(Accounts!$P$2:$P$11,$F580)="eod_trailing",MAX(INDEX(Accounts!$Q$2:$Q$11,$F580),_xlfn.MAXIFS($C$2:$C$1001,$A$2:$A$1001,$A580,$B$2:$B$1001,"&lt;"&amp;$B580)),MAX(INDEX(Accounts!$Q$2:$Q$11,$F580),_xlfn.MAXIFS($C$2:$C$1001,$A$2:$A$1001,$A580,$B$2:$B$1001,"&lt;"&amp;$B580),_xlfn.MAXIFS($D$2:$D$1001,$A$2:$A$1001,$A580,$B$2:$B$1001,"&lt;="&amp;$B580),$C580)))),"")</f>
        <v/>
      </c>
      <c r="H580" s="15">
        <f>IFERROR(IF(G580="","",IF(INDEX(Accounts!$P$2:$P$11,$F580)="static",INDEX(Accounts!$Q$2:$Q$11,$F580)-INDEX(Accounts!$R$2:$R$11,$F580),IF(INDEX(Accounts!$S$2:$S$11,$F580)="NONE",G580-INDEX(Accounts!$R$2:$R$11,$F580),MIN(G580-INDEX(Accounts!$R$2:$R$11,$F580),INDEX(Accounts!$Q$2:$Q$11,$F580)+INDEX(Accounts!$S$2:$S$11,$F580))))),"")</f>
        <v/>
      </c>
      <c r="I580" s="16">
        <f>IF(AND($A580="",$B580="",$C580="",$D580="",$E580=""),"",IF(OR($A580="",$F580=""),"UNKNOWN_ACCOUNT",IF(OR($B580="",$C580=""),"INCOMPLETE",IFERROR(IF(OR(NOT(ISNUMBER($B580)),NOT(ISNUMBER($C580)),IF(C580="",FALSE,IF(ISNUMBER(C580),OR(C580&lt;=0,C580&gt;100000000,ROUND(C580*100,6)&lt;&gt;INT(ROUND(C580*100,6))),TRUE)),IF(D580="",FALSE,IF(ISNUMBER(D580),OR(D580&lt;=0,D580&gt;100000000,ROUND(D580*100,6)&lt;&gt;INT(ROUND(D580*100,6))),TRUE)),IF(E580="",FALSE,IF(ISNUMBER(E580),OR(E580&lt;=0,E580&gt;100000000,ROUND(E580*100,6)&lt;&gt;INT(ROUND(E580*100,6))),TRUE)),AND($D580&lt;&gt;"",$D580&lt;MAX($C580,$E580)),AND($E580&lt;&gt;"",$E580&gt;MIN($C580,IF($D580="",$C580,$D580))),COUNTIFS($A$2:$A$1001,$A580,$B$2:$B$1001,$B580)&gt;1),"INVALID",IFERROR(IF(IF(INDEX(Accounts!$T$2:$T$11,$F580),ROUND(IF($E580="",$C580,MIN($C580,$E580))-(H580),6)&lt;=0,ROUND(IF($E580="",$C580,MIN($C580,$E580))-(H580),6)&lt;0),"BREACHED","OK"),"INCOMPLETE")),"INVALID"))))</f>
        <v/>
      </c>
      <c r="J580" s="33">
        <f>IF(OR(I580="OK",I580="BREACHED"),-INT(ROUND(-(H580)*100,6))/100,I580)</f>
        <v/>
      </c>
    </row>
    <row r="581" ht="18" customHeight="1">
      <c r="A581" s="9" t="n"/>
      <c r="B581" s="32" t="n"/>
      <c r="C581" s="12" t="n"/>
      <c r="D581" s="12" t="n"/>
      <c r="E581" s="12" t="n"/>
      <c r="F581" s="15">
        <f>IFERROR(MATCH($A581,Accounts!$A$2:$A$11,0),"")</f>
        <v/>
      </c>
      <c r="G581" s="14">
        <f>IFERROR(IF(OR($A581="",$F581=""),"",IF(INDEX(Accounts!$P$2:$P$11,$F581)="static",INDEX(Accounts!$Q$2:$Q$11,$F581),IF(INDEX(Accounts!$P$2:$P$11,$F581)="eod_trailing",MAX(INDEX(Accounts!$Q$2:$Q$11,$F581),_xlfn.MAXIFS($C$2:$C$1001,$A$2:$A$1001,$A581,$B$2:$B$1001,"&lt;"&amp;$B581)),MAX(INDEX(Accounts!$Q$2:$Q$11,$F581),_xlfn.MAXIFS($C$2:$C$1001,$A$2:$A$1001,$A581,$B$2:$B$1001,"&lt;"&amp;$B581),_xlfn.MAXIFS($D$2:$D$1001,$A$2:$A$1001,$A581,$B$2:$B$1001,"&lt;="&amp;$B581),$C581)))),"")</f>
        <v/>
      </c>
      <c r="H581" s="15">
        <f>IFERROR(IF(G581="","",IF(INDEX(Accounts!$P$2:$P$11,$F581)="static",INDEX(Accounts!$Q$2:$Q$11,$F581)-INDEX(Accounts!$R$2:$R$11,$F581),IF(INDEX(Accounts!$S$2:$S$11,$F581)="NONE",G581-INDEX(Accounts!$R$2:$R$11,$F581),MIN(G581-INDEX(Accounts!$R$2:$R$11,$F581),INDEX(Accounts!$Q$2:$Q$11,$F581)+INDEX(Accounts!$S$2:$S$11,$F581))))),"")</f>
        <v/>
      </c>
      <c r="I581" s="16">
        <f>IF(AND($A581="",$B581="",$C581="",$D581="",$E581=""),"",IF(OR($A581="",$F581=""),"UNKNOWN_ACCOUNT",IF(OR($B581="",$C581=""),"INCOMPLETE",IFERROR(IF(OR(NOT(ISNUMBER($B581)),NOT(ISNUMBER($C581)),IF(C581="",FALSE,IF(ISNUMBER(C581),OR(C581&lt;=0,C581&gt;100000000,ROUND(C581*100,6)&lt;&gt;INT(ROUND(C581*100,6))),TRUE)),IF(D581="",FALSE,IF(ISNUMBER(D581),OR(D581&lt;=0,D581&gt;100000000,ROUND(D581*100,6)&lt;&gt;INT(ROUND(D581*100,6))),TRUE)),IF(E581="",FALSE,IF(ISNUMBER(E581),OR(E581&lt;=0,E581&gt;100000000,ROUND(E581*100,6)&lt;&gt;INT(ROUND(E581*100,6))),TRUE)),AND($D581&lt;&gt;"",$D581&lt;MAX($C581,$E581)),AND($E581&lt;&gt;"",$E581&gt;MIN($C581,IF($D581="",$C581,$D581))),COUNTIFS($A$2:$A$1001,$A581,$B$2:$B$1001,$B581)&gt;1),"INVALID",IFERROR(IF(IF(INDEX(Accounts!$T$2:$T$11,$F581),ROUND(IF($E581="",$C581,MIN($C581,$E581))-(H581),6)&lt;=0,ROUND(IF($E581="",$C581,MIN($C581,$E581))-(H581),6)&lt;0),"BREACHED","OK"),"INCOMPLETE")),"INVALID"))))</f>
        <v/>
      </c>
      <c r="J581" s="33">
        <f>IF(OR(I581="OK",I581="BREACHED"),-INT(ROUND(-(H581)*100,6))/100,I581)</f>
        <v/>
      </c>
    </row>
    <row r="582" ht="18" customHeight="1">
      <c r="A582" s="9" t="n"/>
      <c r="B582" s="32" t="n"/>
      <c r="C582" s="12" t="n"/>
      <c r="D582" s="12" t="n"/>
      <c r="E582" s="12" t="n"/>
      <c r="F582" s="15">
        <f>IFERROR(MATCH($A582,Accounts!$A$2:$A$11,0),"")</f>
        <v/>
      </c>
      <c r="G582" s="14">
        <f>IFERROR(IF(OR($A582="",$F582=""),"",IF(INDEX(Accounts!$P$2:$P$11,$F582)="static",INDEX(Accounts!$Q$2:$Q$11,$F582),IF(INDEX(Accounts!$P$2:$P$11,$F582)="eod_trailing",MAX(INDEX(Accounts!$Q$2:$Q$11,$F582),_xlfn.MAXIFS($C$2:$C$1001,$A$2:$A$1001,$A582,$B$2:$B$1001,"&lt;"&amp;$B582)),MAX(INDEX(Accounts!$Q$2:$Q$11,$F582),_xlfn.MAXIFS($C$2:$C$1001,$A$2:$A$1001,$A582,$B$2:$B$1001,"&lt;"&amp;$B582),_xlfn.MAXIFS($D$2:$D$1001,$A$2:$A$1001,$A582,$B$2:$B$1001,"&lt;="&amp;$B582),$C582)))),"")</f>
        <v/>
      </c>
      <c r="H582" s="15">
        <f>IFERROR(IF(G582="","",IF(INDEX(Accounts!$P$2:$P$11,$F582)="static",INDEX(Accounts!$Q$2:$Q$11,$F582)-INDEX(Accounts!$R$2:$R$11,$F582),IF(INDEX(Accounts!$S$2:$S$11,$F582)="NONE",G582-INDEX(Accounts!$R$2:$R$11,$F582),MIN(G582-INDEX(Accounts!$R$2:$R$11,$F582),INDEX(Accounts!$Q$2:$Q$11,$F582)+INDEX(Accounts!$S$2:$S$11,$F582))))),"")</f>
        <v/>
      </c>
      <c r="I582" s="16">
        <f>IF(AND($A582="",$B582="",$C582="",$D582="",$E582=""),"",IF(OR($A582="",$F582=""),"UNKNOWN_ACCOUNT",IF(OR($B582="",$C582=""),"INCOMPLETE",IFERROR(IF(OR(NOT(ISNUMBER($B582)),NOT(ISNUMBER($C582)),IF(C582="",FALSE,IF(ISNUMBER(C582),OR(C582&lt;=0,C582&gt;100000000,ROUND(C582*100,6)&lt;&gt;INT(ROUND(C582*100,6))),TRUE)),IF(D582="",FALSE,IF(ISNUMBER(D582),OR(D582&lt;=0,D582&gt;100000000,ROUND(D582*100,6)&lt;&gt;INT(ROUND(D582*100,6))),TRUE)),IF(E582="",FALSE,IF(ISNUMBER(E582),OR(E582&lt;=0,E582&gt;100000000,ROUND(E582*100,6)&lt;&gt;INT(ROUND(E582*100,6))),TRUE)),AND($D582&lt;&gt;"",$D582&lt;MAX($C582,$E582)),AND($E582&lt;&gt;"",$E582&gt;MIN($C582,IF($D582="",$C582,$D582))),COUNTIFS($A$2:$A$1001,$A582,$B$2:$B$1001,$B582)&gt;1),"INVALID",IFERROR(IF(IF(INDEX(Accounts!$T$2:$T$11,$F582),ROUND(IF($E582="",$C582,MIN($C582,$E582))-(H582),6)&lt;=0,ROUND(IF($E582="",$C582,MIN($C582,$E582))-(H582),6)&lt;0),"BREACHED","OK"),"INCOMPLETE")),"INVALID"))))</f>
        <v/>
      </c>
      <c r="J582" s="33">
        <f>IF(OR(I582="OK",I582="BREACHED"),-INT(ROUND(-(H582)*100,6))/100,I582)</f>
        <v/>
      </c>
    </row>
    <row r="583" ht="18" customHeight="1">
      <c r="A583" s="9" t="n"/>
      <c r="B583" s="32" t="n"/>
      <c r="C583" s="12" t="n"/>
      <c r="D583" s="12" t="n"/>
      <c r="E583" s="12" t="n"/>
      <c r="F583" s="15">
        <f>IFERROR(MATCH($A583,Accounts!$A$2:$A$11,0),"")</f>
        <v/>
      </c>
      <c r="G583" s="14">
        <f>IFERROR(IF(OR($A583="",$F583=""),"",IF(INDEX(Accounts!$P$2:$P$11,$F583)="static",INDEX(Accounts!$Q$2:$Q$11,$F583),IF(INDEX(Accounts!$P$2:$P$11,$F583)="eod_trailing",MAX(INDEX(Accounts!$Q$2:$Q$11,$F583),_xlfn.MAXIFS($C$2:$C$1001,$A$2:$A$1001,$A583,$B$2:$B$1001,"&lt;"&amp;$B583)),MAX(INDEX(Accounts!$Q$2:$Q$11,$F583),_xlfn.MAXIFS($C$2:$C$1001,$A$2:$A$1001,$A583,$B$2:$B$1001,"&lt;"&amp;$B583),_xlfn.MAXIFS($D$2:$D$1001,$A$2:$A$1001,$A583,$B$2:$B$1001,"&lt;="&amp;$B583),$C583)))),"")</f>
        <v/>
      </c>
      <c r="H583" s="15">
        <f>IFERROR(IF(G583="","",IF(INDEX(Accounts!$P$2:$P$11,$F583)="static",INDEX(Accounts!$Q$2:$Q$11,$F583)-INDEX(Accounts!$R$2:$R$11,$F583),IF(INDEX(Accounts!$S$2:$S$11,$F583)="NONE",G583-INDEX(Accounts!$R$2:$R$11,$F583),MIN(G583-INDEX(Accounts!$R$2:$R$11,$F583),INDEX(Accounts!$Q$2:$Q$11,$F583)+INDEX(Accounts!$S$2:$S$11,$F583))))),"")</f>
        <v/>
      </c>
      <c r="I583" s="16">
        <f>IF(AND($A583="",$B583="",$C583="",$D583="",$E583=""),"",IF(OR($A583="",$F583=""),"UNKNOWN_ACCOUNT",IF(OR($B583="",$C583=""),"INCOMPLETE",IFERROR(IF(OR(NOT(ISNUMBER($B583)),NOT(ISNUMBER($C583)),IF(C583="",FALSE,IF(ISNUMBER(C583),OR(C583&lt;=0,C583&gt;100000000,ROUND(C583*100,6)&lt;&gt;INT(ROUND(C583*100,6))),TRUE)),IF(D583="",FALSE,IF(ISNUMBER(D583),OR(D583&lt;=0,D583&gt;100000000,ROUND(D583*100,6)&lt;&gt;INT(ROUND(D583*100,6))),TRUE)),IF(E583="",FALSE,IF(ISNUMBER(E583),OR(E583&lt;=0,E583&gt;100000000,ROUND(E583*100,6)&lt;&gt;INT(ROUND(E583*100,6))),TRUE)),AND($D583&lt;&gt;"",$D583&lt;MAX($C583,$E583)),AND($E583&lt;&gt;"",$E583&gt;MIN($C583,IF($D583="",$C583,$D583))),COUNTIFS($A$2:$A$1001,$A583,$B$2:$B$1001,$B583)&gt;1),"INVALID",IFERROR(IF(IF(INDEX(Accounts!$T$2:$T$11,$F583),ROUND(IF($E583="",$C583,MIN($C583,$E583))-(H583),6)&lt;=0,ROUND(IF($E583="",$C583,MIN($C583,$E583))-(H583),6)&lt;0),"BREACHED","OK"),"INCOMPLETE")),"INVALID"))))</f>
        <v/>
      </c>
      <c r="J583" s="33">
        <f>IF(OR(I583="OK",I583="BREACHED"),-INT(ROUND(-(H583)*100,6))/100,I583)</f>
        <v/>
      </c>
    </row>
    <row r="584" ht="18" customHeight="1">
      <c r="A584" s="9" t="n"/>
      <c r="B584" s="32" t="n"/>
      <c r="C584" s="12" t="n"/>
      <c r="D584" s="12" t="n"/>
      <c r="E584" s="12" t="n"/>
      <c r="F584" s="15">
        <f>IFERROR(MATCH($A584,Accounts!$A$2:$A$11,0),"")</f>
        <v/>
      </c>
      <c r="G584" s="14">
        <f>IFERROR(IF(OR($A584="",$F584=""),"",IF(INDEX(Accounts!$P$2:$P$11,$F584)="static",INDEX(Accounts!$Q$2:$Q$11,$F584),IF(INDEX(Accounts!$P$2:$P$11,$F584)="eod_trailing",MAX(INDEX(Accounts!$Q$2:$Q$11,$F584),_xlfn.MAXIFS($C$2:$C$1001,$A$2:$A$1001,$A584,$B$2:$B$1001,"&lt;"&amp;$B584)),MAX(INDEX(Accounts!$Q$2:$Q$11,$F584),_xlfn.MAXIFS($C$2:$C$1001,$A$2:$A$1001,$A584,$B$2:$B$1001,"&lt;"&amp;$B584),_xlfn.MAXIFS($D$2:$D$1001,$A$2:$A$1001,$A584,$B$2:$B$1001,"&lt;="&amp;$B584),$C584)))),"")</f>
        <v/>
      </c>
      <c r="H584" s="15">
        <f>IFERROR(IF(G584="","",IF(INDEX(Accounts!$P$2:$P$11,$F584)="static",INDEX(Accounts!$Q$2:$Q$11,$F584)-INDEX(Accounts!$R$2:$R$11,$F584),IF(INDEX(Accounts!$S$2:$S$11,$F584)="NONE",G584-INDEX(Accounts!$R$2:$R$11,$F584),MIN(G584-INDEX(Accounts!$R$2:$R$11,$F584),INDEX(Accounts!$Q$2:$Q$11,$F584)+INDEX(Accounts!$S$2:$S$11,$F584))))),"")</f>
        <v/>
      </c>
      <c r="I584" s="16">
        <f>IF(AND($A584="",$B584="",$C584="",$D584="",$E584=""),"",IF(OR($A584="",$F584=""),"UNKNOWN_ACCOUNT",IF(OR($B584="",$C584=""),"INCOMPLETE",IFERROR(IF(OR(NOT(ISNUMBER($B584)),NOT(ISNUMBER($C584)),IF(C584="",FALSE,IF(ISNUMBER(C584),OR(C584&lt;=0,C584&gt;100000000,ROUND(C584*100,6)&lt;&gt;INT(ROUND(C584*100,6))),TRUE)),IF(D584="",FALSE,IF(ISNUMBER(D584),OR(D584&lt;=0,D584&gt;100000000,ROUND(D584*100,6)&lt;&gt;INT(ROUND(D584*100,6))),TRUE)),IF(E584="",FALSE,IF(ISNUMBER(E584),OR(E584&lt;=0,E584&gt;100000000,ROUND(E584*100,6)&lt;&gt;INT(ROUND(E584*100,6))),TRUE)),AND($D584&lt;&gt;"",$D584&lt;MAX($C584,$E584)),AND($E584&lt;&gt;"",$E584&gt;MIN($C584,IF($D584="",$C584,$D584))),COUNTIFS($A$2:$A$1001,$A584,$B$2:$B$1001,$B584)&gt;1),"INVALID",IFERROR(IF(IF(INDEX(Accounts!$T$2:$T$11,$F584),ROUND(IF($E584="",$C584,MIN($C584,$E584))-(H584),6)&lt;=0,ROUND(IF($E584="",$C584,MIN($C584,$E584))-(H584),6)&lt;0),"BREACHED","OK"),"INCOMPLETE")),"INVALID"))))</f>
        <v/>
      </c>
      <c r="J584" s="33">
        <f>IF(OR(I584="OK",I584="BREACHED"),-INT(ROUND(-(H584)*100,6))/100,I584)</f>
        <v/>
      </c>
    </row>
    <row r="585" ht="18" customHeight="1">
      <c r="A585" s="9" t="n"/>
      <c r="B585" s="32" t="n"/>
      <c r="C585" s="12" t="n"/>
      <c r="D585" s="12" t="n"/>
      <c r="E585" s="12" t="n"/>
      <c r="F585" s="15">
        <f>IFERROR(MATCH($A585,Accounts!$A$2:$A$11,0),"")</f>
        <v/>
      </c>
      <c r="G585" s="14">
        <f>IFERROR(IF(OR($A585="",$F585=""),"",IF(INDEX(Accounts!$P$2:$P$11,$F585)="static",INDEX(Accounts!$Q$2:$Q$11,$F585),IF(INDEX(Accounts!$P$2:$P$11,$F585)="eod_trailing",MAX(INDEX(Accounts!$Q$2:$Q$11,$F585),_xlfn.MAXIFS($C$2:$C$1001,$A$2:$A$1001,$A585,$B$2:$B$1001,"&lt;"&amp;$B585)),MAX(INDEX(Accounts!$Q$2:$Q$11,$F585),_xlfn.MAXIFS($C$2:$C$1001,$A$2:$A$1001,$A585,$B$2:$B$1001,"&lt;"&amp;$B585),_xlfn.MAXIFS($D$2:$D$1001,$A$2:$A$1001,$A585,$B$2:$B$1001,"&lt;="&amp;$B585),$C585)))),"")</f>
        <v/>
      </c>
      <c r="H585" s="15">
        <f>IFERROR(IF(G585="","",IF(INDEX(Accounts!$P$2:$P$11,$F585)="static",INDEX(Accounts!$Q$2:$Q$11,$F585)-INDEX(Accounts!$R$2:$R$11,$F585),IF(INDEX(Accounts!$S$2:$S$11,$F585)="NONE",G585-INDEX(Accounts!$R$2:$R$11,$F585),MIN(G585-INDEX(Accounts!$R$2:$R$11,$F585),INDEX(Accounts!$Q$2:$Q$11,$F585)+INDEX(Accounts!$S$2:$S$11,$F585))))),"")</f>
        <v/>
      </c>
      <c r="I585" s="16">
        <f>IF(AND($A585="",$B585="",$C585="",$D585="",$E585=""),"",IF(OR($A585="",$F585=""),"UNKNOWN_ACCOUNT",IF(OR($B585="",$C585=""),"INCOMPLETE",IFERROR(IF(OR(NOT(ISNUMBER($B585)),NOT(ISNUMBER($C585)),IF(C585="",FALSE,IF(ISNUMBER(C585),OR(C585&lt;=0,C585&gt;100000000,ROUND(C585*100,6)&lt;&gt;INT(ROUND(C585*100,6))),TRUE)),IF(D585="",FALSE,IF(ISNUMBER(D585),OR(D585&lt;=0,D585&gt;100000000,ROUND(D585*100,6)&lt;&gt;INT(ROUND(D585*100,6))),TRUE)),IF(E585="",FALSE,IF(ISNUMBER(E585),OR(E585&lt;=0,E585&gt;100000000,ROUND(E585*100,6)&lt;&gt;INT(ROUND(E585*100,6))),TRUE)),AND($D585&lt;&gt;"",$D585&lt;MAX($C585,$E585)),AND($E585&lt;&gt;"",$E585&gt;MIN($C585,IF($D585="",$C585,$D585))),COUNTIFS($A$2:$A$1001,$A585,$B$2:$B$1001,$B585)&gt;1),"INVALID",IFERROR(IF(IF(INDEX(Accounts!$T$2:$T$11,$F585),ROUND(IF($E585="",$C585,MIN($C585,$E585))-(H585),6)&lt;=0,ROUND(IF($E585="",$C585,MIN($C585,$E585))-(H585),6)&lt;0),"BREACHED","OK"),"INCOMPLETE")),"INVALID"))))</f>
        <v/>
      </c>
      <c r="J585" s="33">
        <f>IF(OR(I585="OK",I585="BREACHED"),-INT(ROUND(-(H585)*100,6))/100,I585)</f>
        <v/>
      </c>
    </row>
    <row r="586" ht="18" customHeight="1">
      <c r="A586" s="9" t="n"/>
      <c r="B586" s="32" t="n"/>
      <c r="C586" s="12" t="n"/>
      <c r="D586" s="12" t="n"/>
      <c r="E586" s="12" t="n"/>
      <c r="F586" s="15">
        <f>IFERROR(MATCH($A586,Accounts!$A$2:$A$11,0),"")</f>
        <v/>
      </c>
      <c r="G586" s="14">
        <f>IFERROR(IF(OR($A586="",$F586=""),"",IF(INDEX(Accounts!$P$2:$P$11,$F586)="static",INDEX(Accounts!$Q$2:$Q$11,$F586),IF(INDEX(Accounts!$P$2:$P$11,$F586)="eod_trailing",MAX(INDEX(Accounts!$Q$2:$Q$11,$F586),_xlfn.MAXIFS($C$2:$C$1001,$A$2:$A$1001,$A586,$B$2:$B$1001,"&lt;"&amp;$B586)),MAX(INDEX(Accounts!$Q$2:$Q$11,$F586),_xlfn.MAXIFS($C$2:$C$1001,$A$2:$A$1001,$A586,$B$2:$B$1001,"&lt;"&amp;$B586),_xlfn.MAXIFS($D$2:$D$1001,$A$2:$A$1001,$A586,$B$2:$B$1001,"&lt;="&amp;$B586),$C586)))),"")</f>
        <v/>
      </c>
      <c r="H586" s="15">
        <f>IFERROR(IF(G586="","",IF(INDEX(Accounts!$P$2:$P$11,$F586)="static",INDEX(Accounts!$Q$2:$Q$11,$F586)-INDEX(Accounts!$R$2:$R$11,$F586),IF(INDEX(Accounts!$S$2:$S$11,$F586)="NONE",G586-INDEX(Accounts!$R$2:$R$11,$F586),MIN(G586-INDEX(Accounts!$R$2:$R$11,$F586),INDEX(Accounts!$Q$2:$Q$11,$F586)+INDEX(Accounts!$S$2:$S$11,$F586))))),"")</f>
        <v/>
      </c>
      <c r="I586" s="16">
        <f>IF(AND($A586="",$B586="",$C586="",$D586="",$E586=""),"",IF(OR($A586="",$F586=""),"UNKNOWN_ACCOUNT",IF(OR($B586="",$C586=""),"INCOMPLETE",IFERROR(IF(OR(NOT(ISNUMBER($B586)),NOT(ISNUMBER($C586)),IF(C586="",FALSE,IF(ISNUMBER(C586),OR(C586&lt;=0,C586&gt;100000000,ROUND(C586*100,6)&lt;&gt;INT(ROUND(C586*100,6))),TRUE)),IF(D586="",FALSE,IF(ISNUMBER(D586),OR(D586&lt;=0,D586&gt;100000000,ROUND(D586*100,6)&lt;&gt;INT(ROUND(D586*100,6))),TRUE)),IF(E586="",FALSE,IF(ISNUMBER(E586),OR(E586&lt;=0,E586&gt;100000000,ROUND(E586*100,6)&lt;&gt;INT(ROUND(E586*100,6))),TRUE)),AND($D586&lt;&gt;"",$D586&lt;MAX($C586,$E586)),AND($E586&lt;&gt;"",$E586&gt;MIN($C586,IF($D586="",$C586,$D586))),COUNTIFS($A$2:$A$1001,$A586,$B$2:$B$1001,$B586)&gt;1),"INVALID",IFERROR(IF(IF(INDEX(Accounts!$T$2:$T$11,$F586),ROUND(IF($E586="",$C586,MIN($C586,$E586))-(H586),6)&lt;=0,ROUND(IF($E586="",$C586,MIN($C586,$E586))-(H586),6)&lt;0),"BREACHED","OK"),"INCOMPLETE")),"INVALID"))))</f>
        <v/>
      </c>
      <c r="J586" s="33">
        <f>IF(OR(I586="OK",I586="BREACHED"),-INT(ROUND(-(H586)*100,6))/100,I586)</f>
        <v/>
      </c>
    </row>
    <row r="587" ht="18" customHeight="1">
      <c r="A587" s="9" t="n"/>
      <c r="B587" s="32" t="n"/>
      <c r="C587" s="12" t="n"/>
      <c r="D587" s="12" t="n"/>
      <c r="E587" s="12" t="n"/>
      <c r="F587" s="15">
        <f>IFERROR(MATCH($A587,Accounts!$A$2:$A$11,0),"")</f>
        <v/>
      </c>
      <c r="G587" s="14">
        <f>IFERROR(IF(OR($A587="",$F587=""),"",IF(INDEX(Accounts!$P$2:$P$11,$F587)="static",INDEX(Accounts!$Q$2:$Q$11,$F587),IF(INDEX(Accounts!$P$2:$P$11,$F587)="eod_trailing",MAX(INDEX(Accounts!$Q$2:$Q$11,$F587),_xlfn.MAXIFS($C$2:$C$1001,$A$2:$A$1001,$A587,$B$2:$B$1001,"&lt;"&amp;$B587)),MAX(INDEX(Accounts!$Q$2:$Q$11,$F587),_xlfn.MAXIFS($C$2:$C$1001,$A$2:$A$1001,$A587,$B$2:$B$1001,"&lt;"&amp;$B587),_xlfn.MAXIFS($D$2:$D$1001,$A$2:$A$1001,$A587,$B$2:$B$1001,"&lt;="&amp;$B587),$C587)))),"")</f>
        <v/>
      </c>
      <c r="H587" s="15">
        <f>IFERROR(IF(G587="","",IF(INDEX(Accounts!$P$2:$P$11,$F587)="static",INDEX(Accounts!$Q$2:$Q$11,$F587)-INDEX(Accounts!$R$2:$R$11,$F587),IF(INDEX(Accounts!$S$2:$S$11,$F587)="NONE",G587-INDEX(Accounts!$R$2:$R$11,$F587),MIN(G587-INDEX(Accounts!$R$2:$R$11,$F587),INDEX(Accounts!$Q$2:$Q$11,$F587)+INDEX(Accounts!$S$2:$S$11,$F587))))),"")</f>
        <v/>
      </c>
      <c r="I587" s="16">
        <f>IF(AND($A587="",$B587="",$C587="",$D587="",$E587=""),"",IF(OR($A587="",$F587=""),"UNKNOWN_ACCOUNT",IF(OR($B587="",$C587=""),"INCOMPLETE",IFERROR(IF(OR(NOT(ISNUMBER($B587)),NOT(ISNUMBER($C587)),IF(C587="",FALSE,IF(ISNUMBER(C587),OR(C587&lt;=0,C587&gt;100000000,ROUND(C587*100,6)&lt;&gt;INT(ROUND(C587*100,6))),TRUE)),IF(D587="",FALSE,IF(ISNUMBER(D587),OR(D587&lt;=0,D587&gt;100000000,ROUND(D587*100,6)&lt;&gt;INT(ROUND(D587*100,6))),TRUE)),IF(E587="",FALSE,IF(ISNUMBER(E587),OR(E587&lt;=0,E587&gt;100000000,ROUND(E587*100,6)&lt;&gt;INT(ROUND(E587*100,6))),TRUE)),AND($D587&lt;&gt;"",$D587&lt;MAX($C587,$E587)),AND($E587&lt;&gt;"",$E587&gt;MIN($C587,IF($D587="",$C587,$D587))),COUNTIFS($A$2:$A$1001,$A587,$B$2:$B$1001,$B587)&gt;1),"INVALID",IFERROR(IF(IF(INDEX(Accounts!$T$2:$T$11,$F587),ROUND(IF($E587="",$C587,MIN($C587,$E587))-(H587),6)&lt;=0,ROUND(IF($E587="",$C587,MIN($C587,$E587))-(H587),6)&lt;0),"BREACHED","OK"),"INCOMPLETE")),"INVALID"))))</f>
        <v/>
      </c>
      <c r="J587" s="33">
        <f>IF(OR(I587="OK",I587="BREACHED"),-INT(ROUND(-(H587)*100,6))/100,I587)</f>
        <v/>
      </c>
    </row>
    <row r="588" ht="18" customHeight="1">
      <c r="A588" s="9" t="n"/>
      <c r="B588" s="32" t="n"/>
      <c r="C588" s="12" t="n"/>
      <c r="D588" s="12" t="n"/>
      <c r="E588" s="12" t="n"/>
      <c r="F588" s="15">
        <f>IFERROR(MATCH($A588,Accounts!$A$2:$A$11,0),"")</f>
        <v/>
      </c>
      <c r="G588" s="14">
        <f>IFERROR(IF(OR($A588="",$F588=""),"",IF(INDEX(Accounts!$P$2:$P$11,$F588)="static",INDEX(Accounts!$Q$2:$Q$11,$F588),IF(INDEX(Accounts!$P$2:$P$11,$F588)="eod_trailing",MAX(INDEX(Accounts!$Q$2:$Q$11,$F588),_xlfn.MAXIFS($C$2:$C$1001,$A$2:$A$1001,$A588,$B$2:$B$1001,"&lt;"&amp;$B588)),MAX(INDEX(Accounts!$Q$2:$Q$11,$F588),_xlfn.MAXIFS($C$2:$C$1001,$A$2:$A$1001,$A588,$B$2:$B$1001,"&lt;"&amp;$B588),_xlfn.MAXIFS($D$2:$D$1001,$A$2:$A$1001,$A588,$B$2:$B$1001,"&lt;="&amp;$B588),$C588)))),"")</f>
        <v/>
      </c>
      <c r="H588" s="15">
        <f>IFERROR(IF(G588="","",IF(INDEX(Accounts!$P$2:$P$11,$F588)="static",INDEX(Accounts!$Q$2:$Q$11,$F588)-INDEX(Accounts!$R$2:$R$11,$F588),IF(INDEX(Accounts!$S$2:$S$11,$F588)="NONE",G588-INDEX(Accounts!$R$2:$R$11,$F588),MIN(G588-INDEX(Accounts!$R$2:$R$11,$F588),INDEX(Accounts!$Q$2:$Q$11,$F588)+INDEX(Accounts!$S$2:$S$11,$F588))))),"")</f>
        <v/>
      </c>
      <c r="I588" s="16">
        <f>IF(AND($A588="",$B588="",$C588="",$D588="",$E588=""),"",IF(OR($A588="",$F588=""),"UNKNOWN_ACCOUNT",IF(OR($B588="",$C588=""),"INCOMPLETE",IFERROR(IF(OR(NOT(ISNUMBER($B588)),NOT(ISNUMBER($C588)),IF(C588="",FALSE,IF(ISNUMBER(C588),OR(C588&lt;=0,C588&gt;100000000,ROUND(C588*100,6)&lt;&gt;INT(ROUND(C588*100,6))),TRUE)),IF(D588="",FALSE,IF(ISNUMBER(D588),OR(D588&lt;=0,D588&gt;100000000,ROUND(D588*100,6)&lt;&gt;INT(ROUND(D588*100,6))),TRUE)),IF(E588="",FALSE,IF(ISNUMBER(E588),OR(E588&lt;=0,E588&gt;100000000,ROUND(E588*100,6)&lt;&gt;INT(ROUND(E588*100,6))),TRUE)),AND($D588&lt;&gt;"",$D588&lt;MAX($C588,$E588)),AND($E588&lt;&gt;"",$E588&gt;MIN($C588,IF($D588="",$C588,$D588))),COUNTIFS($A$2:$A$1001,$A588,$B$2:$B$1001,$B588)&gt;1),"INVALID",IFERROR(IF(IF(INDEX(Accounts!$T$2:$T$11,$F588),ROUND(IF($E588="",$C588,MIN($C588,$E588))-(H588),6)&lt;=0,ROUND(IF($E588="",$C588,MIN($C588,$E588))-(H588),6)&lt;0),"BREACHED","OK"),"INCOMPLETE")),"INVALID"))))</f>
        <v/>
      </c>
      <c r="J588" s="33">
        <f>IF(OR(I588="OK",I588="BREACHED"),-INT(ROUND(-(H588)*100,6))/100,I588)</f>
        <v/>
      </c>
    </row>
    <row r="589" ht="18" customHeight="1">
      <c r="A589" s="9" t="n"/>
      <c r="B589" s="32" t="n"/>
      <c r="C589" s="12" t="n"/>
      <c r="D589" s="12" t="n"/>
      <c r="E589" s="12" t="n"/>
      <c r="F589" s="15">
        <f>IFERROR(MATCH($A589,Accounts!$A$2:$A$11,0),"")</f>
        <v/>
      </c>
      <c r="G589" s="14">
        <f>IFERROR(IF(OR($A589="",$F589=""),"",IF(INDEX(Accounts!$P$2:$P$11,$F589)="static",INDEX(Accounts!$Q$2:$Q$11,$F589),IF(INDEX(Accounts!$P$2:$P$11,$F589)="eod_trailing",MAX(INDEX(Accounts!$Q$2:$Q$11,$F589),_xlfn.MAXIFS($C$2:$C$1001,$A$2:$A$1001,$A589,$B$2:$B$1001,"&lt;"&amp;$B589)),MAX(INDEX(Accounts!$Q$2:$Q$11,$F589),_xlfn.MAXIFS($C$2:$C$1001,$A$2:$A$1001,$A589,$B$2:$B$1001,"&lt;"&amp;$B589),_xlfn.MAXIFS($D$2:$D$1001,$A$2:$A$1001,$A589,$B$2:$B$1001,"&lt;="&amp;$B589),$C589)))),"")</f>
        <v/>
      </c>
      <c r="H589" s="15">
        <f>IFERROR(IF(G589="","",IF(INDEX(Accounts!$P$2:$P$11,$F589)="static",INDEX(Accounts!$Q$2:$Q$11,$F589)-INDEX(Accounts!$R$2:$R$11,$F589),IF(INDEX(Accounts!$S$2:$S$11,$F589)="NONE",G589-INDEX(Accounts!$R$2:$R$11,$F589),MIN(G589-INDEX(Accounts!$R$2:$R$11,$F589),INDEX(Accounts!$Q$2:$Q$11,$F589)+INDEX(Accounts!$S$2:$S$11,$F589))))),"")</f>
        <v/>
      </c>
      <c r="I589" s="16">
        <f>IF(AND($A589="",$B589="",$C589="",$D589="",$E589=""),"",IF(OR($A589="",$F589=""),"UNKNOWN_ACCOUNT",IF(OR($B589="",$C589=""),"INCOMPLETE",IFERROR(IF(OR(NOT(ISNUMBER($B589)),NOT(ISNUMBER($C589)),IF(C589="",FALSE,IF(ISNUMBER(C589),OR(C589&lt;=0,C589&gt;100000000,ROUND(C589*100,6)&lt;&gt;INT(ROUND(C589*100,6))),TRUE)),IF(D589="",FALSE,IF(ISNUMBER(D589),OR(D589&lt;=0,D589&gt;100000000,ROUND(D589*100,6)&lt;&gt;INT(ROUND(D589*100,6))),TRUE)),IF(E589="",FALSE,IF(ISNUMBER(E589),OR(E589&lt;=0,E589&gt;100000000,ROUND(E589*100,6)&lt;&gt;INT(ROUND(E589*100,6))),TRUE)),AND($D589&lt;&gt;"",$D589&lt;MAX($C589,$E589)),AND($E589&lt;&gt;"",$E589&gt;MIN($C589,IF($D589="",$C589,$D589))),COUNTIFS($A$2:$A$1001,$A589,$B$2:$B$1001,$B589)&gt;1),"INVALID",IFERROR(IF(IF(INDEX(Accounts!$T$2:$T$11,$F589),ROUND(IF($E589="",$C589,MIN($C589,$E589))-(H589),6)&lt;=0,ROUND(IF($E589="",$C589,MIN($C589,$E589))-(H589),6)&lt;0),"BREACHED","OK"),"INCOMPLETE")),"INVALID"))))</f>
        <v/>
      </c>
      <c r="J589" s="33">
        <f>IF(OR(I589="OK",I589="BREACHED"),-INT(ROUND(-(H589)*100,6))/100,I589)</f>
        <v/>
      </c>
    </row>
    <row r="590" ht="18" customHeight="1">
      <c r="A590" s="9" t="n"/>
      <c r="B590" s="32" t="n"/>
      <c r="C590" s="12" t="n"/>
      <c r="D590" s="12" t="n"/>
      <c r="E590" s="12" t="n"/>
      <c r="F590" s="15">
        <f>IFERROR(MATCH($A590,Accounts!$A$2:$A$11,0),"")</f>
        <v/>
      </c>
      <c r="G590" s="14">
        <f>IFERROR(IF(OR($A590="",$F590=""),"",IF(INDEX(Accounts!$P$2:$P$11,$F590)="static",INDEX(Accounts!$Q$2:$Q$11,$F590),IF(INDEX(Accounts!$P$2:$P$11,$F590)="eod_trailing",MAX(INDEX(Accounts!$Q$2:$Q$11,$F590),_xlfn.MAXIFS($C$2:$C$1001,$A$2:$A$1001,$A590,$B$2:$B$1001,"&lt;"&amp;$B590)),MAX(INDEX(Accounts!$Q$2:$Q$11,$F590),_xlfn.MAXIFS($C$2:$C$1001,$A$2:$A$1001,$A590,$B$2:$B$1001,"&lt;"&amp;$B590),_xlfn.MAXIFS($D$2:$D$1001,$A$2:$A$1001,$A590,$B$2:$B$1001,"&lt;="&amp;$B590),$C590)))),"")</f>
        <v/>
      </c>
      <c r="H590" s="15">
        <f>IFERROR(IF(G590="","",IF(INDEX(Accounts!$P$2:$P$11,$F590)="static",INDEX(Accounts!$Q$2:$Q$11,$F590)-INDEX(Accounts!$R$2:$R$11,$F590),IF(INDEX(Accounts!$S$2:$S$11,$F590)="NONE",G590-INDEX(Accounts!$R$2:$R$11,$F590),MIN(G590-INDEX(Accounts!$R$2:$R$11,$F590),INDEX(Accounts!$Q$2:$Q$11,$F590)+INDEX(Accounts!$S$2:$S$11,$F590))))),"")</f>
        <v/>
      </c>
      <c r="I590" s="16">
        <f>IF(AND($A590="",$B590="",$C590="",$D590="",$E590=""),"",IF(OR($A590="",$F590=""),"UNKNOWN_ACCOUNT",IF(OR($B590="",$C590=""),"INCOMPLETE",IFERROR(IF(OR(NOT(ISNUMBER($B590)),NOT(ISNUMBER($C590)),IF(C590="",FALSE,IF(ISNUMBER(C590),OR(C590&lt;=0,C590&gt;100000000,ROUND(C590*100,6)&lt;&gt;INT(ROUND(C590*100,6))),TRUE)),IF(D590="",FALSE,IF(ISNUMBER(D590),OR(D590&lt;=0,D590&gt;100000000,ROUND(D590*100,6)&lt;&gt;INT(ROUND(D590*100,6))),TRUE)),IF(E590="",FALSE,IF(ISNUMBER(E590),OR(E590&lt;=0,E590&gt;100000000,ROUND(E590*100,6)&lt;&gt;INT(ROUND(E590*100,6))),TRUE)),AND($D590&lt;&gt;"",$D590&lt;MAX($C590,$E590)),AND($E590&lt;&gt;"",$E590&gt;MIN($C590,IF($D590="",$C590,$D590))),COUNTIFS($A$2:$A$1001,$A590,$B$2:$B$1001,$B590)&gt;1),"INVALID",IFERROR(IF(IF(INDEX(Accounts!$T$2:$T$11,$F590),ROUND(IF($E590="",$C590,MIN($C590,$E590))-(H590),6)&lt;=0,ROUND(IF($E590="",$C590,MIN($C590,$E590))-(H590),6)&lt;0),"BREACHED","OK"),"INCOMPLETE")),"INVALID"))))</f>
        <v/>
      </c>
      <c r="J590" s="33">
        <f>IF(OR(I590="OK",I590="BREACHED"),-INT(ROUND(-(H590)*100,6))/100,I590)</f>
        <v/>
      </c>
    </row>
    <row r="591" ht="18" customHeight="1">
      <c r="A591" s="9" t="n"/>
      <c r="B591" s="32" t="n"/>
      <c r="C591" s="12" t="n"/>
      <c r="D591" s="12" t="n"/>
      <c r="E591" s="12" t="n"/>
      <c r="F591" s="15">
        <f>IFERROR(MATCH($A591,Accounts!$A$2:$A$11,0),"")</f>
        <v/>
      </c>
      <c r="G591" s="14">
        <f>IFERROR(IF(OR($A591="",$F591=""),"",IF(INDEX(Accounts!$P$2:$P$11,$F591)="static",INDEX(Accounts!$Q$2:$Q$11,$F591),IF(INDEX(Accounts!$P$2:$P$11,$F591)="eod_trailing",MAX(INDEX(Accounts!$Q$2:$Q$11,$F591),_xlfn.MAXIFS($C$2:$C$1001,$A$2:$A$1001,$A591,$B$2:$B$1001,"&lt;"&amp;$B591)),MAX(INDEX(Accounts!$Q$2:$Q$11,$F591),_xlfn.MAXIFS($C$2:$C$1001,$A$2:$A$1001,$A591,$B$2:$B$1001,"&lt;"&amp;$B591),_xlfn.MAXIFS($D$2:$D$1001,$A$2:$A$1001,$A591,$B$2:$B$1001,"&lt;="&amp;$B591),$C591)))),"")</f>
        <v/>
      </c>
      <c r="H591" s="15">
        <f>IFERROR(IF(G591="","",IF(INDEX(Accounts!$P$2:$P$11,$F591)="static",INDEX(Accounts!$Q$2:$Q$11,$F591)-INDEX(Accounts!$R$2:$R$11,$F591),IF(INDEX(Accounts!$S$2:$S$11,$F591)="NONE",G591-INDEX(Accounts!$R$2:$R$11,$F591),MIN(G591-INDEX(Accounts!$R$2:$R$11,$F591),INDEX(Accounts!$Q$2:$Q$11,$F591)+INDEX(Accounts!$S$2:$S$11,$F591))))),"")</f>
        <v/>
      </c>
      <c r="I591" s="16">
        <f>IF(AND($A591="",$B591="",$C591="",$D591="",$E591=""),"",IF(OR($A591="",$F591=""),"UNKNOWN_ACCOUNT",IF(OR($B591="",$C591=""),"INCOMPLETE",IFERROR(IF(OR(NOT(ISNUMBER($B591)),NOT(ISNUMBER($C591)),IF(C591="",FALSE,IF(ISNUMBER(C591),OR(C591&lt;=0,C591&gt;100000000,ROUND(C591*100,6)&lt;&gt;INT(ROUND(C591*100,6))),TRUE)),IF(D591="",FALSE,IF(ISNUMBER(D591),OR(D591&lt;=0,D591&gt;100000000,ROUND(D591*100,6)&lt;&gt;INT(ROUND(D591*100,6))),TRUE)),IF(E591="",FALSE,IF(ISNUMBER(E591),OR(E591&lt;=0,E591&gt;100000000,ROUND(E591*100,6)&lt;&gt;INT(ROUND(E591*100,6))),TRUE)),AND($D591&lt;&gt;"",$D591&lt;MAX($C591,$E591)),AND($E591&lt;&gt;"",$E591&gt;MIN($C591,IF($D591="",$C591,$D591))),COUNTIFS($A$2:$A$1001,$A591,$B$2:$B$1001,$B591)&gt;1),"INVALID",IFERROR(IF(IF(INDEX(Accounts!$T$2:$T$11,$F591),ROUND(IF($E591="",$C591,MIN($C591,$E591))-(H591),6)&lt;=0,ROUND(IF($E591="",$C591,MIN($C591,$E591))-(H591),6)&lt;0),"BREACHED","OK"),"INCOMPLETE")),"INVALID"))))</f>
        <v/>
      </c>
      <c r="J591" s="33">
        <f>IF(OR(I591="OK",I591="BREACHED"),-INT(ROUND(-(H591)*100,6))/100,I591)</f>
        <v/>
      </c>
    </row>
    <row r="592" ht="18" customHeight="1">
      <c r="A592" s="9" t="n"/>
      <c r="B592" s="32" t="n"/>
      <c r="C592" s="12" t="n"/>
      <c r="D592" s="12" t="n"/>
      <c r="E592" s="12" t="n"/>
      <c r="F592" s="15">
        <f>IFERROR(MATCH($A592,Accounts!$A$2:$A$11,0),"")</f>
        <v/>
      </c>
      <c r="G592" s="14">
        <f>IFERROR(IF(OR($A592="",$F592=""),"",IF(INDEX(Accounts!$P$2:$P$11,$F592)="static",INDEX(Accounts!$Q$2:$Q$11,$F592),IF(INDEX(Accounts!$P$2:$P$11,$F592)="eod_trailing",MAX(INDEX(Accounts!$Q$2:$Q$11,$F592),_xlfn.MAXIFS($C$2:$C$1001,$A$2:$A$1001,$A592,$B$2:$B$1001,"&lt;"&amp;$B592)),MAX(INDEX(Accounts!$Q$2:$Q$11,$F592),_xlfn.MAXIFS($C$2:$C$1001,$A$2:$A$1001,$A592,$B$2:$B$1001,"&lt;"&amp;$B592),_xlfn.MAXIFS($D$2:$D$1001,$A$2:$A$1001,$A592,$B$2:$B$1001,"&lt;="&amp;$B592),$C592)))),"")</f>
        <v/>
      </c>
      <c r="H592" s="15">
        <f>IFERROR(IF(G592="","",IF(INDEX(Accounts!$P$2:$P$11,$F592)="static",INDEX(Accounts!$Q$2:$Q$11,$F592)-INDEX(Accounts!$R$2:$R$11,$F592),IF(INDEX(Accounts!$S$2:$S$11,$F592)="NONE",G592-INDEX(Accounts!$R$2:$R$11,$F592),MIN(G592-INDEX(Accounts!$R$2:$R$11,$F592),INDEX(Accounts!$Q$2:$Q$11,$F592)+INDEX(Accounts!$S$2:$S$11,$F592))))),"")</f>
        <v/>
      </c>
      <c r="I592" s="16">
        <f>IF(AND($A592="",$B592="",$C592="",$D592="",$E592=""),"",IF(OR($A592="",$F592=""),"UNKNOWN_ACCOUNT",IF(OR($B592="",$C592=""),"INCOMPLETE",IFERROR(IF(OR(NOT(ISNUMBER($B592)),NOT(ISNUMBER($C592)),IF(C592="",FALSE,IF(ISNUMBER(C592),OR(C592&lt;=0,C592&gt;100000000,ROUND(C592*100,6)&lt;&gt;INT(ROUND(C592*100,6))),TRUE)),IF(D592="",FALSE,IF(ISNUMBER(D592),OR(D592&lt;=0,D592&gt;100000000,ROUND(D592*100,6)&lt;&gt;INT(ROUND(D592*100,6))),TRUE)),IF(E592="",FALSE,IF(ISNUMBER(E592),OR(E592&lt;=0,E592&gt;100000000,ROUND(E592*100,6)&lt;&gt;INT(ROUND(E592*100,6))),TRUE)),AND($D592&lt;&gt;"",$D592&lt;MAX($C592,$E592)),AND($E592&lt;&gt;"",$E592&gt;MIN($C592,IF($D592="",$C592,$D592))),COUNTIFS($A$2:$A$1001,$A592,$B$2:$B$1001,$B592)&gt;1),"INVALID",IFERROR(IF(IF(INDEX(Accounts!$T$2:$T$11,$F592),ROUND(IF($E592="",$C592,MIN($C592,$E592))-(H592),6)&lt;=0,ROUND(IF($E592="",$C592,MIN($C592,$E592))-(H592),6)&lt;0),"BREACHED","OK"),"INCOMPLETE")),"INVALID"))))</f>
        <v/>
      </c>
      <c r="J592" s="33">
        <f>IF(OR(I592="OK",I592="BREACHED"),-INT(ROUND(-(H592)*100,6))/100,I592)</f>
        <v/>
      </c>
    </row>
    <row r="593" ht="18" customHeight="1">
      <c r="A593" s="9" t="n"/>
      <c r="B593" s="32" t="n"/>
      <c r="C593" s="12" t="n"/>
      <c r="D593" s="12" t="n"/>
      <c r="E593" s="12" t="n"/>
      <c r="F593" s="15">
        <f>IFERROR(MATCH($A593,Accounts!$A$2:$A$11,0),"")</f>
        <v/>
      </c>
      <c r="G593" s="14">
        <f>IFERROR(IF(OR($A593="",$F593=""),"",IF(INDEX(Accounts!$P$2:$P$11,$F593)="static",INDEX(Accounts!$Q$2:$Q$11,$F593),IF(INDEX(Accounts!$P$2:$P$11,$F593)="eod_trailing",MAX(INDEX(Accounts!$Q$2:$Q$11,$F593),_xlfn.MAXIFS($C$2:$C$1001,$A$2:$A$1001,$A593,$B$2:$B$1001,"&lt;"&amp;$B593)),MAX(INDEX(Accounts!$Q$2:$Q$11,$F593),_xlfn.MAXIFS($C$2:$C$1001,$A$2:$A$1001,$A593,$B$2:$B$1001,"&lt;"&amp;$B593),_xlfn.MAXIFS($D$2:$D$1001,$A$2:$A$1001,$A593,$B$2:$B$1001,"&lt;="&amp;$B593),$C593)))),"")</f>
        <v/>
      </c>
      <c r="H593" s="15">
        <f>IFERROR(IF(G593="","",IF(INDEX(Accounts!$P$2:$P$11,$F593)="static",INDEX(Accounts!$Q$2:$Q$11,$F593)-INDEX(Accounts!$R$2:$R$11,$F593),IF(INDEX(Accounts!$S$2:$S$11,$F593)="NONE",G593-INDEX(Accounts!$R$2:$R$11,$F593),MIN(G593-INDEX(Accounts!$R$2:$R$11,$F593),INDEX(Accounts!$Q$2:$Q$11,$F593)+INDEX(Accounts!$S$2:$S$11,$F593))))),"")</f>
        <v/>
      </c>
      <c r="I593" s="16">
        <f>IF(AND($A593="",$B593="",$C593="",$D593="",$E593=""),"",IF(OR($A593="",$F593=""),"UNKNOWN_ACCOUNT",IF(OR($B593="",$C593=""),"INCOMPLETE",IFERROR(IF(OR(NOT(ISNUMBER($B593)),NOT(ISNUMBER($C593)),IF(C593="",FALSE,IF(ISNUMBER(C593),OR(C593&lt;=0,C593&gt;100000000,ROUND(C593*100,6)&lt;&gt;INT(ROUND(C593*100,6))),TRUE)),IF(D593="",FALSE,IF(ISNUMBER(D593),OR(D593&lt;=0,D593&gt;100000000,ROUND(D593*100,6)&lt;&gt;INT(ROUND(D593*100,6))),TRUE)),IF(E593="",FALSE,IF(ISNUMBER(E593),OR(E593&lt;=0,E593&gt;100000000,ROUND(E593*100,6)&lt;&gt;INT(ROUND(E593*100,6))),TRUE)),AND($D593&lt;&gt;"",$D593&lt;MAX($C593,$E593)),AND($E593&lt;&gt;"",$E593&gt;MIN($C593,IF($D593="",$C593,$D593))),COUNTIFS($A$2:$A$1001,$A593,$B$2:$B$1001,$B593)&gt;1),"INVALID",IFERROR(IF(IF(INDEX(Accounts!$T$2:$T$11,$F593),ROUND(IF($E593="",$C593,MIN($C593,$E593))-(H593),6)&lt;=0,ROUND(IF($E593="",$C593,MIN($C593,$E593))-(H593),6)&lt;0),"BREACHED","OK"),"INCOMPLETE")),"INVALID"))))</f>
        <v/>
      </c>
      <c r="J593" s="33">
        <f>IF(OR(I593="OK",I593="BREACHED"),-INT(ROUND(-(H593)*100,6))/100,I593)</f>
        <v/>
      </c>
    </row>
    <row r="594" ht="18" customHeight="1">
      <c r="A594" s="9" t="n"/>
      <c r="B594" s="32" t="n"/>
      <c r="C594" s="12" t="n"/>
      <c r="D594" s="12" t="n"/>
      <c r="E594" s="12" t="n"/>
      <c r="F594" s="15">
        <f>IFERROR(MATCH($A594,Accounts!$A$2:$A$11,0),"")</f>
        <v/>
      </c>
      <c r="G594" s="14">
        <f>IFERROR(IF(OR($A594="",$F594=""),"",IF(INDEX(Accounts!$P$2:$P$11,$F594)="static",INDEX(Accounts!$Q$2:$Q$11,$F594),IF(INDEX(Accounts!$P$2:$P$11,$F594)="eod_trailing",MAX(INDEX(Accounts!$Q$2:$Q$11,$F594),_xlfn.MAXIFS($C$2:$C$1001,$A$2:$A$1001,$A594,$B$2:$B$1001,"&lt;"&amp;$B594)),MAX(INDEX(Accounts!$Q$2:$Q$11,$F594),_xlfn.MAXIFS($C$2:$C$1001,$A$2:$A$1001,$A594,$B$2:$B$1001,"&lt;"&amp;$B594),_xlfn.MAXIFS($D$2:$D$1001,$A$2:$A$1001,$A594,$B$2:$B$1001,"&lt;="&amp;$B594),$C594)))),"")</f>
        <v/>
      </c>
      <c r="H594" s="15">
        <f>IFERROR(IF(G594="","",IF(INDEX(Accounts!$P$2:$P$11,$F594)="static",INDEX(Accounts!$Q$2:$Q$11,$F594)-INDEX(Accounts!$R$2:$R$11,$F594),IF(INDEX(Accounts!$S$2:$S$11,$F594)="NONE",G594-INDEX(Accounts!$R$2:$R$11,$F594),MIN(G594-INDEX(Accounts!$R$2:$R$11,$F594),INDEX(Accounts!$Q$2:$Q$11,$F594)+INDEX(Accounts!$S$2:$S$11,$F594))))),"")</f>
        <v/>
      </c>
      <c r="I594" s="16">
        <f>IF(AND($A594="",$B594="",$C594="",$D594="",$E594=""),"",IF(OR($A594="",$F594=""),"UNKNOWN_ACCOUNT",IF(OR($B594="",$C594=""),"INCOMPLETE",IFERROR(IF(OR(NOT(ISNUMBER($B594)),NOT(ISNUMBER($C594)),IF(C594="",FALSE,IF(ISNUMBER(C594),OR(C594&lt;=0,C594&gt;100000000,ROUND(C594*100,6)&lt;&gt;INT(ROUND(C594*100,6))),TRUE)),IF(D594="",FALSE,IF(ISNUMBER(D594),OR(D594&lt;=0,D594&gt;100000000,ROUND(D594*100,6)&lt;&gt;INT(ROUND(D594*100,6))),TRUE)),IF(E594="",FALSE,IF(ISNUMBER(E594),OR(E594&lt;=0,E594&gt;100000000,ROUND(E594*100,6)&lt;&gt;INT(ROUND(E594*100,6))),TRUE)),AND($D594&lt;&gt;"",$D594&lt;MAX($C594,$E594)),AND($E594&lt;&gt;"",$E594&gt;MIN($C594,IF($D594="",$C594,$D594))),COUNTIFS($A$2:$A$1001,$A594,$B$2:$B$1001,$B594)&gt;1),"INVALID",IFERROR(IF(IF(INDEX(Accounts!$T$2:$T$11,$F594),ROUND(IF($E594="",$C594,MIN($C594,$E594))-(H594),6)&lt;=0,ROUND(IF($E594="",$C594,MIN($C594,$E594))-(H594),6)&lt;0),"BREACHED","OK"),"INCOMPLETE")),"INVALID"))))</f>
        <v/>
      </c>
      <c r="J594" s="33">
        <f>IF(OR(I594="OK",I594="BREACHED"),-INT(ROUND(-(H594)*100,6))/100,I594)</f>
        <v/>
      </c>
    </row>
    <row r="595" ht="18" customHeight="1">
      <c r="A595" s="9" t="n"/>
      <c r="B595" s="32" t="n"/>
      <c r="C595" s="12" t="n"/>
      <c r="D595" s="12" t="n"/>
      <c r="E595" s="12" t="n"/>
      <c r="F595" s="15">
        <f>IFERROR(MATCH($A595,Accounts!$A$2:$A$11,0),"")</f>
        <v/>
      </c>
      <c r="G595" s="14">
        <f>IFERROR(IF(OR($A595="",$F595=""),"",IF(INDEX(Accounts!$P$2:$P$11,$F595)="static",INDEX(Accounts!$Q$2:$Q$11,$F595),IF(INDEX(Accounts!$P$2:$P$11,$F595)="eod_trailing",MAX(INDEX(Accounts!$Q$2:$Q$11,$F595),_xlfn.MAXIFS($C$2:$C$1001,$A$2:$A$1001,$A595,$B$2:$B$1001,"&lt;"&amp;$B595)),MAX(INDEX(Accounts!$Q$2:$Q$11,$F595),_xlfn.MAXIFS($C$2:$C$1001,$A$2:$A$1001,$A595,$B$2:$B$1001,"&lt;"&amp;$B595),_xlfn.MAXIFS($D$2:$D$1001,$A$2:$A$1001,$A595,$B$2:$B$1001,"&lt;="&amp;$B595),$C595)))),"")</f>
        <v/>
      </c>
      <c r="H595" s="15">
        <f>IFERROR(IF(G595="","",IF(INDEX(Accounts!$P$2:$P$11,$F595)="static",INDEX(Accounts!$Q$2:$Q$11,$F595)-INDEX(Accounts!$R$2:$R$11,$F595),IF(INDEX(Accounts!$S$2:$S$11,$F595)="NONE",G595-INDEX(Accounts!$R$2:$R$11,$F595),MIN(G595-INDEX(Accounts!$R$2:$R$11,$F595),INDEX(Accounts!$Q$2:$Q$11,$F595)+INDEX(Accounts!$S$2:$S$11,$F595))))),"")</f>
        <v/>
      </c>
      <c r="I595" s="16">
        <f>IF(AND($A595="",$B595="",$C595="",$D595="",$E595=""),"",IF(OR($A595="",$F595=""),"UNKNOWN_ACCOUNT",IF(OR($B595="",$C595=""),"INCOMPLETE",IFERROR(IF(OR(NOT(ISNUMBER($B595)),NOT(ISNUMBER($C595)),IF(C595="",FALSE,IF(ISNUMBER(C595),OR(C595&lt;=0,C595&gt;100000000,ROUND(C595*100,6)&lt;&gt;INT(ROUND(C595*100,6))),TRUE)),IF(D595="",FALSE,IF(ISNUMBER(D595),OR(D595&lt;=0,D595&gt;100000000,ROUND(D595*100,6)&lt;&gt;INT(ROUND(D595*100,6))),TRUE)),IF(E595="",FALSE,IF(ISNUMBER(E595),OR(E595&lt;=0,E595&gt;100000000,ROUND(E595*100,6)&lt;&gt;INT(ROUND(E595*100,6))),TRUE)),AND($D595&lt;&gt;"",$D595&lt;MAX($C595,$E595)),AND($E595&lt;&gt;"",$E595&gt;MIN($C595,IF($D595="",$C595,$D595))),COUNTIFS($A$2:$A$1001,$A595,$B$2:$B$1001,$B595)&gt;1),"INVALID",IFERROR(IF(IF(INDEX(Accounts!$T$2:$T$11,$F595),ROUND(IF($E595="",$C595,MIN($C595,$E595))-(H595),6)&lt;=0,ROUND(IF($E595="",$C595,MIN($C595,$E595))-(H595),6)&lt;0),"BREACHED","OK"),"INCOMPLETE")),"INVALID"))))</f>
        <v/>
      </c>
      <c r="J595" s="33">
        <f>IF(OR(I595="OK",I595="BREACHED"),-INT(ROUND(-(H595)*100,6))/100,I595)</f>
        <v/>
      </c>
    </row>
    <row r="596" ht="18" customHeight="1">
      <c r="A596" s="9" t="n"/>
      <c r="B596" s="32" t="n"/>
      <c r="C596" s="12" t="n"/>
      <c r="D596" s="12" t="n"/>
      <c r="E596" s="12" t="n"/>
      <c r="F596" s="15">
        <f>IFERROR(MATCH($A596,Accounts!$A$2:$A$11,0),"")</f>
        <v/>
      </c>
      <c r="G596" s="14">
        <f>IFERROR(IF(OR($A596="",$F596=""),"",IF(INDEX(Accounts!$P$2:$P$11,$F596)="static",INDEX(Accounts!$Q$2:$Q$11,$F596),IF(INDEX(Accounts!$P$2:$P$11,$F596)="eod_trailing",MAX(INDEX(Accounts!$Q$2:$Q$11,$F596),_xlfn.MAXIFS($C$2:$C$1001,$A$2:$A$1001,$A596,$B$2:$B$1001,"&lt;"&amp;$B596)),MAX(INDEX(Accounts!$Q$2:$Q$11,$F596),_xlfn.MAXIFS($C$2:$C$1001,$A$2:$A$1001,$A596,$B$2:$B$1001,"&lt;"&amp;$B596),_xlfn.MAXIFS($D$2:$D$1001,$A$2:$A$1001,$A596,$B$2:$B$1001,"&lt;="&amp;$B596),$C596)))),"")</f>
        <v/>
      </c>
      <c r="H596" s="15">
        <f>IFERROR(IF(G596="","",IF(INDEX(Accounts!$P$2:$P$11,$F596)="static",INDEX(Accounts!$Q$2:$Q$11,$F596)-INDEX(Accounts!$R$2:$R$11,$F596),IF(INDEX(Accounts!$S$2:$S$11,$F596)="NONE",G596-INDEX(Accounts!$R$2:$R$11,$F596),MIN(G596-INDEX(Accounts!$R$2:$R$11,$F596),INDEX(Accounts!$Q$2:$Q$11,$F596)+INDEX(Accounts!$S$2:$S$11,$F596))))),"")</f>
        <v/>
      </c>
      <c r="I596" s="16">
        <f>IF(AND($A596="",$B596="",$C596="",$D596="",$E596=""),"",IF(OR($A596="",$F596=""),"UNKNOWN_ACCOUNT",IF(OR($B596="",$C596=""),"INCOMPLETE",IFERROR(IF(OR(NOT(ISNUMBER($B596)),NOT(ISNUMBER($C596)),IF(C596="",FALSE,IF(ISNUMBER(C596),OR(C596&lt;=0,C596&gt;100000000,ROUND(C596*100,6)&lt;&gt;INT(ROUND(C596*100,6))),TRUE)),IF(D596="",FALSE,IF(ISNUMBER(D596),OR(D596&lt;=0,D596&gt;100000000,ROUND(D596*100,6)&lt;&gt;INT(ROUND(D596*100,6))),TRUE)),IF(E596="",FALSE,IF(ISNUMBER(E596),OR(E596&lt;=0,E596&gt;100000000,ROUND(E596*100,6)&lt;&gt;INT(ROUND(E596*100,6))),TRUE)),AND($D596&lt;&gt;"",$D596&lt;MAX($C596,$E596)),AND($E596&lt;&gt;"",$E596&gt;MIN($C596,IF($D596="",$C596,$D596))),COUNTIFS($A$2:$A$1001,$A596,$B$2:$B$1001,$B596)&gt;1),"INVALID",IFERROR(IF(IF(INDEX(Accounts!$T$2:$T$11,$F596),ROUND(IF($E596="",$C596,MIN($C596,$E596))-(H596),6)&lt;=0,ROUND(IF($E596="",$C596,MIN($C596,$E596))-(H596),6)&lt;0),"BREACHED","OK"),"INCOMPLETE")),"INVALID"))))</f>
        <v/>
      </c>
      <c r="J596" s="33">
        <f>IF(OR(I596="OK",I596="BREACHED"),-INT(ROUND(-(H596)*100,6))/100,I596)</f>
        <v/>
      </c>
    </row>
    <row r="597" ht="18" customHeight="1">
      <c r="A597" s="9" t="n"/>
      <c r="B597" s="32" t="n"/>
      <c r="C597" s="12" t="n"/>
      <c r="D597" s="12" t="n"/>
      <c r="E597" s="12" t="n"/>
      <c r="F597" s="15">
        <f>IFERROR(MATCH($A597,Accounts!$A$2:$A$11,0),"")</f>
        <v/>
      </c>
      <c r="G597" s="14">
        <f>IFERROR(IF(OR($A597="",$F597=""),"",IF(INDEX(Accounts!$P$2:$P$11,$F597)="static",INDEX(Accounts!$Q$2:$Q$11,$F597),IF(INDEX(Accounts!$P$2:$P$11,$F597)="eod_trailing",MAX(INDEX(Accounts!$Q$2:$Q$11,$F597),_xlfn.MAXIFS($C$2:$C$1001,$A$2:$A$1001,$A597,$B$2:$B$1001,"&lt;"&amp;$B597)),MAX(INDEX(Accounts!$Q$2:$Q$11,$F597),_xlfn.MAXIFS($C$2:$C$1001,$A$2:$A$1001,$A597,$B$2:$B$1001,"&lt;"&amp;$B597),_xlfn.MAXIFS($D$2:$D$1001,$A$2:$A$1001,$A597,$B$2:$B$1001,"&lt;="&amp;$B597),$C597)))),"")</f>
        <v/>
      </c>
      <c r="H597" s="15">
        <f>IFERROR(IF(G597="","",IF(INDEX(Accounts!$P$2:$P$11,$F597)="static",INDEX(Accounts!$Q$2:$Q$11,$F597)-INDEX(Accounts!$R$2:$R$11,$F597),IF(INDEX(Accounts!$S$2:$S$11,$F597)="NONE",G597-INDEX(Accounts!$R$2:$R$11,$F597),MIN(G597-INDEX(Accounts!$R$2:$R$11,$F597),INDEX(Accounts!$Q$2:$Q$11,$F597)+INDEX(Accounts!$S$2:$S$11,$F597))))),"")</f>
        <v/>
      </c>
      <c r="I597" s="16">
        <f>IF(AND($A597="",$B597="",$C597="",$D597="",$E597=""),"",IF(OR($A597="",$F597=""),"UNKNOWN_ACCOUNT",IF(OR($B597="",$C597=""),"INCOMPLETE",IFERROR(IF(OR(NOT(ISNUMBER($B597)),NOT(ISNUMBER($C597)),IF(C597="",FALSE,IF(ISNUMBER(C597),OR(C597&lt;=0,C597&gt;100000000,ROUND(C597*100,6)&lt;&gt;INT(ROUND(C597*100,6))),TRUE)),IF(D597="",FALSE,IF(ISNUMBER(D597),OR(D597&lt;=0,D597&gt;100000000,ROUND(D597*100,6)&lt;&gt;INT(ROUND(D597*100,6))),TRUE)),IF(E597="",FALSE,IF(ISNUMBER(E597),OR(E597&lt;=0,E597&gt;100000000,ROUND(E597*100,6)&lt;&gt;INT(ROUND(E597*100,6))),TRUE)),AND($D597&lt;&gt;"",$D597&lt;MAX($C597,$E597)),AND($E597&lt;&gt;"",$E597&gt;MIN($C597,IF($D597="",$C597,$D597))),COUNTIFS($A$2:$A$1001,$A597,$B$2:$B$1001,$B597)&gt;1),"INVALID",IFERROR(IF(IF(INDEX(Accounts!$T$2:$T$11,$F597),ROUND(IF($E597="",$C597,MIN($C597,$E597))-(H597),6)&lt;=0,ROUND(IF($E597="",$C597,MIN($C597,$E597))-(H597),6)&lt;0),"BREACHED","OK"),"INCOMPLETE")),"INVALID"))))</f>
        <v/>
      </c>
      <c r="J597" s="33">
        <f>IF(OR(I597="OK",I597="BREACHED"),-INT(ROUND(-(H597)*100,6))/100,I597)</f>
        <v/>
      </c>
    </row>
    <row r="598" ht="18" customHeight="1">
      <c r="A598" s="9" t="n"/>
      <c r="B598" s="32" t="n"/>
      <c r="C598" s="12" t="n"/>
      <c r="D598" s="12" t="n"/>
      <c r="E598" s="12" t="n"/>
      <c r="F598" s="15">
        <f>IFERROR(MATCH($A598,Accounts!$A$2:$A$11,0),"")</f>
        <v/>
      </c>
      <c r="G598" s="14">
        <f>IFERROR(IF(OR($A598="",$F598=""),"",IF(INDEX(Accounts!$P$2:$P$11,$F598)="static",INDEX(Accounts!$Q$2:$Q$11,$F598),IF(INDEX(Accounts!$P$2:$P$11,$F598)="eod_trailing",MAX(INDEX(Accounts!$Q$2:$Q$11,$F598),_xlfn.MAXIFS($C$2:$C$1001,$A$2:$A$1001,$A598,$B$2:$B$1001,"&lt;"&amp;$B598)),MAX(INDEX(Accounts!$Q$2:$Q$11,$F598),_xlfn.MAXIFS($C$2:$C$1001,$A$2:$A$1001,$A598,$B$2:$B$1001,"&lt;"&amp;$B598),_xlfn.MAXIFS($D$2:$D$1001,$A$2:$A$1001,$A598,$B$2:$B$1001,"&lt;="&amp;$B598),$C598)))),"")</f>
        <v/>
      </c>
      <c r="H598" s="15">
        <f>IFERROR(IF(G598="","",IF(INDEX(Accounts!$P$2:$P$11,$F598)="static",INDEX(Accounts!$Q$2:$Q$11,$F598)-INDEX(Accounts!$R$2:$R$11,$F598),IF(INDEX(Accounts!$S$2:$S$11,$F598)="NONE",G598-INDEX(Accounts!$R$2:$R$11,$F598),MIN(G598-INDEX(Accounts!$R$2:$R$11,$F598),INDEX(Accounts!$Q$2:$Q$11,$F598)+INDEX(Accounts!$S$2:$S$11,$F598))))),"")</f>
        <v/>
      </c>
      <c r="I598" s="16">
        <f>IF(AND($A598="",$B598="",$C598="",$D598="",$E598=""),"",IF(OR($A598="",$F598=""),"UNKNOWN_ACCOUNT",IF(OR($B598="",$C598=""),"INCOMPLETE",IFERROR(IF(OR(NOT(ISNUMBER($B598)),NOT(ISNUMBER($C598)),IF(C598="",FALSE,IF(ISNUMBER(C598),OR(C598&lt;=0,C598&gt;100000000,ROUND(C598*100,6)&lt;&gt;INT(ROUND(C598*100,6))),TRUE)),IF(D598="",FALSE,IF(ISNUMBER(D598),OR(D598&lt;=0,D598&gt;100000000,ROUND(D598*100,6)&lt;&gt;INT(ROUND(D598*100,6))),TRUE)),IF(E598="",FALSE,IF(ISNUMBER(E598),OR(E598&lt;=0,E598&gt;100000000,ROUND(E598*100,6)&lt;&gt;INT(ROUND(E598*100,6))),TRUE)),AND($D598&lt;&gt;"",$D598&lt;MAX($C598,$E598)),AND($E598&lt;&gt;"",$E598&gt;MIN($C598,IF($D598="",$C598,$D598))),COUNTIFS($A$2:$A$1001,$A598,$B$2:$B$1001,$B598)&gt;1),"INVALID",IFERROR(IF(IF(INDEX(Accounts!$T$2:$T$11,$F598),ROUND(IF($E598="",$C598,MIN($C598,$E598))-(H598),6)&lt;=0,ROUND(IF($E598="",$C598,MIN($C598,$E598))-(H598),6)&lt;0),"BREACHED","OK"),"INCOMPLETE")),"INVALID"))))</f>
        <v/>
      </c>
      <c r="J598" s="33">
        <f>IF(OR(I598="OK",I598="BREACHED"),-INT(ROUND(-(H598)*100,6))/100,I598)</f>
        <v/>
      </c>
    </row>
    <row r="599" ht="18" customHeight="1">
      <c r="A599" s="9" t="n"/>
      <c r="B599" s="32" t="n"/>
      <c r="C599" s="12" t="n"/>
      <c r="D599" s="12" t="n"/>
      <c r="E599" s="12" t="n"/>
      <c r="F599" s="15">
        <f>IFERROR(MATCH($A599,Accounts!$A$2:$A$11,0),"")</f>
        <v/>
      </c>
      <c r="G599" s="14">
        <f>IFERROR(IF(OR($A599="",$F599=""),"",IF(INDEX(Accounts!$P$2:$P$11,$F599)="static",INDEX(Accounts!$Q$2:$Q$11,$F599),IF(INDEX(Accounts!$P$2:$P$11,$F599)="eod_trailing",MAX(INDEX(Accounts!$Q$2:$Q$11,$F599),_xlfn.MAXIFS($C$2:$C$1001,$A$2:$A$1001,$A599,$B$2:$B$1001,"&lt;"&amp;$B599)),MAX(INDEX(Accounts!$Q$2:$Q$11,$F599),_xlfn.MAXIFS($C$2:$C$1001,$A$2:$A$1001,$A599,$B$2:$B$1001,"&lt;"&amp;$B599),_xlfn.MAXIFS($D$2:$D$1001,$A$2:$A$1001,$A599,$B$2:$B$1001,"&lt;="&amp;$B599),$C599)))),"")</f>
        <v/>
      </c>
      <c r="H599" s="15">
        <f>IFERROR(IF(G599="","",IF(INDEX(Accounts!$P$2:$P$11,$F599)="static",INDEX(Accounts!$Q$2:$Q$11,$F599)-INDEX(Accounts!$R$2:$R$11,$F599),IF(INDEX(Accounts!$S$2:$S$11,$F599)="NONE",G599-INDEX(Accounts!$R$2:$R$11,$F599),MIN(G599-INDEX(Accounts!$R$2:$R$11,$F599),INDEX(Accounts!$Q$2:$Q$11,$F599)+INDEX(Accounts!$S$2:$S$11,$F599))))),"")</f>
        <v/>
      </c>
      <c r="I599" s="16">
        <f>IF(AND($A599="",$B599="",$C599="",$D599="",$E599=""),"",IF(OR($A599="",$F599=""),"UNKNOWN_ACCOUNT",IF(OR($B599="",$C599=""),"INCOMPLETE",IFERROR(IF(OR(NOT(ISNUMBER($B599)),NOT(ISNUMBER($C599)),IF(C599="",FALSE,IF(ISNUMBER(C599),OR(C599&lt;=0,C599&gt;100000000,ROUND(C599*100,6)&lt;&gt;INT(ROUND(C599*100,6))),TRUE)),IF(D599="",FALSE,IF(ISNUMBER(D599),OR(D599&lt;=0,D599&gt;100000000,ROUND(D599*100,6)&lt;&gt;INT(ROUND(D599*100,6))),TRUE)),IF(E599="",FALSE,IF(ISNUMBER(E599),OR(E599&lt;=0,E599&gt;100000000,ROUND(E599*100,6)&lt;&gt;INT(ROUND(E599*100,6))),TRUE)),AND($D599&lt;&gt;"",$D599&lt;MAX($C599,$E599)),AND($E599&lt;&gt;"",$E599&gt;MIN($C599,IF($D599="",$C599,$D599))),COUNTIFS($A$2:$A$1001,$A599,$B$2:$B$1001,$B599)&gt;1),"INVALID",IFERROR(IF(IF(INDEX(Accounts!$T$2:$T$11,$F599),ROUND(IF($E599="",$C599,MIN($C599,$E599))-(H599),6)&lt;=0,ROUND(IF($E599="",$C599,MIN($C599,$E599))-(H599),6)&lt;0),"BREACHED","OK"),"INCOMPLETE")),"INVALID"))))</f>
        <v/>
      </c>
      <c r="J599" s="33">
        <f>IF(OR(I599="OK",I599="BREACHED"),-INT(ROUND(-(H599)*100,6))/100,I599)</f>
        <v/>
      </c>
    </row>
    <row r="600" ht="18" customHeight="1">
      <c r="A600" s="9" t="n"/>
      <c r="B600" s="32" t="n"/>
      <c r="C600" s="12" t="n"/>
      <c r="D600" s="12" t="n"/>
      <c r="E600" s="12" t="n"/>
      <c r="F600" s="15">
        <f>IFERROR(MATCH($A600,Accounts!$A$2:$A$11,0),"")</f>
        <v/>
      </c>
      <c r="G600" s="14">
        <f>IFERROR(IF(OR($A600="",$F600=""),"",IF(INDEX(Accounts!$P$2:$P$11,$F600)="static",INDEX(Accounts!$Q$2:$Q$11,$F600),IF(INDEX(Accounts!$P$2:$P$11,$F600)="eod_trailing",MAX(INDEX(Accounts!$Q$2:$Q$11,$F600),_xlfn.MAXIFS($C$2:$C$1001,$A$2:$A$1001,$A600,$B$2:$B$1001,"&lt;"&amp;$B600)),MAX(INDEX(Accounts!$Q$2:$Q$11,$F600),_xlfn.MAXIFS($C$2:$C$1001,$A$2:$A$1001,$A600,$B$2:$B$1001,"&lt;"&amp;$B600),_xlfn.MAXIFS($D$2:$D$1001,$A$2:$A$1001,$A600,$B$2:$B$1001,"&lt;="&amp;$B600),$C600)))),"")</f>
        <v/>
      </c>
      <c r="H600" s="15">
        <f>IFERROR(IF(G600="","",IF(INDEX(Accounts!$P$2:$P$11,$F600)="static",INDEX(Accounts!$Q$2:$Q$11,$F600)-INDEX(Accounts!$R$2:$R$11,$F600),IF(INDEX(Accounts!$S$2:$S$11,$F600)="NONE",G600-INDEX(Accounts!$R$2:$R$11,$F600),MIN(G600-INDEX(Accounts!$R$2:$R$11,$F600),INDEX(Accounts!$Q$2:$Q$11,$F600)+INDEX(Accounts!$S$2:$S$11,$F600))))),"")</f>
        <v/>
      </c>
      <c r="I600" s="16">
        <f>IF(AND($A600="",$B600="",$C600="",$D600="",$E600=""),"",IF(OR($A600="",$F600=""),"UNKNOWN_ACCOUNT",IF(OR($B600="",$C600=""),"INCOMPLETE",IFERROR(IF(OR(NOT(ISNUMBER($B600)),NOT(ISNUMBER($C600)),IF(C600="",FALSE,IF(ISNUMBER(C600),OR(C600&lt;=0,C600&gt;100000000,ROUND(C600*100,6)&lt;&gt;INT(ROUND(C600*100,6))),TRUE)),IF(D600="",FALSE,IF(ISNUMBER(D600),OR(D600&lt;=0,D600&gt;100000000,ROUND(D600*100,6)&lt;&gt;INT(ROUND(D600*100,6))),TRUE)),IF(E600="",FALSE,IF(ISNUMBER(E600),OR(E600&lt;=0,E600&gt;100000000,ROUND(E600*100,6)&lt;&gt;INT(ROUND(E600*100,6))),TRUE)),AND($D600&lt;&gt;"",$D600&lt;MAX($C600,$E600)),AND($E600&lt;&gt;"",$E600&gt;MIN($C600,IF($D600="",$C600,$D600))),COUNTIFS($A$2:$A$1001,$A600,$B$2:$B$1001,$B600)&gt;1),"INVALID",IFERROR(IF(IF(INDEX(Accounts!$T$2:$T$11,$F600),ROUND(IF($E600="",$C600,MIN($C600,$E600))-(H600),6)&lt;=0,ROUND(IF($E600="",$C600,MIN($C600,$E600))-(H600),6)&lt;0),"BREACHED","OK"),"INCOMPLETE")),"INVALID"))))</f>
        <v/>
      </c>
      <c r="J600" s="33">
        <f>IF(OR(I600="OK",I600="BREACHED"),-INT(ROUND(-(H600)*100,6))/100,I600)</f>
        <v/>
      </c>
    </row>
    <row r="601" ht="18" customHeight="1">
      <c r="A601" s="9" t="n"/>
      <c r="B601" s="32" t="n"/>
      <c r="C601" s="12" t="n"/>
      <c r="D601" s="12" t="n"/>
      <c r="E601" s="12" t="n"/>
      <c r="F601" s="15">
        <f>IFERROR(MATCH($A601,Accounts!$A$2:$A$11,0),"")</f>
        <v/>
      </c>
      <c r="G601" s="14">
        <f>IFERROR(IF(OR($A601="",$F601=""),"",IF(INDEX(Accounts!$P$2:$P$11,$F601)="static",INDEX(Accounts!$Q$2:$Q$11,$F601),IF(INDEX(Accounts!$P$2:$P$11,$F601)="eod_trailing",MAX(INDEX(Accounts!$Q$2:$Q$11,$F601),_xlfn.MAXIFS($C$2:$C$1001,$A$2:$A$1001,$A601,$B$2:$B$1001,"&lt;"&amp;$B601)),MAX(INDEX(Accounts!$Q$2:$Q$11,$F601),_xlfn.MAXIFS($C$2:$C$1001,$A$2:$A$1001,$A601,$B$2:$B$1001,"&lt;"&amp;$B601),_xlfn.MAXIFS($D$2:$D$1001,$A$2:$A$1001,$A601,$B$2:$B$1001,"&lt;="&amp;$B601),$C601)))),"")</f>
        <v/>
      </c>
      <c r="H601" s="15">
        <f>IFERROR(IF(G601="","",IF(INDEX(Accounts!$P$2:$P$11,$F601)="static",INDEX(Accounts!$Q$2:$Q$11,$F601)-INDEX(Accounts!$R$2:$R$11,$F601),IF(INDEX(Accounts!$S$2:$S$11,$F601)="NONE",G601-INDEX(Accounts!$R$2:$R$11,$F601),MIN(G601-INDEX(Accounts!$R$2:$R$11,$F601),INDEX(Accounts!$Q$2:$Q$11,$F601)+INDEX(Accounts!$S$2:$S$11,$F601))))),"")</f>
        <v/>
      </c>
      <c r="I601" s="16">
        <f>IF(AND($A601="",$B601="",$C601="",$D601="",$E601=""),"",IF(OR($A601="",$F601=""),"UNKNOWN_ACCOUNT",IF(OR($B601="",$C601=""),"INCOMPLETE",IFERROR(IF(OR(NOT(ISNUMBER($B601)),NOT(ISNUMBER($C601)),IF(C601="",FALSE,IF(ISNUMBER(C601),OR(C601&lt;=0,C601&gt;100000000,ROUND(C601*100,6)&lt;&gt;INT(ROUND(C601*100,6))),TRUE)),IF(D601="",FALSE,IF(ISNUMBER(D601),OR(D601&lt;=0,D601&gt;100000000,ROUND(D601*100,6)&lt;&gt;INT(ROUND(D601*100,6))),TRUE)),IF(E601="",FALSE,IF(ISNUMBER(E601),OR(E601&lt;=0,E601&gt;100000000,ROUND(E601*100,6)&lt;&gt;INT(ROUND(E601*100,6))),TRUE)),AND($D601&lt;&gt;"",$D601&lt;MAX($C601,$E601)),AND($E601&lt;&gt;"",$E601&gt;MIN($C601,IF($D601="",$C601,$D601))),COUNTIFS($A$2:$A$1001,$A601,$B$2:$B$1001,$B601)&gt;1),"INVALID",IFERROR(IF(IF(INDEX(Accounts!$T$2:$T$11,$F601),ROUND(IF($E601="",$C601,MIN($C601,$E601))-(H601),6)&lt;=0,ROUND(IF($E601="",$C601,MIN($C601,$E601))-(H601),6)&lt;0),"BREACHED","OK"),"INCOMPLETE")),"INVALID"))))</f>
        <v/>
      </c>
      <c r="J601" s="33">
        <f>IF(OR(I601="OK",I601="BREACHED"),-INT(ROUND(-(H601)*100,6))/100,I601)</f>
        <v/>
      </c>
    </row>
    <row r="602" ht="18" customHeight="1">
      <c r="A602" s="9" t="n"/>
      <c r="B602" s="32" t="n"/>
      <c r="C602" s="12" t="n"/>
      <c r="D602" s="12" t="n"/>
      <c r="E602" s="12" t="n"/>
      <c r="F602" s="15">
        <f>IFERROR(MATCH($A602,Accounts!$A$2:$A$11,0),"")</f>
        <v/>
      </c>
      <c r="G602" s="14">
        <f>IFERROR(IF(OR($A602="",$F602=""),"",IF(INDEX(Accounts!$P$2:$P$11,$F602)="static",INDEX(Accounts!$Q$2:$Q$11,$F602),IF(INDEX(Accounts!$P$2:$P$11,$F602)="eod_trailing",MAX(INDEX(Accounts!$Q$2:$Q$11,$F602),_xlfn.MAXIFS($C$2:$C$1001,$A$2:$A$1001,$A602,$B$2:$B$1001,"&lt;"&amp;$B602)),MAX(INDEX(Accounts!$Q$2:$Q$11,$F602),_xlfn.MAXIFS($C$2:$C$1001,$A$2:$A$1001,$A602,$B$2:$B$1001,"&lt;"&amp;$B602),_xlfn.MAXIFS($D$2:$D$1001,$A$2:$A$1001,$A602,$B$2:$B$1001,"&lt;="&amp;$B602),$C602)))),"")</f>
        <v/>
      </c>
      <c r="H602" s="15">
        <f>IFERROR(IF(G602="","",IF(INDEX(Accounts!$P$2:$P$11,$F602)="static",INDEX(Accounts!$Q$2:$Q$11,$F602)-INDEX(Accounts!$R$2:$R$11,$F602),IF(INDEX(Accounts!$S$2:$S$11,$F602)="NONE",G602-INDEX(Accounts!$R$2:$R$11,$F602),MIN(G602-INDEX(Accounts!$R$2:$R$11,$F602),INDEX(Accounts!$Q$2:$Q$11,$F602)+INDEX(Accounts!$S$2:$S$11,$F602))))),"")</f>
        <v/>
      </c>
      <c r="I602" s="16">
        <f>IF(AND($A602="",$B602="",$C602="",$D602="",$E602=""),"",IF(OR($A602="",$F602=""),"UNKNOWN_ACCOUNT",IF(OR($B602="",$C602=""),"INCOMPLETE",IFERROR(IF(OR(NOT(ISNUMBER($B602)),NOT(ISNUMBER($C602)),IF(C602="",FALSE,IF(ISNUMBER(C602),OR(C602&lt;=0,C602&gt;100000000,ROUND(C602*100,6)&lt;&gt;INT(ROUND(C602*100,6))),TRUE)),IF(D602="",FALSE,IF(ISNUMBER(D602),OR(D602&lt;=0,D602&gt;100000000,ROUND(D602*100,6)&lt;&gt;INT(ROUND(D602*100,6))),TRUE)),IF(E602="",FALSE,IF(ISNUMBER(E602),OR(E602&lt;=0,E602&gt;100000000,ROUND(E602*100,6)&lt;&gt;INT(ROUND(E602*100,6))),TRUE)),AND($D602&lt;&gt;"",$D602&lt;MAX($C602,$E602)),AND($E602&lt;&gt;"",$E602&gt;MIN($C602,IF($D602="",$C602,$D602))),COUNTIFS($A$2:$A$1001,$A602,$B$2:$B$1001,$B602)&gt;1),"INVALID",IFERROR(IF(IF(INDEX(Accounts!$T$2:$T$11,$F602),ROUND(IF($E602="",$C602,MIN($C602,$E602))-(H602),6)&lt;=0,ROUND(IF($E602="",$C602,MIN($C602,$E602))-(H602),6)&lt;0),"BREACHED","OK"),"INCOMPLETE")),"INVALID"))))</f>
        <v/>
      </c>
      <c r="J602" s="33">
        <f>IF(OR(I602="OK",I602="BREACHED"),-INT(ROUND(-(H602)*100,6))/100,I602)</f>
        <v/>
      </c>
    </row>
    <row r="603" ht="18" customHeight="1">
      <c r="A603" s="9" t="n"/>
      <c r="B603" s="32" t="n"/>
      <c r="C603" s="12" t="n"/>
      <c r="D603" s="12" t="n"/>
      <c r="E603" s="12" t="n"/>
      <c r="F603" s="15">
        <f>IFERROR(MATCH($A603,Accounts!$A$2:$A$11,0),"")</f>
        <v/>
      </c>
      <c r="G603" s="14">
        <f>IFERROR(IF(OR($A603="",$F603=""),"",IF(INDEX(Accounts!$P$2:$P$11,$F603)="static",INDEX(Accounts!$Q$2:$Q$11,$F603),IF(INDEX(Accounts!$P$2:$P$11,$F603)="eod_trailing",MAX(INDEX(Accounts!$Q$2:$Q$11,$F603),_xlfn.MAXIFS($C$2:$C$1001,$A$2:$A$1001,$A603,$B$2:$B$1001,"&lt;"&amp;$B603)),MAX(INDEX(Accounts!$Q$2:$Q$11,$F603),_xlfn.MAXIFS($C$2:$C$1001,$A$2:$A$1001,$A603,$B$2:$B$1001,"&lt;"&amp;$B603),_xlfn.MAXIFS($D$2:$D$1001,$A$2:$A$1001,$A603,$B$2:$B$1001,"&lt;="&amp;$B603),$C603)))),"")</f>
        <v/>
      </c>
      <c r="H603" s="15">
        <f>IFERROR(IF(G603="","",IF(INDEX(Accounts!$P$2:$P$11,$F603)="static",INDEX(Accounts!$Q$2:$Q$11,$F603)-INDEX(Accounts!$R$2:$R$11,$F603),IF(INDEX(Accounts!$S$2:$S$11,$F603)="NONE",G603-INDEX(Accounts!$R$2:$R$11,$F603),MIN(G603-INDEX(Accounts!$R$2:$R$11,$F603),INDEX(Accounts!$Q$2:$Q$11,$F603)+INDEX(Accounts!$S$2:$S$11,$F603))))),"")</f>
        <v/>
      </c>
      <c r="I603" s="16">
        <f>IF(AND($A603="",$B603="",$C603="",$D603="",$E603=""),"",IF(OR($A603="",$F603=""),"UNKNOWN_ACCOUNT",IF(OR($B603="",$C603=""),"INCOMPLETE",IFERROR(IF(OR(NOT(ISNUMBER($B603)),NOT(ISNUMBER($C603)),IF(C603="",FALSE,IF(ISNUMBER(C603),OR(C603&lt;=0,C603&gt;100000000,ROUND(C603*100,6)&lt;&gt;INT(ROUND(C603*100,6))),TRUE)),IF(D603="",FALSE,IF(ISNUMBER(D603),OR(D603&lt;=0,D603&gt;100000000,ROUND(D603*100,6)&lt;&gt;INT(ROUND(D603*100,6))),TRUE)),IF(E603="",FALSE,IF(ISNUMBER(E603),OR(E603&lt;=0,E603&gt;100000000,ROUND(E603*100,6)&lt;&gt;INT(ROUND(E603*100,6))),TRUE)),AND($D603&lt;&gt;"",$D603&lt;MAX($C603,$E603)),AND($E603&lt;&gt;"",$E603&gt;MIN($C603,IF($D603="",$C603,$D603))),COUNTIFS($A$2:$A$1001,$A603,$B$2:$B$1001,$B603)&gt;1),"INVALID",IFERROR(IF(IF(INDEX(Accounts!$T$2:$T$11,$F603),ROUND(IF($E603="",$C603,MIN($C603,$E603))-(H603),6)&lt;=0,ROUND(IF($E603="",$C603,MIN($C603,$E603))-(H603),6)&lt;0),"BREACHED","OK"),"INCOMPLETE")),"INVALID"))))</f>
        <v/>
      </c>
      <c r="J603" s="33">
        <f>IF(OR(I603="OK",I603="BREACHED"),-INT(ROUND(-(H603)*100,6))/100,I603)</f>
        <v/>
      </c>
    </row>
    <row r="604" ht="18" customHeight="1">
      <c r="A604" s="9" t="n"/>
      <c r="B604" s="32" t="n"/>
      <c r="C604" s="12" t="n"/>
      <c r="D604" s="12" t="n"/>
      <c r="E604" s="12" t="n"/>
      <c r="F604" s="15">
        <f>IFERROR(MATCH($A604,Accounts!$A$2:$A$11,0),"")</f>
        <v/>
      </c>
      <c r="G604" s="14">
        <f>IFERROR(IF(OR($A604="",$F604=""),"",IF(INDEX(Accounts!$P$2:$P$11,$F604)="static",INDEX(Accounts!$Q$2:$Q$11,$F604),IF(INDEX(Accounts!$P$2:$P$11,$F604)="eod_trailing",MAX(INDEX(Accounts!$Q$2:$Q$11,$F604),_xlfn.MAXIFS($C$2:$C$1001,$A$2:$A$1001,$A604,$B$2:$B$1001,"&lt;"&amp;$B604)),MAX(INDEX(Accounts!$Q$2:$Q$11,$F604),_xlfn.MAXIFS($C$2:$C$1001,$A$2:$A$1001,$A604,$B$2:$B$1001,"&lt;"&amp;$B604),_xlfn.MAXIFS($D$2:$D$1001,$A$2:$A$1001,$A604,$B$2:$B$1001,"&lt;="&amp;$B604),$C604)))),"")</f>
        <v/>
      </c>
      <c r="H604" s="15">
        <f>IFERROR(IF(G604="","",IF(INDEX(Accounts!$P$2:$P$11,$F604)="static",INDEX(Accounts!$Q$2:$Q$11,$F604)-INDEX(Accounts!$R$2:$R$11,$F604),IF(INDEX(Accounts!$S$2:$S$11,$F604)="NONE",G604-INDEX(Accounts!$R$2:$R$11,$F604),MIN(G604-INDEX(Accounts!$R$2:$R$11,$F604),INDEX(Accounts!$Q$2:$Q$11,$F604)+INDEX(Accounts!$S$2:$S$11,$F604))))),"")</f>
        <v/>
      </c>
      <c r="I604" s="16">
        <f>IF(AND($A604="",$B604="",$C604="",$D604="",$E604=""),"",IF(OR($A604="",$F604=""),"UNKNOWN_ACCOUNT",IF(OR($B604="",$C604=""),"INCOMPLETE",IFERROR(IF(OR(NOT(ISNUMBER($B604)),NOT(ISNUMBER($C604)),IF(C604="",FALSE,IF(ISNUMBER(C604),OR(C604&lt;=0,C604&gt;100000000,ROUND(C604*100,6)&lt;&gt;INT(ROUND(C604*100,6))),TRUE)),IF(D604="",FALSE,IF(ISNUMBER(D604),OR(D604&lt;=0,D604&gt;100000000,ROUND(D604*100,6)&lt;&gt;INT(ROUND(D604*100,6))),TRUE)),IF(E604="",FALSE,IF(ISNUMBER(E604),OR(E604&lt;=0,E604&gt;100000000,ROUND(E604*100,6)&lt;&gt;INT(ROUND(E604*100,6))),TRUE)),AND($D604&lt;&gt;"",$D604&lt;MAX($C604,$E604)),AND($E604&lt;&gt;"",$E604&gt;MIN($C604,IF($D604="",$C604,$D604))),COUNTIFS($A$2:$A$1001,$A604,$B$2:$B$1001,$B604)&gt;1),"INVALID",IFERROR(IF(IF(INDEX(Accounts!$T$2:$T$11,$F604),ROUND(IF($E604="",$C604,MIN($C604,$E604))-(H604),6)&lt;=0,ROUND(IF($E604="",$C604,MIN($C604,$E604))-(H604),6)&lt;0),"BREACHED","OK"),"INCOMPLETE")),"INVALID"))))</f>
        <v/>
      </c>
      <c r="J604" s="33">
        <f>IF(OR(I604="OK",I604="BREACHED"),-INT(ROUND(-(H604)*100,6))/100,I604)</f>
        <v/>
      </c>
    </row>
    <row r="605" ht="18" customHeight="1">
      <c r="A605" s="9" t="n"/>
      <c r="B605" s="32" t="n"/>
      <c r="C605" s="12" t="n"/>
      <c r="D605" s="12" t="n"/>
      <c r="E605" s="12" t="n"/>
      <c r="F605" s="15">
        <f>IFERROR(MATCH($A605,Accounts!$A$2:$A$11,0),"")</f>
        <v/>
      </c>
      <c r="G605" s="14">
        <f>IFERROR(IF(OR($A605="",$F605=""),"",IF(INDEX(Accounts!$P$2:$P$11,$F605)="static",INDEX(Accounts!$Q$2:$Q$11,$F605),IF(INDEX(Accounts!$P$2:$P$11,$F605)="eod_trailing",MAX(INDEX(Accounts!$Q$2:$Q$11,$F605),_xlfn.MAXIFS($C$2:$C$1001,$A$2:$A$1001,$A605,$B$2:$B$1001,"&lt;"&amp;$B605)),MAX(INDEX(Accounts!$Q$2:$Q$11,$F605),_xlfn.MAXIFS($C$2:$C$1001,$A$2:$A$1001,$A605,$B$2:$B$1001,"&lt;"&amp;$B605),_xlfn.MAXIFS($D$2:$D$1001,$A$2:$A$1001,$A605,$B$2:$B$1001,"&lt;="&amp;$B605),$C605)))),"")</f>
        <v/>
      </c>
      <c r="H605" s="15">
        <f>IFERROR(IF(G605="","",IF(INDEX(Accounts!$P$2:$P$11,$F605)="static",INDEX(Accounts!$Q$2:$Q$11,$F605)-INDEX(Accounts!$R$2:$R$11,$F605),IF(INDEX(Accounts!$S$2:$S$11,$F605)="NONE",G605-INDEX(Accounts!$R$2:$R$11,$F605),MIN(G605-INDEX(Accounts!$R$2:$R$11,$F605),INDEX(Accounts!$Q$2:$Q$11,$F605)+INDEX(Accounts!$S$2:$S$11,$F605))))),"")</f>
        <v/>
      </c>
      <c r="I605" s="16">
        <f>IF(AND($A605="",$B605="",$C605="",$D605="",$E605=""),"",IF(OR($A605="",$F605=""),"UNKNOWN_ACCOUNT",IF(OR($B605="",$C605=""),"INCOMPLETE",IFERROR(IF(OR(NOT(ISNUMBER($B605)),NOT(ISNUMBER($C605)),IF(C605="",FALSE,IF(ISNUMBER(C605),OR(C605&lt;=0,C605&gt;100000000,ROUND(C605*100,6)&lt;&gt;INT(ROUND(C605*100,6))),TRUE)),IF(D605="",FALSE,IF(ISNUMBER(D605),OR(D605&lt;=0,D605&gt;100000000,ROUND(D605*100,6)&lt;&gt;INT(ROUND(D605*100,6))),TRUE)),IF(E605="",FALSE,IF(ISNUMBER(E605),OR(E605&lt;=0,E605&gt;100000000,ROUND(E605*100,6)&lt;&gt;INT(ROUND(E605*100,6))),TRUE)),AND($D605&lt;&gt;"",$D605&lt;MAX($C605,$E605)),AND($E605&lt;&gt;"",$E605&gt;MIN($C605,IF($D605="",$C605,$D605))),COUNTIFS($A$2:$A$1001,$A605,$B$2:$B$1001,$B605)&gt;1),"INVALID",IFERROR(IF(IF(INDEX(Accounts!$T$2:$T$11,$F605),ROUND(IF($E605="",$C605,MIN($C605,$E605))-(H605),6)&lt;=0,ROUND(IF($E605="",$C605,MIN($C605,$E605))-(H605),6)&lt;0),"BREACHED","OK"),"INCOMPLETE")),"INVALID"))))</f>
        <v/>
      </c>
      <c r="J605" s="33">
        <f>IF(OR(I605="OK",I605="BREACHED"),-INT(ROUND(-(H605)*100,6))/100,I605)</f>
        <v/>
      </c>
    </row>
    <row r="606" ht="18" customHeight="1">
      <c r="A606" s="9" t="n"/>
      <c r="B606" s="32" t="n"/>
      <c r="C606" s="12" t="n"/>
      <c r="D606" s="12" t="n"/>
      <c r="E606" s="12" t="n"/>
      <c r="F606" s="15">
        <f>IFERROR(MATCH($A606,Accounts!$A$2:$A$11,0),"")</f>
        <v/>
      </c>
      <c r="G606" s="14">
        <f>IFERROR(IF(OR($A606="",$F606=""),"",IF(INDEX(Accounts!$P$2:$P$11,$F606)="static",INDEX(Accounts!$Q$2:$Q$11,$F606),IF(INDEX(Accounts!$P$2:$P$11,$F606)="eod_trailing",MAX(INDEX(Accounts!$Q$2:$Q$11,$F606),_xlfn.MAXIFS($C$2:$C$1001,$A$2:$A$1001,$A606,$B$2:$B$1001,"&lt;"&amp;$B606)),MAX(INDEX(Accounts!$Q$2:$Q$11,$F606),_xlfn.MAXIFS($C$2:$C$1001,$A$2:$A$1001,$A606,$B$2:$B$1001,"&lt;"&amp;$B606),_xlfn.MAXIFS($D$2:$D$1001,$A$2:$A$1001,$A606,$B$2:$B$1001,"&lt;="&amp;$B606),$C606)))),"")</f>
        <v/>
      </c>
      <c r="H606" s="15">
        <f>IFERROR(IF(G606="","",IF(INDEX(Accounts!$P$2:$P$11,$F606)="static",INDEX(Accounts!$Q$2:$Q$11,$F606)-INDEX(Accounts!$R$2:$R$11,$F606),IF(INDEX(Accounts!$S$2:$S$11,$F606)="NONE",G606-INDEX(Accounts!$R$2:$R$11,$F606),MIN(G606-INDEX(Accounts!$R$2:$R$11,$F606),INDEX(Accounts!$Q$2:$Q$11,$F606)+INDEX(Accounts!$S$2:$S$11,$F606))))),"")</f>
        <v/>
      </c>
      <c r="I606" s="16">
        <f>IF(AND($A606="",$B606="",$C606="",$D606="",$E606=""),"",IF(OR($A606="",$F606=""),"UNKNOWN_ACCOUNT",IF(OR($B606="",$C606=""),"INCOMPLETE",IFERROR(IF(OR(NOT(ISNUMBER($B606)),NOT(ISNUMBER($C606)),IF(C606="",FALSE,IF(ISNUMBER(C606),OR(C606&lt;=0,C606&gt;100000000,ROUND(C606*100,6)&lt;&gt;INT(ROUND(C606*100,6))),TRUE)),IF(D606="",FALSE,IF(ISNUMBER(D606),OR(D606&lt;=0,D606&gt;100000000,ROUND(D606*100,6)&lt;&gt;INT(ROUND(D606*100,6))),TRUE)),IF(E606="",FALSE,IF(ISNUMBER(E606),OR(E606&lt;=0,E606&gt;100000000,ROUND(E606*100,6)&lt;&gt;INT(ROUND(E606*100,6))),TRUE)),AND($D606&lt;&gt;"",$D606&lt;MAX($C606,$E606)),AND($E606&lt;&gt;"",$E606&gt;MIN($C606,IF($D606="",$C606,$D606))),COUNTIFS($A$2:$A$1001,$A606,$B$2:$B$1001,$B606)&gt;1),"INVALID",IFERROR(IF(IF(INDEX(Accounts!$T$2:$T$11,$F606),ROUND(IF($E606="",$C606,MIN($C606,$E606))-(H606),6)&lt;=0,ROUND(IF($E606="",$C606,MIN($C606,$E606))-(H606),6)&lt;0),"BREACHED","OK"),"INCOMPLETE")),"INVALID"))))</f>
        <v/>
      </c>
      <c r="J606" s="33">
        <f>IF(OR(I606="OK",I606="BREACHED"),-INT(ROUND(-(H606)*100,6))/100,I606)</f>
        <v/>
      </c>
    </row>
    <row r="607" ht="18" customHeight="1">
      <c r="A607" s="9" t="n"/>
      <c r="B607" s="32" t="n"/>
      <c r="C607" s="12" t="n"/>
      <c r="D607" s="12" t="n"/>
      <c r="E607" s="12" t="n"/>
      <c r="F607" s="15">
        <f>IFERROR(MATCH($A607,Accounts!$A$2:$A$11,0),"")</f>
        <v/>
      </c>
      <c r="G607" s="14">
        <f>IFERROR(IF(OR($A607="",$F607=""),"",IF(INDEX(Accounts!$P$2:$P$11,$F607)="static",INDEX(Accounts!$Q$2:$Q$11,$F607),IF(INDEX(Accounts!$P$2:$P$11,$F607)="eod_trailing",MAX(INDEX(Accounts!$Q$2:$Q$11,$F607),_xlfn.MAXIFS($C$2:$C$1001,$A$2:$A$1001,$A607,$B$2:$B$1001,"&lt;"&amp;$B607)),MAX(INDEX(Accounts!$Q$2:$Q$11,$F607),_xlfn.MAXIFS($C$2:$C$1001,$A$2:$A$1001,$A607,$B$2:$B$1001,"&lt;"&amp;$B607),_xlfn.MAXIFS($D$2:$D$1001,$A$2:$A$1001,$A607,$B$2:$B$1001,"&lt;="&amp;$B607),$C607)))),"")</f>
        <v/>
      </c>
      <c r="H607" s="15">
        <f>IFERROR(IF(G607="","",IF(INDEX(Accounts!$P$2:$P$11,$F607)="static",INDEX(Accounts!$Q$2:$Q$11,$F607)-INDEX(Accounts!$R$2:$R$11,$F607),IF(INDEX(Accounts!$S$2:$S$11,$F607)="NONE",G607-INDEX(Accounts!$R$2:$R$11,$F607),MIN(G607-INDEX(Accounts!$R$2:$R$11,$F607),INDEX(Accounts!$Q$2:$Q$11,$F607)+INDEX(Accounts!$S$2:$S$11,$F607))))),"")</f>
        <v/>
      </c>
      <c r="I607" s="16">
        <f>IF(AND($A607="",$B607="",$C607="",$D607="",$E607=""),"",IF(OR($A607="",$F607=""),"UNKNOWN_ACCOUNT",IF(OR($B607="",$C607=""),"INCOMPLETE",IFERROR(IF(OR(NOT(ISNUMBER($B607)),NOT(ISNUMBER($C607)),IF(C607="",FALSE,IF(ISNUMBER(C607),OR(C607&lt;=0,C607&gt;100000000,ROUND(C607*100,6)&lt;&gt;INT(ROUND(C607*100,6))),TRUE)),IF(D607="",FALSE,IF(ISNUMBER(D607),OR(D607&lt;=0,D607&gt;100000000,ROUND(D607*100,6)&lt;&gt;INT(ROUND(D607*100,6))),TRUE)),IF(E607="",FALSE,IF(ISNUMBER(E607),OR(E607&lt;=0,E607&gt;100000000,ROUND(E607*100,6)&lt;&gt;INT(ROUND(E607*100,6))),TRUE)),AND($D607&lt;&gt;"",$D607&lt;MAX($C607,$E607)),AND($E607&lt;&gt;"",$E607&gt;MIN($C607,IF($D607="",$C607,$D607))),COUNTIFS($A$2:$A$1001,$A607,$B$2:$B$1001,$B607)&gt;1),"INVALID",IFERROR(IF(IF(INDEX(Accounts!$T$2:$T$11,$F607),ROUND(IF($E607="",$C607,MIN($C607,$E607))-(H607),6)&lt;=0,ROUND(IF($E607="",$C607,MIN($C607,$E607))-(H607),6)&lt;0),"BREACHED","OK"),"INCOMPLETE")),"INVALID"))))</f>
        <v/>
      </c>
      <c r="J607" s="33">
        <f>IF(OR(I607="OK",I607="BREACHED"),-INT(ROUND(-(H607)*100,6))/100,I607)</f>
        <v/>
      </c>
    </row>
    <row r="608" ht="18" customHeight="1">
      <c r="A608" s="9" t="n"/>
      <c r="B608" s="32" t="n"/>
      <c r="C608" s="12" t="n"/>
      <c r="D608" s="12" t="n"/>
      <c r="E608" s="12" t="n"/>
      <c r="F608" s="15">
        <f>IFERROR(MATCH($A608,Accounts!$A$2:$A$11,0),"")</f>
        <v/>
      </c>
      <c r="G608" s="14">
        <f>IFERROR(IF(OR($A608="",$F608=""),"",IF(INDEX(Accounts!$P$2:$P$11,$F608)="static",INDEX(Accounts!$Q$2:$Q$11,$F608),IF(INDEX(Accounts!$P$2:$P$11,$F608)="eod_trailing",MAX(INDEX(Accounts!$Q$2:$Q$11,$F608),_xlfn.MAXIFS($C$2:$C$1001,$A$2:$A$1001,$A608,$B$2:$B$1001,"&lt;"&amp;$B608)),MAX(INDEX(Accounts!$Q$2:$Q$11,$F608),_xlfn.MAXIFS($C$2:$C$1001,$A$2:$A$1001,$A608,$B$2:$B$1001,"&lt;"&amp;$B608),_xlfn.MAXIFS($D$2:$D$1001,$A$2:$A$1001,$A608,$B$2:$B$1001,"&lt;="&amp;$B608),$C608)))),"")</f>
        <v/>
      </c>
      <c r="H608" s="15">
        <f>IFERROR(IF(G608="","",IF(INDEX(Accounts!$P$2:$P$11,$F608)="static",INDEX(Accounts!$Q$2:$Q$11,$F608)-INDEX(Accounts!$R$2:$R$11,$F608),IF(INDEX(Accounts!$S$2:$S$11,$F608)="NONE",G608-INDEX(Accounts!$R$2:$R$11,$F608),MIN(G608-INDEX(Accounts!$R$2:$R$11,$F608),INDEX(Accounts!$Q$2:$Q$11,$F608)+INDEX(Accounts!$S$2:$S$11,$F608))))),"")</f>
        <v/>
      </c>
      <c r="I608" s="16">
        <f>IF(AND($A608="",$B608="",$C608="",$D608="",$E608=""),"",IF(OR($A608="",$F608=""),"UNKNOWN_ACCOUNT",IF(OR($B608="",$C608=""),"INCOMPLETE",IFERROR(IF(OR(NOT(ISNUMBER($B608)),NOT(ISNUMBER($C608)),IF(C608="",FALSE,IF(ISNUMBER(C608),OR(C608&lt;=0,C608&gt;100000000,ROUND(C608*100,6)&lt;&gt;INT(ROUND(C608*100,6))),TRUE)),IF(D608="",FALSE,IF(ISNUMBER(D608),OR(D608&lt;=0,D608&gt;100000000,ROUND(D608*100,6)&lt;&gt;INT(ROUND(D608*100,6))),TRUE)),IF(E608="",FALSE,IF(ISNUMBER(E608),OR(E608&lt;=0,E608&gt;100000000,ROUND(E608*100,6)&lt;&gt;INT(ROUND(E608*100,6))),TRUE)),AND($D608&lt;&gt;"",$D608&lt;MAX($C608,$E608)),AND($E608&lt;&gt;"",$E608&gt;MIN($C608,IF($D608="",$C608,$D608))),COUNTIFS($A$2:$A$1001,$A608,$B$2:$B$1001,$B608)&gt;1),"INVALID",IFERROR(IF(IF(INDEX(Accounts!$T$2:$T$11,$F608),ROUND(IF($E608="",$C608,MIN($C608,$E608))-(H608),6)&lt;=0,ROUND(IF($E608="",$C608,MIN($C608,$E608))-(H608),6)&lt;0),"BREACHED","OK"),"INCOMPLETE")),"INVALID"))))</f>
        <v/>
      </c>
      <c r="J608" s="33">
        <f>IF(OR(I608="OK",I608="BREACHED"),-INT(ROUND(-(H608)*100,6))/100,I608)</f>
        <v/>
      </c>
    </row>
    <row r="609" ht="18" customHeight="1">
      <c r="A609" s="9" t="n"/>
      <c r="B609" s="32" t="n"/>
      <c r="C609" s="12" t="n"/>
      <c r="D609" s="12" t="n"/>
      <c r="E609" s="12" t="n"/>
      <c r="F609" s="15">
        <f>IFERROR(MATCH($A609,Accounts!$A$2:$A$11,0),"")</f>
        <v/>
      </c>
      <c r="G609" s="14">
        <f>IFERROR(IF(OR($A609="",$F609=""),"",IF(INDEX(Accounts!$P$2:$P$11,$F609)="static",INDEX(Accounts!$Q$2:$Q$11,$F609),IF(INDEX(Accounts!$P$2:$P$11,$F609)="eod_trailing",MAX(INDEX(Accounts!$Q$2:$Q$11,$F609),_xlfn.MAXIFS($C$2:$C$1001,$A$2:$A$1001,$A609,$B$2:$B$1001,"&lt;"&amp;$B609)),MAX(INDEX(Accounts!$Q$2:$Q$11,$F609),_xlfn.MAXIFS($C$2:$C$1001,$A$2:$A$1001,$A609,$B$2:$B$1001,"&lt;"&amp;$B609),_xlfn.MAXIFS($D$2:$D$1001,$A$2:$A$1001,$A609,$B$2:$B$1001,"&lt;="&amp;$B609),$C609)))),"")</f>
        <v/>
      </c>
      <c r="H609" s="15">
        <f>IFERROR(IF(G609="","",IF(INDEX(Accounts!$P$2:$P$11,$F609)="static",INDEX(Accounts!$Q$2:$Q$11,$F609)-INDEX(Accounts!$R$2:$R$11,$F609),IF(INDEX(Accounts!$S$2:$S$11,$F609)="NONE",G609-INDEX(Accounts!$R$2:$R$11,$F609),MIN(G609-INDEX(Accounts!$R$2:$R$11,$F609),INDEX(Accounts!$Q$2:$Q$11,$F609)+INDEX(Accounts!$S$2:$S$11,$F609))))),"")</f>
        <v/>
      </c>
      <c r="I609" s="16">
        <f>IF(AND($A609="",$B609="",$C609="",$D609="",$E609=""),"",IF(OR($A609="",$F609=""),"UNKNOWN_ACCOUNT",IF(OR($B609="",$C609=""),"INCOMPLETE",IFERROR(IF(OR(NOT(ISNUMBER($B609)),NOT(ISNUMBER($C609)),IF(C609="",FALSE,IF(ISNUMBER(C609),OR(C609&lt;=0,C609&gt;100000000,ROUND(C609*100,6)&lt;&gt;INT(ROUND(C609*100,6))),TRUE)),IF(D609="",FALSE,IF(ISNUMBER(D609),OR(D609&lt;=0,D609&gt;100000000,ROUND(D609*100,6)&lt;&gt;INT(ROUND(D609*100,6))),TRUE)),IF(E609="",FALSE,IF(ISNUMBER(E609),OR(E609&lt;=0,E609&gt;100000000,ROUND(E609*100,6)&lt;&gt;INT(ROUND(E609*100,6))),TRUE)),AND($D609&lt;&gt;"",$D609&lt;MAX($C609,$E609)),AND($E609&lt;&gt;"",$E609&gt;MIN($C609,IF($D609="",$C609,$D609))),COUNTIFS($A$2:$A$1001,$A609,$B$2:$B$1001,$B609)&gt;1),"INVALID",IFERROR(IF(IF(INDEX(Accounts!$T$2:$T$11,$F609),ROUND(IF($E609="",$C609,MIN($C609,$E609))-(H609),6)&lt;=0,ROUND(IF($E609="",$C609,MIN($C609,$E609))-(H609),6)&lt;0),"BREACHED","OK"),"INCOMPLETE")),"INVALID"))))</f>
        <v/>
      </c>
      <c r="J609" s="33">
        <f>IF(OR(I609="OK",I609="BREACHED"),-INT(ROUND(-(H609)*100,6))/100,I609)</f>
        <v/>
      </c>
    </row>
    <row r="610" ht="18" customHeight="1">
      <c r="A610" s="9" t="n"/>
      <c r="B610" s="32" t="n"/>
      <c r="C610" s="12" t="n"/>
      <c r="D610" s="12" t="n"/>
      <c r="E610" s="12" t="n"/>
      <c r="F610" s="15">
        <f>IFERROR(MATCH($A610,Accounts!$A$2:$A$11,0),"")</f>
        <v/>
      </c>
      <c r="G610" s="14">
        <f>IFERROR(IF(OR($A610="",$F610=""),"",IF(INDEX(Accounts!$P$2:$P$11,$F610)="static",INDEX(Accounts!$Q$2:$Q$11,$F610),IF(INDEX(Accounts!$P$2:$P$11,$F610)="eod_trailing",MAX(INDEX(Accounts!$Q$2:$Q$11,$F610),_xlfn.MAXIFS($C$2:$C$1001,$A$2:$A$1001,$A610,$B$2:$B$1001,"&lt;"&amp;$B610)),MAX(INDEX(Accounts!$Q$2:$Q$11,$F610),_xlfn.MAXIFS($C$2:$C$1001,$A$2:$A$1001,$A610,$B$2:$B$1001,"&lt;"&amp;$B610),_xlfn.MAXIFS($D$2:$D$1001,$A$2:$A$1001,$A610,$B$2:$B$1001,"&lt;="&amp;$B610),$C610)))),"")</f>
        <v/>
      </c>
      <c r="H610" s="15">
        <f>IFERROR(IF(G610="","",IF(INDEX(Accounts!$P$2:$P$11,$F610)="static",INDEX(Accounts!$Q$2:$Q$11,$F610)-INDEX(Accounts!$R$2:$R$11,$F610),IF(INDEX(Accounts!$S$2:$S$11,$F610)="NONE",G610-INDEX(Accounts!$R$2:$R$11,$F610),MIN(G610-INDEX(Accounts!$R$2:$R$11,$F610),INDEX(Accounts!$Q$2:$Q$11,$F610)+INDEX(Accounts!$S$2:$S$11,$F610))))),"")</f>
        <v/>
      </c>
      <c r="I610" s="16">
        <f>IF(AND($A610="",$B610="",$C610="",$D610="",$E610=""),"",IF(OR($A610="",$F610=""),"UNKNOWN_ACCOUNT",IF(OR($B610="",$C610=""),"INCOMPLETE",IFERROR(IF(OR(NOT(ISNUMBER($B610)),NOT(ISNUMBER($C610)),IF(C610="",FALSE,IF(ISNUMBER(C610),OR(C610&lt;=0,C610&gt;100000000,ROUND(C610*100,6)&lt;&gt;INT(ROUND(C610*100,6))),TRUE)),IF(D610="",FALSE,IF(ISNUMBER(D610),OR(D610&lt;=0,D610&gt;100000000,ROUND(D610*100,6)&lt;&gt;INT(ROUND(D610*100,6))),TRUE)),IF(E610="",FALSE,IF(ISNUMBER(E610),OR(E610&lt;=0,E610&gt;100000000,ROUND(E610*100,6)&lt;&gt;INT(ROUND(E610*100,6))),TRUE)),AND($D610&lt;&gt;"",$D610&lt;MAX($C610,$E610)),AND($E610&lt;&gt;"",$E610&gt;MIN($C610,IF($D610="",$C610,$D610))),COUNTIFS($A$2:$A$1001,$A610,$B$2:$B$1001,$B610)&gt;1),"INVALID",IFERROR(IF(IF(INDEX(Accounts!$T$2:$T$11,$F610),ROUND(IF($E610="",$C610,MIN($C610,$E610))-(H610),6)&lt;=0,ROUND(IF($E610="",$C610,MIN($C610,$E610))-(H610),6)&lt;0),"BREACHED","OK"),"INCOMPLETE")),"INVALID"))))</f>
        <v/>
      </c>
      <c r="J610" s="33">
        <f>IF(OR(I610="OK",I610="BREACHED"),-INT(ROUND(-(H610)*100,6))/100,I610)</f>
        <v/>
      </c>
    </row>
    <row r="611" ht="18" customHeight="1">
      <c r="A611" s="9" t="n"/>
      <c r="B611" s="32" t="n"/>
      <c r="C611" s="12" t="n"/>
      <c r="D611" s="12" t="n"/>
      <c r="E611" s="12" t="n"/>
      <c r="F611" s="15">
        <f>IFERROR(MATCH($A611,Accounts!$A$2:$A$11,0),"")</f>
        <v/>
      </c>
      <c r="G611" s="14">
        <f>IFERROR(IF(OR($A611="",$F611=""),"",IF(INDEX(Accounts!$P$2:$P$11,$F611)="static",INDEX(Accounts!$Q$2:$Q$11,$F611),IF(INDEX(Accounts!$P$2:$P$11,$F611)="eod_trailing",MAX(INDEX(Accounts!$Q$2:$Q$11,$F611),_xlfn.MAXIFS($C$2:$C$1001,$A$2:$A$1001,$A611,$B$2:$B$1001,"&lt;"&amp;$B611)),MAX(INDEX(Accounts!$Q$2:$Q$11,$F611),_xlfn.MAXIFS($C$2:$C$1001,$A$2:$A$1001,$A611,$B$2:$B$1001,"&lt;"&amp;$B611),_xlfn.MAXIFS($D$2:$D$1001,$A$2:$A$1001,$A611,$B$2:$B$1001,"&lt;="&amp;$B611),$C611)))),"")</f>
        <v/>
      </c>
      <c r="H611" s="15">
        <f>IFERROR(IF(G611="","",IF(INDEX(Accounts!$P$2:$P$11,$F611)="static",INDEX(Accounts!$Q$2:$Q$11,$F611)-INDEX(Accounts!$R$2:$R$11,$F611),IF(INDEX(Accounts!$S$2:$S$11,$F611)="NONE",G611-INDEX(Accounts!$R$2:$R$11,$F611),MIN(G611-INDEX(Accounts!$R$2:$R$11,$F611),INDEX(Accounts!$Q$2:$Q$11,$F611)+INDEX(Accounts!$S$2:$S$11,$F611))))),"")</f>
        <v/>
      </c>
      <c r="I611" s="16">
        <f>IF(AND($A611="",$B611="",$C611="",$D611="",$E611=""),"",IF(OR($A611="",$F611=""),"UNKNOWN_ACCOUNT",IF(OR($B611="",$C611=""),"INCOMPLETE",IFERROR(IF(OR(NOT(ISNUMBER($B611)),NOT(ISNUMBER($C611)),IF(C611="",FALSE,IF(ISNUMBER(C611),OR(C611&lt;=0,C611&gt;100000000,ROUND(C611*100,6)&lt;&gt;INT(ROUND(C611*100,6))),TRUE)),IF(D611="",FALSE,IF(ISNUMBER(D611),OR(D611&lt;=0,D611&gt;100000000,ROUND(D611*100,6)&lt;&gt;INT(ROUND(D611*100,6))),TRUE)),IF(E611="",FALSE,IF(ISNUMBER(E611),OR(E611&lt;=0,E611&gt;100000000,ROUND(E611*100,6)&lt;&gt;INT(ROUND(E611*100,6))),TRUE)),AND($D611&lt;&gt;"",$D611&lt;MAX($C611,$E611)),AND($E611&lt;&gt;"",$E611&gt;MIN($C611,IF($D611="",$C611,$D611))),COUNTIFS($A$2:$A$1001,$A611,$B$2:$B$1001,$B611)&gt;1),"INVALID",IFERROR(IF(IF(INDEX(Accounts!$T$2:$T$11,$F611),ROUND(IF($E611="",$C611,MIN($C611,$E611))-(H611),6)&lt;=0,ROUND(IF($E611="",$C611,MIN($C611,$E611))-(H611),6)&lt;0),"BREACHED","OK"),"INCOMPLETE")),"INVALID"))))</f>
        <v/>
      </c>
      <c r="J611" s="33">
        <f>IF(OR(I611="OK",I611="BREACHED"),-INT(ROUND(-(H611)*100,6))/100,I611)</f>
        <v/>
      </c>
    </row>
    <row r="612" ht="18" customHeight="1">
      <c r="A612" s="9" t="n"/>
      <c r="B612" s="32" t="n"/>
      <c r="C612" s="12" t="n"/>
      <c r="D612" s="12" t="n"/>
      <c r="E612" s="12" t="n"/>
      <c r="F612" s="15">
        <f>IFERROR(MATCH($A612,Accounts!$A$2:$A$11,0),"")</f>
        <v/>
      </c>
      <c r="G612" s="14">
        <f>IFERROR(IF(OR($A612="",$F612=""),"",IF(INDEX(Accounts!$P$2:$P$11,$F612)="static",INDEX(Accounts!$Q$2:$Q$11,$F612),IF(INDEX(Accounts!$P$2:$P$11,$F612)="eod_trailing",MAX(INDEX(Accounts!$Q$2:$Q$11,$F612),_xlfn.MAXIFS($C$2:$C$1001,$A$2:$A$1001,$A612,$B$2:$B$1001,"&lt;"&amp;$B612)),MAX(INDEX(Accounts!$Q$2:$Q$11,$F612),_xlfn.MAXIFS($C$2:$C$1001,$A$2:$A$1001,$A612,$B$2:$B$1001,"&lt;"&amp;$B612),_xlfn.MAXIFS($D$2:$D$1001,$A$2:$A$1001,$A612,$B$2:$B$1001,"&lt;="&amp;$B612),$C612)))),"")</f>
        <v/>
      </c>
      <c r="H612" s="15">
        <f>IFERROR(IF(G612="","",IF(INDEX(Accounts!$P$2:$P$11,$F612)="static",INDEX(Accounts!$Q$2:$Q$11,$F612)-INDEX(Accounts!$R$2:$R$11,$F612),IF(INDEX(Accounts!$S$2:$S$11,$F612)="NONE",G612-INDEX(Accounts!$R$2:$R$11,$F612),MIN(G612-INDEX(Accounts!$R$2:$R$11,$F612),INDEX(Accounts!$Q$2:$Q$11,$F612)+INDEX(Accounts!$S$2:$S$11,$F612))))),"")</f>
        <v/>
      </c>
      <c r="I612" s="16">
        <f>IF(AND($A612="",$B612="",$C612="",$D612="",$E612=""),"",IF(OR($A612="",$F612=""),"UNKNOWN_ACCOUNT",IF(OR($B612="",$C612=""),"INCOMPLETE",IFERROR(IF(OR(NOT(ISNUMBER($B612)),NOT(ISNUMBER($C612)),IF(C612="",FALSE,IF(ISNUMBER(C612),OR(C612&lt;=0,C612&gt;100000000,ROUND(C612*100,6)&lt;&gt;INT(ROUND(C612*100,6))),TRUE)),IF(D612="",FALSE,IF(ISNUMBER(D612),OR(D612&lt;=0,D612&gt;100000000,ROUND(D612*100,6)&lt;&gt;INT(ROUND(D612*100,6))),TRUE)),IF(E612="",FALSE,IF(ISNUMBER(E612),OR(E612&lt;=0,E612&gt;100000000,ROUND(E612*100,6)&lt;&gt;INT(ROUND(E612*100,6))),TRUE)),AND($D612&lt;&gt;"",$D612&lt;MAX($C612,$E612)),AND($E612&lt;&gt;"",$E612&gt;MIN($C612,IF($D612="",$C612,$D612))),COUNTIFS($A$2:$A$1001,$A612,$B$2:$B$1001,$B612)&gt;1),"INVALID",IFERROR(IF(IF(INDEX(Accounts!$T$2:$T$11,$F612),ROUND(IF($E612="",$C612,MIN($C612,$E612))-(H612),6)&lt;=0,ROUND(IF($E612="",$C612,MIN($C612,$E612))-(H612),6)&lt;0),"BREACHED","OK"),"INCOMPLETE")),"INVALID"))))</f>
        <v/>
      </c>
      <c r="J612" s="33">
        <f>IF(OR(I612="OK",I612="BREACHED"),-INT(ROUND(-(H612)*100,6))/100,I612)</f>
        <v/>
      </c>
    </row>
    <row r="613" ht="18" customHeight="1">
      <c r="A613" s="9" t="n"/>
      <c r="B613" s="32" t="n"/>
      <c r="C613" s="12" t="n"/>
      <c r="D613" s="12" t="n"/>
      <c r="E613" s="12" t="n"/>
      <c r="F613" s="15">
        <f>IFERROR(MATCH($A613,Accounts!$A$2:$A$11,0),"")</f>
        <v/>
      </c>
      <c r="G613" s="14">
        <f>IFERROR(IF(OR($A613="",$F613=""),"",IF(INDEX(Accounts!$P$2:$P$11,$F613)="static",INDEX(Accounts!$Q$2:$Q$11,$F613),IF(INDEX(Accounts!$P$2:$P$11,$F613)="eod_trailing",MAX(INDEX(Accounts!$Q$2:$Q$11,$F613),_xlfn.MAXIFS($C$2:$C$1001,$A$2:$A$1001,$A613,$B$2:$B$1001,"&lt;"&amp;$B613)),MAX(INDEX(Accounts!$Q$2:$Q$11,$F613),_xlfn.MAXIFS($C$2:$C$1001,$A$2:$A$1001,$A613,$B$2:$B$1001,"&lt;"&amp;$B613),_xlfn.MAXIFS($D$2:$D$1001,$A$2:$A$1001,$A613,$B$2:$B$1001,"&lt;="&amp;$B613),$C613)))),"")</f>
        <v/>
      </c>
      <c r="H613" s="15">
        <f>IFERROR(IF(G613="","",IF(INDEX(Accounts!$P$2:$P$11,$F613)="static",INDEX(Accounts!$Q$2:$Q$11,$F613)-INDEX(Accounts!$R$2:$R$11,$F613),IF(INDEX(Accounts!$S$2:$S$11,$F613)="NONE",G613-INDEX(Accounts!$R$2:$R$11,$F613),MIN(G613-INDEX(Accounts!$R$2:$R$11,$F613),INDEX(Accounts!$Q$2:$Q$11,$F613)+INDEX(Accounts!$S$2:$S$11,$F613))))),"")</f>
        <v/>
      </c>
      <c r="I613" s="16">
        <f>IF(AND($A613="",$B613="",$C613="",$D613="",$E613=""),"",IF(OR($A613="",$F613=""),"UNKNOWN_ACCOUNT",IF(OR($B613="",$C613=""),"INCOMPLETE",IFERROR(IF(OR(NOT(ISNUMBER($B613)),NOT(ISNUMBER($C613)),IF(C613="",FALSE,IF(ISNUMBER(C613),OR(C613&lt;=0,C613&gt;100000000,ROUND(C613*100,6)&lt;&gt;INT(ROUND(C613*100,6))),TRUE)),IF(D613="",FALSE,IF(ISNUMBER(D613),OR(D613&lt;=0,D613&gt;100000000,ROUND(D613*100,6)&lt;&gt;INT(ROUND(D613*100,6))),TRUE)),IF(E613="",FALSE,IF(ISNUMBER(E613),OR(E613&lt;=0,E613&gt;100000000,ROUND(E613*100,6)&lt;&gt;INT(ROUND(E613*100,6))),TRUE)),AND($D613&lt;&gt;"",$D613&lt;MAX($C613,$E613)),AND($E613&lt;&gt;"",$E613&gt;MIN($C613,IF($D613="",$C613,$D613))),COUNTIFS($A$2:$A$1001,$A613,$B$2:$B$1001,$B613)&gt;1),"INVALID",IFERROR(IF(IF(INDEX(Accounts!$T$2:$T$11,$F613),ROUND(IF($E613="",$C613,MIN($C613,$E613))-(H613),6)&lt;=0,ROUND(IF($E613="",$C613,MIN($C613,$E613))-(H613),6)&lt;0),"BREACHED","OK"),"INCOMPLETE")),"INVALID"))))</f>
        <v/>
      </c>
      <c r="J613" s="33">
        <f>IF(OR(I613="OK",I613="BREACHED"),-INT(ROUND(-(H613)*100,6))/100,I613)</f>
        <v/>
      </c>
    </row>
    <row r="614" ht="18" customHeight="1">
      <c r="A614" s="9" t="n"/>
      <c r="B614" s="32" t="n"/>
      <c r="C614" s="12" t="n"/>
      <c r="D614" s="12" t="n"/>
      <c r="E614" s="12" t="n"/>
      <c r="F614" s="15">
        <f>IFERROR(MATCH($A614,Accounts!$A$2:$A$11,0),"")</f>
        <v/>
      </c>
      <c r="G614" s="14">
        <f>IFERROR(IF(OR($A614="",$F614=""),"",IF(INDEX(Accounts!$P$2:$P$11,$F614)="static",INDEX(Accounts!$Q$2:$Q$11,$F614),IF(INDEX(Accounts!$P$2:$P$11,$F614)="eod_trailing",MAX(INDEX(Accounts!$Q$2:$Q$11,$F614),_xlfn.MAXIFS($C$2:$C$1001,$A$2:$A$1001,$A614,$B$2:$B$1001,"&lt;"&amp;$B614)),MAX(INDEX(Accounts!$Q$2:$Q$11,$F614),_xlfn.MAXIFS($C$2:$C$1001,$A$2:$A$1001,$A614,$B$2:$B$1001,"&lt;"&amp;$B614),_xlfn.MAXIFS($D$2:$D$1001,$A$2:$A$1001,$A614,$B$2:$B$1001,"&lt;="&amp;$B614),$C614)))),"")</f>
        <v/>
      </c>
      <c r="H614" s="15">
        <f>IFERROR(IF(G614="","",IF(INDEX(Accounts!$P$2:$P$11,$F614)="static",INDEX(Accounts!$Q$2:$Q$11,$F614)-INDEX(Accounts!$R$2:$R$11,$F614),IF(INDEX(Accounts!$S$2:$S$11,$F614)="NONE",G614-INDEX(Accounts!$R$2:$R$11,$F614),MIN(G614-INDEX(Accounts!$R$2:$R$11,$F614),INDEX(Accounts!$Q$2:$Q$11,$F614)+INDEX(Accounts!$S$2:$S$11,$F614))))),"")</f>
        <v/>
      </c>
      <c r="I614" s="16">
        <f>IF(AND($A614="",$B614="",$C614="",$D614="",$E614=""),"",IF(OR($A614="",$F614=""),"UNKNOWN_ACCOUNT",IF(OR($B614="",$C614=""),"INCOMPLETE",IFERROR(IF(OR(NOT(ISNUMBER($B614)),NOT(ISNUMBER($C614)),IF(C614="",FALSE,IF(ISNUMBER(C614),OR(C614&lt;=0,C614&gt;100000000,ROUND(C614*100,6)&lt;&gt;INT(ROUND(C614*100,6))),TRUE)),IF(D614="",FALSE,IF(ISNUMBER(D614),OR(D614&lt;=0,D614&gt;100000000,ROUND(D614*100,6)&lt;&gt;INT(ROUND(D614*100,6))),TRUE)),IF(E614="",FALSE,IF(ISNUMBER(E614),OR(E614&lt;=0,E614&gt;100000000,ROUND(E614*100,6)&lt;&gt;INT(ROUND(E614*100,6))),TRUE)),AND($D614&lt;&gt;"",$D614&lt;MAX($C614,$E614)),AND($E614&lt;&gt;"",$E614&gt;MIN($C614,IF($D614="",$C614,$D614))),COUNTIFS($A$2:$A$1001,$A614,$B$2:$B$1001,$B614)&gt;1),"INVALID",IFERROR(IF(IF(INDEX(Accounts!$T$2:$T$11,$F614),ROUND(IF($E614="",$C614,MIN($C614,$E614))-(H614),6)&lt;=0,ROUND(IF($E614="",$C614,MIN($C614,$E614))-(H614),6)&lt;0),"BREACHED","OK"),"INCOMPLETE")),"INVALID"))))</f>
        <v/>
      </c>
      <c r="J614" s="33">
        <f>IF(OR(I614="OK",I614="BREACHED"),-INT(ROUND(-(H614)*100,6))/100,I614)</f>
        <v/>
      </c>
    </row>
    <row r="615" ht="18" customHeight="1">
      <c r="A615" s="9" t="n"/>
      <c r="B615" s="32" t="n"/>
      <c r="C615" s="12" t="n"/>
      <c r="D615" s="12" t="n"/>
      <c r="E615" s="12" t="n"/>
      <c r="F615" s="15">
        <f>IFERROR(MATCH($A615,Accounts!$A$2:$A$11,0),"")</f>
        <v/>
      </c>
      <c r="G615" s="14">
        <f>IFERROR(IF(OR($A615="",$F615=""),"",IF(INDEX(Accounts!$P$2:$P$11,$F615)="static",INDEX(Accounts!$Q$2:$Q$11,$F615),IF(INDEX(Accounts!$P$2:$P$11,$F615)="eod_trailing",MAX(INDEX(Accounts!$Q$2:$Q$11,$F615),_xlfn.MAXIFS($C$2:$C$1001,$A$2:$A$1001,$A615,$B$2:$B$1001,"&lt;"&amp;$B615)),MAX(INDEX(Accounts!$Q$2:$Q$11,$F615),_xlfn.MAXIFS($C$2:$C$1001,$A$2:$A$1001,$A615,$B$2:$B$1001,"&lt;"&amp;$B615),_xlfn.MAXIFS($D$2:$D$1001,$A$2:$A$1001,$A615,$B$2:$B$1001,"&lt;="&amp;$B615),$C615)))),"")</f>
        <v/>
      </c>
      <c r="H615" s="15">
        <f>IFERROR(IF(G615="","",IF(INDEX(Accounts!$P$2:$P$11,$F615)="static",INDEX(Accounts!$Q$2:$Q$11,$F615)-INDEX(Accounts!$R$2:$R$11,$F615),IF(INDEX(Accounts!$S$2:$S$11,$F615)="NONE",G615-INDEX(Accounts!$R$2:$R$11,$F615),MIN(G615-INDEX(Accounts!$R$2:$R$11,$F615),INDEX(Accounts!$Q$2:$Q$11,$F615)+INDEX(Accounts!$S$2:$S$11,$F615))))),"")</f>
        <v/>
      </c>
      <c r="I615" s="16">
        <f>IF(AND($A615="",$B615="",$C615="",$D615="",$E615=""),"",IF(OR($A615="",$F615=""),"UNKNOWN_ACCOUNT",IF(OR($B615="",$C615=""),"INCOMPLETE",IFERROR(IF(OR(NOT(ISNUMBER($B615)),NOT(ISNUMBER($C615)),IF(C615="",FALSE,IF(ISNUMBER(C615),OR(C615&lt;=0,C615&gt;100000000,ROUND(C615*100,6)&lt;&gt;INT(ROUND(C615*100,6))),TRUE)),IF(D615="",FALSE,IF(ISNUMBER(D615),OR(D615&lt;=0,D615&gt;100000000,ROUND(D615*100,6)&lt;&gt;INT(ROUND(D615*100,6))),TRUE)),IF(E615="",FALSE,IF(ISNUMBER(E615),OR(E615&lt;=0,E615&gt;100000000,ROUND(E615*100,6)&lt;&gt;INT(ROUND(E615*100,6))),TRUE)),AND($D615&lt;&gt;"",$D615&lt;MAX($C615,$E615)),AND($E615&lt;&gt;"",$E615&gt;MIN($C615,IF($D615="",$C615,$D615))),COUNTIFS($A$2:$A$1001,$A615,$B$2:$B$1001,$B615)&gt;1),"INVALID",IFERROR(IF(IF(INDEX(Accounts!$T$2:$T$11,$F615),ROUND(IF($E615="",$C615,MIN($C615,$E615))-(H615),6)&lt;=0,ROUND(IF($E615="",$C615,MIN($C615,$E615))-(H615),6)&lt;0),"BREACHED","OK"),"INCOMPLETE")),"INVALID"))))</f>
        <v/>
      </c>
      <c r="J615" s="33">
        <f>IF(OR(I615="OK",I615="BREACHED"),-INT(ROUND(-(H615)*100,6))/100,I615)</f>
        <v/>
      </c>
    </row>
    <row r="616" ht="18" customHeight="1">
      <c r="A616" s="9" t="n"/>
      <c r="B616" s="32" t="n"/>
      <c r="C616" s="12" t="n"/>
      <c r="D616" s="12" t="n"/>
      <c r="E616" s="12" t="n"/>
      <c r="F616" s="15">
        <f>IFERROR(MATCH($A616,Accounts!$A$2:$A$11,0),"")</f>
        <v/>
      </c>
      <c r="G616" s="14">
        <f>IFERROR(IF(OR($A616="",$F616=""),"",IF(INDEX(Accounts!$P$2:$P$11,$F616)="static",INDEX(Accounts!$Q$2:$Q$11,$F616),IF(INDEX(Accounts!$P$2:$P$11,$F616)="eod_trailing",MAX(INDEX(Accounts!$Q$2:$Q$11,$F616),_xlfn.MAXIFS($C$2:$C$1001,$A$2:$A$1001,$A616,$B$2:$B$1001,"&lt;"&amp;$B616)),MAX(INDEX(Accounts!$Q$2:$Q$11,$F616),_xlfn.MAXIFS($C$2:$C$1001,$A$2:$A$1001,$A616,$B$2:$B$1001,"&lt;"&amp;$B616),_xlfn.MAXIFS($D$2:$D$1001,$A$2:$A$1001,$A616,$B$2:$B$1001,"&lt;="&amp;$B616),$C616)))),"")</f>
        <v/>
      </c>
      <c r="H616" s="15">
        <f>IFERROR(IF(G616="","",IF(INDEX(Accounts!$P$2:$P$11,$F616)="static",INDEX(Accounts!$Q$2:$Q$11,$F616)-INDEX(Accounts!$R$2:$R$11,$F616),IF(INDEX(Accounts!$S$2:$S$11,$F616)="NONE",G616-INDEX(Accounts!$R$2:$R$11,$F616),MIN(G616-INDEX(Accounts!$R$2:$R$11,$F616),INDEX(Accounts!$Q$2:$Q$11,$F616)+INDEX(Accounts!$S$2:$S$11,$F616))))),"")</f>
        <v/>
      </c>
      <c r="I616" s="16">
        <f>IF(AND($A616="",$B616="",$C616="",$D616="",$E616=""),"",IF(OR($A616="",$F616=""),"UNKNOWN_ACCOUNT",IF(OR($B616="",$C616=""),"INCOMPLETE",IFERROR(IF(OR(NOT(ISNUMBER($B616)),NOT(ISNUMBER($C616)),IF(C616="",FALSE,IF(ISNUMBER(C616),OR(C616&lt;=0,C616&gt;100000000,ROUND(C616*100,6)&lt;&gt;INT(ROUND(C616*100,6))),TRUE)),IF(D616="",FALSE,IF(ISNUMBER(D616),OR(D616&lt;=0,D616&gt;100000000,ROUND(D616*100,6)&lt;&gt;INT(ROUND(D616*100,6))),TRUE)),IF(E616="",FALSE,IF(ISNUMBER(E616),OR(E616&lt;=0,E616&gt;100000000,ROUND(E616*100,6)&lt;&gt;INT(ROUND(E616*100,6))),TRUE)),AND($D616&lt;&gt;"",$D616&lt;MAX($C616,$E616)),AND($E616&lt;&gt;"",$E616&gt;MIN($C616,IF($D616="",$C616,$D616))),COUNTIFS($A$2:$A$1001,$A616,$B$2:$B$1001,$B616)&gt;1),"INVALID",IFERROR(IF(IF(INDEX(Accounts!$T$2:$T$11,$F616),ROUND(IF($E616="",$C616,MIN($C616,$E616))-(H616),6)&lt;=0,ROUND(IF($E616="",$C616,MIN($C616,$E616))-(H616),6)&lt;0),"BREACHED","OK"),"INCOMPLETE")),"INVALID"))))</f>
        <v/>
      </c>
      <c r="J616" s="33">
        <f>IF(OR(I616="OK",I616="BREACHED"),-INT(ROUND(-(H616)*100,6))/100,I616)</f>
        <v/>
      </c>
    </row>
    <row r="617" ht="18" customHeight="1">
      <c r="A617" s="9" t="n"/>
      <c r="B617" s="32" t="n"/>
      <c r="C617" s="12" t="n"/>
      <c r="D617" s="12" t="n"/>
      <c r="E617" s="12" t="n"/>
      <c r="F617" s="15">
        <f>IFERROR(MATCH($A617,Accounts!$A$2:$A$11,0),"")</f>
        <v/>
      </c>
      <c r="G617" s="14">
        <f>IFERROR(IF(OR($A617="",$F617=""),"",IF(INDEX(Accounts!$P$2:$P$11,$F617)="static",INDEX(Accounts!$Q$2:$Q$11,$F617),IF(INDEX(Accounts!$P$2:$P$11,$F617)="eod_trailing",MAX(INDEX(Accounts!$Q$2:$Q$11,$F617),_xlfn.MAXIFS($C$2:$C$1001,$A$2:$A$1001,$A617,$B$2:$B$1001,"&lt;"&amp;$B617)),MAX(INDEX(Accounts!$Q$2:$Q$11,$F617),_xlfn.MAXIFS($C$2:$C$1001,$A$2:$A$1001,$A617,$B$2:$B$1001,"&lt;"&amp;$B617),_xlfn.MAXIFS($D$2:$D$1001,$A$2:$A$1001,$A617,$B$2:$B$1001,"&lt;="&amp;$B617),$C617)))),"")</f>
        <v/>
      </c>
      <c r="H617" s="15">
        <f>IFERROR(IF(G617="","",IF(INDEX(Accounts!$P$2:$P$11,$F617)="static",INDEX(Accounts!$Q$2:$Q$11,$F617)-INDEX(Accounts!$R$2:$R$11,$F617),IF(INDEX(Accounts!$S$2:$S$11,$F617)="NONE",G617-INDEX(Accounts!$R$2:$R$11,$F617),MIN(G617-INDEX(Accounts!$R$2:$R$11,$F617),INDEX(Accounts!$Q$2:$Q$11,$F617)+INDEX(Accounts!$S$2:$S$11,$F617))))),"")</f>
        <v/>
      </c>
      <c r="I617" s="16">
        <f>IF(AND($A617="",$B617="",$C617="",$D617="",$E617=""),"",IF(OR($A617="",$F617=""),"UNKNOWN_ACCOUNT",IF(OR($B617="",$C617=""),"INCOMPLETE",IFERROR(IF(OR(NOT(ISNUMBER($B617)),NOT(ISNUMBER($C617)),IF(C617="",FALSE,IF(ISNUMBER(C617),OR(C617&lt;=0,C617&gt;100000000,ROUND(C617*100,6)&lt;&gt;INT(ROUND(C617*100,6))),TRUE)),IF(D617="",FALSE,IF(ISNUMBER(D617),OR(D617&lt;=0,D617&gt;100000000,ROUND(D617*100,6)&lt;&gt;INT(ROUND(D617*100,6))),TRUE)),IF(E617="",FALSE,IF(ISNUMBER(E617),OR(E617&lt;=0,E617&gt;100000000,ROUND(E617*100,6)&lt;&gt;INT(ROUND(E617*100,6))),TRUE)),AND($D617&lt;&gt;"",$D617&lt;MAX($C617,$E617)),AND($E617&lt;&gt;"",$E617&gt;MIN($C617,IF($D617="",$C617,$D617))),COUNTIFS($A$2:$A$1001,$A617,$B$2:$B$1001,$B617)&gt;1),"INVALID",IFERROR(IF(IF(INDEX(Accounts!$T$2:$T$11,$F617),ROUND(IF($E617="",$C617,MIN($C617,$E617))-(H617),6)&lt;=0,ROUND(IF($E617="",$C617,MIN($C617,$E617))-(H617),6)&lt;0),"BREACHED","OK"),"INCOMPLETE")),"INVALID"))))</f>
        <v/>
      </c>
      <c r="J617" s="33">
        <f>IF(OR(I617="OK",I617="BREACHED"),-INT(ROUND(-(H617)*100,6))/100,I617)</f>
        <v/>
      </c>
    </row>
    <row r="618" ht="18" customHeight="1">
      <c r="A618" s="9" t="n"/>
      <c r="B618" s="32" t="n"/>
      <c r="C618" s="12" t="n"/>
      <c r="D618" s="12" t="n"/>
      <c r="E618" s="12" t="n"/>
      <c r="F618" s="15">
        <f>IFERROR(MATCH($A618,Accounts!$A$2:$A$11,0),"")</f>
        <v/>
      </c>
      <c r="G618" s="14">
        <f>IFERROR(IF(OR($A618="",$F618=""),"",IF(INDEX(Accounts!$P$2:$P$11,$F618)="static",INDEX(Accounts!$Q$2:$Q$11,$F618),IF(INDEX(Accounts!$P$2:$P$11,$F618)="eod_trailing",MAX(INDEX(Accounts!$Q$2:$Q$11,$F618),_xlfn.MAXIFS($C$2:$C$1001,$A$2:$A$1001,$A618,$B$2:$B$1001,"&lt;"&amp;$B618)),MAX(INDEX(Accounts!$Q$2:$Q$11,$F618),_xlfn.MAXIFS($C$2:$C$1001,$A$2:$A$1001,$A618,$B$2:$B$1001,"&lt;"&amp;$B618),_xlfn.MAXIFS($D$2:$D$1001,$A$2:$A$1001,$A618,$B$2:$B$1001,"&lt;="&amp;$B618),$C618)))),"")</f>
        <v/>
      </c>
      <c r="H618" s="15">
        <f>IFERROR(IF(G618="","",IF(INDEX(Accounts!$P$2:$P$11,$F618)="static",INDEX(Accounts!$Q$2:$Q$11,$F618)-INDEX(Accounts!$R$2:$R$11,$F618),IF(INDEX(Accounts!$S$2:$S$11,$F618)="NONE",G618-INDEX(Accounts!$R$2:$R$11,$F618),MIN(G618-INDEX(Accounts!$R$2:$R$11,$F618),INDEX(Accounts!$Q$2:$Q$11,$F618)+INDEX(Accounts!$S$2:$S$11,$F618))))),"")</f>
        <v/>
      </c>
      <c r="I618" s="16">
        <f>IF(AND($A618="",$B618="",$C618="",$D618="",$E618=""),"",IF(OR($A618="",$F618=""),"UNKNOWN_ACCOUNT",IF(OR($B618="",$C618=""),"INCOMPLETE",IFERROR(IF(OR(NOT(ISNUMBER($B618)),NOT(ISNUMBER($C618)),IF(C618="",FALSE,IF(ISNUMBER(C618),OR(C618&lt;=0,C618&gt;100000000,ROUND(C618*100,6)&lt;&gt;INT(ROUND(C618*100,6))),TRUE)),IF(D618="",FALSE,IF(ISNUMBER(D618),OR(D618&lt;=0,D618&gt;100000000,ROUND(D618*100,6)&lt;&gt;INT(ROUND(D618*100,6))),TRUE)),IF(E618="",FALSE,IF(ISNUMBER(E618),OR(E618&lt;=0,E618&gt;100000000,ROUND(E618*100,6)&lt;&gt;INT(ROUND(E618*100,6))),TRUE)),AND($D618&lt;&gt;"",$D618&lt;MAX($C618,$E618)),AND($E618&lt;&gt;"",$E618&gt;MIN($C618,IF($D618="",$C618,$D618))),COUNTIFS($A$2:$A$1001,$A618,$B$2:$B$1001,$B618)&gt;1),"INVALID",IFERROR(IF(IF(INDEX(Accounts!$T$2:$T$11,$F618),ROUND(IF($E618="",$C618,MIN($C618,$E618))-(H618),6)&lt;=0,ROUND(IF($E618="",$C618,MIN($C618,$E618))-(H618),6)&lt;0),"BREACHED","OK"),"INCOMPLETE")),"INVALID"))))</f>
        <v/>
      </c>
      <c r="J618" s="33">
        <f>IF(OR(I618="OK",I618="BREACHED"),-INT(ROUND(-(H618)*100,6))/100,I618)</f>
        <v/>
      </c>
    </row>
    <row r="619" ht="18" customHeight="1">
      <c r="A619" s="9" t="n"/>
      <c r="B619" s="32" t="n"/>
      <c r="C619" s="12" t="n"/>
      <c r="D619" s="12" t="n"/>
      <c r="E619" s="12" t="n"/>
      <c r="F619" s="15">
        <f>IFERROR(MATCH($A619,Accounts!$A$2:$A$11,0),"")</f>
        <v/>
      </c>
      <c r="G619" s="14">
        <f>IFERROR(IF(OR($A619="",$F619=""),"",IF(INDEX(Accounts!$P$2:$P$11,$F619)="static",INDEX(Accounts!$Q$2:$Q$11,$F619),IF(INDEX(Accounts!$P$2:$P$11,$F619)="eod_trailing",MAX(INDEX(Accounts!$Q$2:$Q$11,$F619),_xlfn.MAXIFS($C$2:$C$1001,$A$2:$A$1001,$A619,$B$2:$B$1001,"&lt;"&amp;$B619)),MAX(INDEX(Accounts!$Q$2:$Q$11,$F619),_xlfn.MAXIFS($C$2:$C$1001,$A$2:$A$1001,$A619,$B$2:$B$1001,"&lt;"&amp;$B619),_xlfn.MAXIFS($D$2:$D$1001,$A$2:$A$1001,$A619,$B$2:$B$1001,"&lt;="&amp;$B619),$C619)))),"")</f>
        <v/>
      </c>
      <c r="H619" s="15">
        <f>IFERROR(IF(G619="","",IF(INDEX(Accounts!$P$2:$P$11,$F619)="static",INDEX(Accounts!$Q$2:$Q$11,$F619)-INDEX(Accounts!$R$2:$R$11,$F619),IF(INDEX(Accounts!$S$2:$S$11,$F619)="NONE",G619-INDEX(Accounts!$R$2:$R$11,$F619),MIN(G619-INDEX(Accounts!$R$2:$R$11,$F619),INDEX(Accounts!$Q$2:$Q$11,$F619)+INDEX(Accounts!$S$2:$S$11,$F619))))),"")</f>
        <v/>
      </c>
      <c r="I619" s="16">
        <f>IF(AND($A619="",$B619="",$C619="",$D619="",$E619=""),"",IF(OR($A619="",$F619=""),"UNKNOWN_ACCOUNT",IF(OR($B619="",$C619=""),"INCOMPLETE",IFERROR(IF(OR(NOT(ISNUMBER($B619)),NOT(ISNUMBER($C619)),IF(C619="",FALSE,IF(ISNUMBER(C619),OR(C619&lt;=0,C619&gt;100000000,ROUND(C619*100,6)&lt;&gt;INT(ROUND(C619*100,6))),TRUE)),IF(D619="",FALSE,IF(ISNUMBER(D619),OR(D619&lt;=0,D619&gt;100000000,ROUND(D619*100,6)&lt;&gt;INT(ROUND(D619*100,6))),TRUE)),IF(E619="",FALSE,IF(ISNUMBER(E619),OR(E619&lt;=0,E619&gt;100000000,ROUND(E619*100,6)&lt;&gt;INT(ROUND(E619*100,6))),TRUE)),AND($D619&lt;&gt;"",$D619&lt;MAX($C619,$E619)),AND($E619&lt;&gt;"",$E619&gt;MIN($C619,IF($D619="",$C619,$D619))),COUNTIFS($A$2:$A$1001,$A619,$B$2:$B$1001,$B619)&gt;1),"INVALID",IFERROR(IF(IF(INDEX(Accounts!$T$2:$T$11,$F619),ROUND(IF($E619="",$C619,MIN($C619,$E619))-(H619),6)&lt;=0,ROUND(IF($E619="",$C619,MIN($C619,$E619))-(H619),6)&lt;0),"BREACHED","OK"),"INCOMPLETE")),"INVALID"))))</f>
        <v/>
      </c>
      <c r="J619" s="33">
        <f>IF(OR(I619="OK",I619="BREACHED"),-INT(ROUND(-(H619)*100,6))/100,I619)</f>
        <v/>
      </c>
    </row>
    <row r="620" ht="18" customHeight="1">
      <c r="A620" s="9" t="n"/>
      <c r="B620" s="32" t="n"/>
      <c r="C620" s="12" t="n"/>
      <c r="D620" s="12" t="n"/>
      <c r="E620" s="12" t="n"/>
      <c r="F620" s="15">
        <f>IFERROR(MATCH($A620,Accounts!$A$2:$A$11,0),"")</f>
        <v/>
      </c>
      <c r="G620" s="14">
        <f>IFERROR(IF(OR($A620="",$F620=""),"",IF(INDEX(Accounts!$P$2:$P$11,$F620)="static",INDEX(Accounts!$Q$2:$Q$11,$F620),IF(INDEX(Accounts!$P$2:$P$11,$F620)="eod_trailing",MAX(INDEX(Accounts!$Q$2:$Q$11,$F620),_xlfn.MAXIFS($C$2:$C$1001,$A$2:$A$1001,$A620,$B$2:$B$1001,"&lt;"&amp;$B620)),MAX(INDEX(Accounts!$Q$2:$Q$11,$F620),_xlfn.MAXIFS($C$2:$C$1001,$A$2:$A$1001,$A620,$B$2:$B$1001,"&lt;"&amp;$B620),_xlfn.MAXIFS($D$2:$D$1001,$A$2:$A$1001,$A620,$B$2:$B$1001,"&lt;="&amp;$B620),$C620)))),"")</f>
        <v/>
      </c>
      <c r="H620" s="15">
        <f>IFERROR(IF(G620="","",IF(INDEX(Accounts!$P$2:$P$11,$F620)="static",INDEX(Accounts!$Q$2:$Q$11,$F620)-INDEX(Accounts!$R$2:$R$11,$F620),IF(INDEX(Accounts!$S$2:$S$11,$F620)="NONE",G620-INDEX(Accounts!$R$2:$R$11,$F620),MIN(G620-INDEX(Accounts!$R$2:$R$11,$F620),INDEX(Accounts!$Q$2:$Q$11,$F620)+INDEX(Accounts!$S$2:$S$11,$F620))))),"")</f>
        <v/>
      </c>
      <c r="I620" s="16">
        <f>IF(AND($A620="",$B620="",$C620="",$D620="",$E620=""),"",IF(OR($A620="",$F620=""),"UNKNOWN_ACCOUNT",IF(OR($B620="",$C620=""),"INCOMPLETE",IFERROR(IF(OR(NOT(ISNUMBER($B620)),NOT(ISNUMBER($C620)),IF(C620="",FALSE,IF(ISNUMBER(C620),OR(C620&lt;=0,C620&gt;100000000,ROUND(C620*100,6)&lt;&gt;INT(ROUND(C620*100,6))),TRUE)),IF(D620="",FALSE,IF(ISNUMBER(D620),OR(D620&lt;=0,D620&gt;100000000,ROUND(D620*100,6)&lt;&gt;INT(ROUND(D620*100,6))),TRUE)),IF(E620="",FALSE,IF(ISNUMBER(E620),OR(E620&lt;=0,E620&gt;100000000,ROUND(E620*100,6)&lt;&gt;INT(ROUND(E620*100,6))),TRUE)),AND($D620&lt;&gt;"",$D620&lt;MAX($C620,$E620)),AND($E620&lt;&gt;"",$E620&gt;MIN($C620,IF($D620="",$C620,$D620))),COUNTIFS($A$2:$A$1001,$A620,$B$2:$B$1001,$B620)&gt;1),"INVALID",IFERROR(IF(IF(INDEX(Accounts!$T$2:$T$11,$F620),ROUND(IF($E620="",$C620,MIN($C620,$E620))-(H620),6)&lt;=0,ROUND(IF($E620="",$C620,MIN($C620,$E620))-(H620),6)&lt;0),"BREACHED","OK"),"INCOMPLETE")),"INVALID"))))</f>
        <v/>
      </c>
      <c r="J620" s="33">
        <f>IF(OR(I620="OK",I620="BREACHED"),-INT(ROUND(-(H620)*100,6))/100,I620)</f>
        <v/>
      </c>
    </row>
    <row r="621" ht="18" customHeight="1">
      <c r="A621" s="9" t="n"/>
      <c r="B621" s="32" t="n"/>
      <c r="C621" s="12" t="n"/>
      <c r="D621" s="12" t="n"/>
      <c r="E621" s="12" t="n"/>
      <c r="F621" s="15">
        <f>IFERROR(MATCH($A621,Accounts!$A$2:$A$11,0),"")</f>
        <v/>
      </c>
      <c r="G621" s="14">
        <f>IFERROR(IF(OR($A621="",$F621=""),"",IF(INDEX(Accounts!$P$2:$P$11,$F621)="static",INDEX(Accounts!$Q$2:$Q$11,$F621),IF(INDEX(Accounts!$P$2:$P$11,$F621)="eod_trailing",MAX(INDEX(Accounts!$Q$2:$Q$11,$F621),_xlfn.MAXIFS($C$2:$C$1001,$A$2:$A$1001,$A621,$B$2:$B$1001,"&lt;"&amp;$B621)),MAX(INDEX(Accounts!$Q$2:$Q$11,$F621),_xlfn.MAXIFS($C$2:$C$1001,$A$2:$A$1001,$A621,$B$2:$B$1001,"&lt;"&amp;$B621),_xlfn.MAXIFS($D$2:$D$1001,$A$2:$A$1001,$A621,$B$2:$B$1001,"&lt;="&amp;$B621),$C621)))),"")</f>
        <v/>
      </c>
      <c r="H621" s="15">
        <f>IFERROR(IF(G621="","",IF(INDEX(Accounts!$P$2:$P$11,$F621)="static",INDEX(Accounts!$Q$2:$Q$11,$F621)-INDEX(Accounts!$R$2:$R$11,$F621),IF(INDEX(Accounts!$S$2:$S$11,$F621)="NONE",G621-INDEX(Accounts!$R$2:$R$11,$F621),MIN(G621-INDEX(Accounts!$R$2:$R$11,$F621),INDEX(Accounts!$Q$2:$Q$11,$F621)+INDEX(Accounts!$S$2:$S$11,$F621))))),"")</f>
        <v/>
      </c>
      <c r="I621" s="16">
        <f>IF(AND($A621="",$B621="",$C621="",$D621="",$E621=""),"",IF(OR($A621="",$F621=""),"UNKNOWN_ACCOUNT",IF(OR($B621="",$C621=""),"INCOMPLETE",IFERROR(IF(OR(NOT(ISNUMBER($B621)),NOT(ISNUMBER($C621)),IF(C621="",FALSE,IF(ISNUMBER(C621),OR(C621&lt;=0,C621&gt;100000000,ROUND(C621*100,6)&lt;&gt;INT(ROUND(C621*100,6))),TRUE)),IF(D621="",FALSE,IF(ISNUMBER(D621),OR(D621&lt;=0,D621&gt;100000000,ROUND(D621*100,6)&lt;&gt;INT(ROUND(D621*100,6))),TRUE)),IF(E621="",FALSE,IF(ISNUMBER(E621),OR(E621&lt;=0,E621&gt;100000000,ROUND(E621*100,6)&lt;&gt;INT(ROUND(E621*100,6))),TRUE)),AND($D621&lt;&gt;"",$D621&lt;MAX($C621,$E621)),AND($E621&lt;&gt;"",$E621&gt;MIN($C621,IF($D621="",$C621,$D621))),COUNTIFS($A$2:$A$1001,$A621,$B$2:$B$1001,$B621)&gt;1),"INVALID",IFERROR(IF(IF(INDEX(Accounts!$T$2:$T$11,$F621),ROUND(IF($E621="",$C621,MIN($C621,$E621))-(H621),6)&lt;=0,ROUND(IF($E621="",$C621,MIN($C621,$E621))-(H621),6)&lt;0),"BREACHED","OK"),"INCOMPLETE")),"INVALID"))))</f>
        <v/>
      </c>
      <c r="J621" s="33">
        <f>IF(OR(I621="OK",I621="BREACHED"),-INT(ROUND(-(H621)*100,6))/100,I621)</f>
        <v/>
      </c>
    </row>
    <row r="622" ht="18" customHeight="1">
      <c r="A622" s="9" t="n"/>
      <c r="B622" s="32" t="n"/>
      <c r="C622" s="12" t="n"/>
      <c r="D622" s="12" t="n"/>
      <c r="E622" s="12" t="n"/>
      <c r="F622" s="15">
        <f>IFERROR(MATCH($A622,Accounts!$A$2:$A$11,0),"")</f>
        <v/>
      </c>
      <c r="G622" s="14">
        <f>IFERROR(IF(OR($A622="",$F622=""),"",IF(INDEX(Accounts!$P$2:$P$11,$F622)="static",INDEX(Accounts!$Q$2:$Q$11,$F622),IF(INDEX(Accounts!$P$2:$P$11,$F622)="eod_trailing",MAX(INDEX(Accounts!$Q$2:$Q$11,$F622),_xlfn.MAXIFS($C$2:$C$1001,$A$2:$A$1001,$A622,$B$2:$B$1001,"&lt;"&amp;$B622)),MAX(INDEX(Accounts!$Q$2:$Q$11,$F622),_xlfn.MAXIFS($C$2:$C$1001,$A$2:$A$1001,$A622,$B$2:$B$1001,"&lt;"&amp;$B622),_xlfn.MAXIFS($D$2:$D$1001,$A$2:$A$1001,$A622,$B$2:$B$1001,"&lt;="&amp;$B622),$C622)))),"")</f>
        <v/>
      </c>
      <c r="H622" s="15">
        <f>IFERROR(IF(G622="","",IF(INDEX(Accounts!$P$2:$P$11,$F622)="static",INDEX(Accounts!$Q$2:$Q$11,$F622)-INDEX(Accounts!$R$2:$R$11,$F622),IF(INDEX(Accounts!$S$2:$S$11,$F622)="NONE",G622-INDEX(Accounts!$R$2:$R$11,$F622),MIN(G622-INDEX(Accounts!$R$2:$R$11,$F622),INDEX(Accounts!$Q$2:$Q$11,$F622)+INDEX(Accounts!$S$2:$S$11,$F622))))),"")</f>
        <v/>
      </c>
      <c r="I622" s="16">
        <f>IF(AND($A622="",$B622="",$C622="",$D622="",$E622=""),"",IF(OR($A622="",$F622=""),"UNKNOWN_ACCOUNT",IF(OR($B622="",$C622=""),"INCOMPLETE",IFERROR(IF(OR(NOT(ISNUMBER($B622)),NOT(ISNUMBER($C622)),IF(C622="",FALSE,IF(ISNUMBER(C622),OR(C622&lt;=0,C622&gt;100000000,ROUND(C622*100,6)&lt;&gt;INT(ROUND(C622*100,6))),TRUE)),IF(D622="",FALSE,IF(ISNUMBER(D622),OR(D622&lt;=0,D622&gt;100000000,ROUND(D622*100,6)&lt;&gt;INT(ROUND(D622*100,6))),TRUE)),IF(E622="",FALSE,IF(ISNUMBER(E622),OR(E622&lt;=0,E622&gt;100000000,ROUND(E622*100,6)&lt;&gt;INT(ROUND(E622*100,6))),TRUE)),AND($D622&lt;&gt;"",$D622&lt;MAX($C622,$E622)),AND($E622&lt;&gt;"",$E622&gt;MIN($C622,IF($D622="",$C622,$D622))),COUNTIFS($A$2:$A$1001,$A622,$B$2:$B$1001,$B622)&gt;1),"INVALID",IFERROR(IF(IF(INDEX(Accounts!$T$2:$T$11,$F622),ROUND(IF($E622="",$C622,MIN($C622,$E622))-(H622),6)&lt;=0,ROUND(IF($E622="",$C622,MIN($C622,$E622))-(H622),6)&lt;0),"BREACHED","OK"),"INCOMPLETE")),"INVALID"))))</f>
        <v/>
      </c>
      <c r="J622" s="33">
        <f>IF(OR(I622="OK",I622="BREACHED"),-INT(ROUND(-(H622)*100,6))/100,I622)</f>
        <v/>
      </c>
    </row>
    <row r="623" ht="18" customHeight="1">
      <c r="A623" s="9" t="n"/>
      <c r="B623" s="32" t="n"/>
      <c r="C623" s="12" t="n"/>
      <c r="D623" s="12" t="n"/>
      <c r="E623" s="12" t="n"/>
      <c r="F623" s="15">
        <f>IFERROR(MATCH($A623,Accounts!$A$2:$A$11,0),"")</f>
        <v/>
      </c>
      <c r="G623" s="14">
        <f>IFERROR(IF(OR($A623="",$F623=""),"",IF(INDEX(Accounts!$P$2:$P$11,$F623)="static",INDEX(Accounts!$Q$2:$Q$11,$F623),IF(INDEX(Accounts!$P$2:$P$11,$F623)="eod_trailing",MAX(INDEX(Accounts!$Q$2:$Q$11,$F623),_xlfn.MAXIFS($C$2:$C$1001,$A$2:$A$1001,$A623,$B$2:$B$1001,"&lt;"&amp;$B623)),MAX(INDEX(Accounts!$Q$2:$Q$11,$F623),_xlfn.MAXIFS($C$2:$C$1001,$A$2:$A$1001,$A623,$B$2:$B$1001,"&lt;"&amp;$B623),_xlfn.MAXIFS($D$2:$D$1001,$A$2:$A$1001,$A623,$B$2:$B$1001,"&lt;="&amp;$B623),$C623)))),"")</f>
        <v/>
      </c>
      <c r="H623" s="15">
        <f>IFERROR(IF(G623="","",IF(INDEX(Accounts!$P$2:$P$11,$F623)="static",INDEX(Accounts!$Q$2:$Q$11,$F623)-INDEX(Accounts!$R$2:$R$11,$F623),IF(INDEX(Accounts!$S$2:$S$11,$F623)="NONE",G623-INDEX(Accounts!$R$2:$R$11,$F623),MIN(G623-INDEX(Accounts!$R$2:$R$11,$F623),INDEX(Accounts!$Q$2:$Q$11,$F623)+INDEX(Accounts!$S$2:$S$11,$F623))))),"")</f>
        <v/>
      </c>
      <c r="I623" s="16">
        <f>IF(AND($A623="",$B623="",$C623="",$D623="",$E623=""),"",IF(OR($A623="",$F623=""),"UNKNOWN_ACCOUNT",IF(OR($B623="",$C623=""),"INCOMPLETE",IFERROR(IF(OR(NOT(ISNUMBER($B623)),NOT(ISNUMBER($C623)),IF(C623="",FALSE,IF(ISNUMBER(C623),OR(C623&lt;=0,C623&gt;100000000,ROUND(C623*100,6)&lt;&gt;INT(ROUND(C623*100,6))),TRUE)),IF(D623="",FALSE,IF(ISNUMBER(D623),OR(D623&lt;=0,D623&gt;100000000,ROUND(D623*100,6)&lt;&gt;INT(ROUND(D623*100,6))),TRUE)),IF(E623="",FALSE,IF(ISNUMBER(E623),OR(E623&lt;=0,E623&gt;100000000,ROUND(E623*100,6)&lt;&gt;INT(ROUND(E623*100,6))),TRUE)),AND($D623&lt;&gt;"",$D623&lt;MAX($C623,$E623)),AND($E623&lt;&gt;"",$E623&gt;MIN($C623,IF($D623="",$C623,$D623))),COUNTIFS($A$2:$A$1001,$A623,$B$2:$B$1001,$B623)&gt;1),"INVALID",IFERROR(IF(IF(INDEX(Accounts!$T$2:$T$11,$F623),ROUND(IF($E623="",$C623,MIN($C623,$E623))-(H623),6)&lt;=0,ROUND(IF($E623="",$C623,MIN($C623,$E623))-(H623),6)&lt;0),"BREACHED","OK"),"INCOMPLETE")),"INVALID"))))</f>
        <v/>
      </c>
      <c r="J623" s="33">
        <f>IF(OR(I623="OK",I623="BREACHED"),-INT(ROUND(-(H623)*100,6))/100,I623)</f>
        <v/>
      </c>
    </row>
    <row r="624" ht="18" customHeight="1">
      <c r="A624" s="9" t="n"/>
      <c r="B624" s="32" t="n"/>
      <c r="C624" s="12" t="n"/>
      <c r="D624" s="12" t="n"/>
      <c r="E624" s="12" t="n"/>
      <c r="F624" s="15">
        <f>IFERROR(MATCH($A624,Accounts!$A$2:$A$11,0),"")</f>
        <v/>
      </c>
      <c r="G624" s="14">
        <f>IFERROR(IF(OR($A624="",$F624=""),"",IF(INDEX(Accounts!$P$2:$P$11,$F624)="static",INDEX(Accounts!$Q$2:$Q$11,$F624),IF(INDEX(Accounts!$P$2:$P$11,$F624)="eod_trailing",MAX(INDEX(Accounts!$Q$2:$Q$11,$F624),_xlfn.MAXIFS($C$2:$C$1001,$A$2:$A$1001,$A624,$B$2:$B$1001,"&lt;"&amp;$B624)),MAX(INDEX(Accounts!$Q$2:$Q$11,$F624),_xlfn.MAXIFS($C$2:$C$1001,$A$2:$A$1001,$A624,$B$2:$B$1001,"&lt;"&amp;$B624),_xlfn.MAXIFS($D$2:$D$1001,$A$2:$A$1001,$A624,$B$2:$B$1001,"&lt;="&amp;$B624),$C624)))),"")</f>
        <v/>
      </c>
      <c r="H624" s="15">
        <f>IFERROR(IF(G624="","",IF(INDEX(Accounts!$P$2:$P$11,$F624)="static",INDEX(Accounts!$Q$2:$Q$11,$F624)-INDEX(Accounts!$R$2:$R$11,$F624),IF(INDEX(Accounts!$S$2:$S$11,$F624)="NONE",G624-INDEX(Accounts!$R$2:$R$11,$F624),MIN(G624-INDEX(Accounts!$R$2:$R$11,$F624),INDEX(Accounts!$Q$2:$Q$11,$F624)+INDEX(Accounts!$S$2:$S$11,$F624))))),"")</f>
        <v/>
      </c>
      <c r="I624" s="16">
        <f>IF(AND($A624="",$B624="",$C624="",$D624="",$E624=""),"",IF(OR($A624="",$F624=""),"UNKNOWN_ACCOUNT",IF(OR($B624="",$C624=""),"INCOMPLETE",IFERROR(IF(OR(NOT(ISNUMBER($B624)),NOT(ISNUMBER($C624)),IF(C624="",FALSE,IF(ISNUMBER(C624),OR(C624&lt;=0,C624&gt;100000000,ROUND(C624*100,6)&lt;&gt;INT(ROUND(C624*100,6))),TRUE)),IF(D624="",FALSE,IF(ISNUMBER(D624),OR(D624&lt;=0,D624&gt;100000000,ROUND(D624*100,6)&lt;&gt;INT(ROUND(D624*100,6))),TRUE)),IF(E624="",FALSE,IF(ISNUMBER(E624),OR(E624&lt;=0,E624&gt;100000000,ROUND(E624*100,6)&lt;&gt;INT(ROUND(E624*100,6))),TRUE)),AND($D624&lt;&gt;"",$D624&lt;MAX($C624,$E624)),AND($E624&lt;&gt;"",$E624&gt;MIN($C624,IF($D624="",$C624,$D624))),COUNTIFS($A$2:$A$1001,$A624,$B$2:$B$1001,$B624)&gt;1),"INVALID",IFERROR(IF(IF(INDEX(Accounts!$T$2:$T$11,$F624),ROUND(IF($E624="",$C624,MIN($C624,$E624))-(H624),6)&lt;=0,ROUND(IF($E624="",$C624,MIN($C624,$E624))-(H624),6)&lt;0),"BREACHED","OK"),"INCOMPLETE")),"INVALID"))))</f>
        <v/>
      </c>
      <c r="J624" s="33">
        <f>IF(OR(I624="OK",I624="BREACHED"),-INT(ROUND(-(H624)*100,6))/100,I624)</f>
        <v/>
      </c>
    </row>
    <row r="625" ht="18" customHeight="1">
      <c r="A625" s="9" t="n"/>
      <c r="B625" s="32" t="n"/>
      <c r="C625" s="12" t="n"/>
      <c r="D625" s="12" t="n"/>
      <c r="E625" s="12" t="n"/>
      <c r="F625" s="15">
        <f>IFERROR(MATCH($A625,Accounts!$A$2:$A$11,0),"")</f>
        <v/>
      </c>
      <c r="G625" s="14">
        <f>IFERROR(IF(OR($A625="",$F625=""),"",IF(INDEX(Accounts!$P$2:$P$11,$F625)="static",INDEX(Accounts!$Q$2:$Q$11,$F625),IF(INDEX(Accounts!$P$2:$P$11,$F625)="eod_trailing",MAX(INDEX(Accounts!$Q$2:$Q$11,$F625),_xlfn.MAXIFS($C$2:$C$1001,$A$2:$A$1001,$A625,$B$2:$B$1001,"&lt;"&amp;$B625)),MAX(INDEX(Accounts!$Q$2:$Q$11,$F625),_xlfn.MAXIFS($C$2:$C$1001,$A$2:$A$1001,$A625,$B$2:$B$1001,"&lt;"&amp;$B625),_xlfn.MAXIFS($D$2:$D$1001,$A$2:$A$1001,$A625,$B$2:$B$1001,"&lt;="&amp;$B625),$C625)))),"")</f>
        <v/>
      </c>
      <c r="H625" s="15">
        <f>IFERROR(IF(G625="","",IF(INDEX(Accounts!$P$2:$P$11,$F625)="static",INDEX(Accounts!$Q$2:$Q$11,$F625)-INDEX(Accounts!$R$2:$R$11,$F625),IF(INDEX(Accounts!$S$2:$S$11,$F625)="NONE",G625-INDEX(Accounts!$R$2:$R$11,$F625),MIN(G625-INDEX(Accounts!$R$2:$R$11,$F625),INDEX(Accounts!$Q$2:$Q$11,$F625)+INDEX(Accounts!$S$2:$S$11,$F625))))),"")</f>
        <v/>
      </c>
      <c r="I625" s="16">
        <f>IF(AND($A625="",$B625="",$C625="",$D625="",$E625=""),"",IF(OR($A625="",$F625=""),"UNKNOWN_ACCOUNT",IF(OR($B625="",$C625=""),"INCOMPLETE",IFERROR(IF(OR(NOT(ISNUMBER($B625)),NOT(ISNUMBER($C625)),IF(C625="",FALSE,IF(ISNUMBER(C625),OR(C625&lt;=0,C625&gt;100000000,ROUND(C625*100,6)&lt;&gt;INT(ROUND(C625*100,6))),TRUE)),IF(D625="",FALSE,IF(ISNUMBER(D625),OR(D625&lt;=0,D625&gt;100000000,ROUND(D625*100,6)&lt;&gt;INT(ROUND(D625*100,6))),TRUE)),IF(E625="",FALSE,IF(ISNUMBER(E625),OR(E625&lt;=0,E625&gt;100000000,ROUND(E625*100,6)&lt;&gt;INT(ROUND(E625*100,6))),TRUE)),AND($D625&lt;&gt;"",$D625&lt;MAX($C625,$E625)),AND($E625&lt;&gt;"",$E625&gt;MIN($C625,IF($D625="",$C625,$D625))),COUNTIFS($A$2:$A$1001,$A625,$B$2:$B$1001,$B625)&gt;1),"INVALID",IFERROR(IF(IF(INDEX(Accounts!$T$2:$T$11,$F625),ROUND(IF($E625="",$C625,MIN($C625,$E625))-(H625),6)&lt;=0,ROUND(IF($E625="",$C625,MIN($C625,$E625))-(H625),6)&lt;0),"BREACHED","OK"),"INCOMPLETE")),"INVALID"))))</f>
        <v/>
      </c>
      <c r="J625" s="33">
        <f>IF(OR(I625="OK",I625="BREACHED"),-INT(ROUND(-(H625)*100,6))/100,I625)</f>
        <v/>
      </c>
    </row>
    <row r="626" ht="18" customHeight="1">
      <c r="A626" s="9" t="n"/>
      <c r="B626" s="32" t="n"/>
      <c r="C626" s="12" t="n"/>
      <c r="D626" s="12" t="n"/>
      <c r="E626" s="12" t="n"/>
      <c r="F626" s="15">
        <f>IFERROR(MATCH($A626,Accounts!$A$2:$A$11,0),"")</f>
        <v/>
      </c>
      <c r="G626" s="14">
        <f>IFERROR(IF(OR($A626="",$F626=""),"",IF(INDEX(Accounts!$P$2:$P$11,$F626)="static",INDEX(Accounts!$Q$2:$Q$11,$F626),IF(INDEX(Accounts!$P$2:$P$11,$F626)="eod_trailing",MAX(INDEX(Accounts!$Q$2:$Q$11,$F626),_xlfn.MAXIFS($C$2:$C$1001,$A$2:$A$1001,$A626,$B$2:$B$1001,"&lt;"&amp;$B626)),MAX(INDEX(Accounts!$Q$2:$Q$11,$F626),_xlfn.MAXIFS($C$2:$C$1001,$A$2:$A$1001,$A626,$B$2:$B$1001,"&lt;"&amp;$B626),_xlfn.MAXIFS($D$2:$D$1001,$A$2:$A$1001,$A626,$B$2:$B$1001,"&lt;="&amp;$B626),$C626)))),"")</f>
        <v/>
      </c>
      <c r="H626" s="15">
        <f>IFERROR(IF(G626="","",IF(INDEX(Accounts!$P$2:$P$11,$F626)="static",INDEX(Accounts!$Q$2:$Q$11,$F626)-INDEX(Accounts!$R$2:$R$11,$F626),IF(INDEX(Accounts!$S$2:$S$11,$F626)="NONE",G626-INDEX(Accounts!$R$2:$R$11,$F626),MIN(G626-INDEX(Accounts!$R$2:$R$11,$F626),INDEX(Accounts!$Q$2:$Q$11,$F626)+INDEX(Accounts!$S$2:$S$11,$F626))))),"")</f>
        <v/>
      </c>
      <c r="I626" s="16">
        <f>IF(AND($A626="",$B626="",$C626="",$D626="",$E626=""),"",IF(OR($A626="",$F626=""),"UNKNOWN_ACCOUNT",IF(OR($B626="",$C626=""),"INCOMPLETE",IFERROR(IF(OR(NOT(ISNUMBER($B626)),NOT(ISNUMBER($C626)),IF(C626="",FALSE,IF(ISNUMBER(C626),OR(C626&lt;=0,C626&gt;100000000,ROUND(C626*100,6)&lt;&gt;INT(ROUND(C626*100,6))),TRUE)),IF(D626="",FALSE,IF(ISNUMBER(D626),OR(D626&lt;=0,D626&gt;100000000,ROUND(D626*100,6)&lt;&gt;INT(ROUND(D626*100,6))),TRUE)),IF(E626="",FALSE,IF(ISNUMBER(E626),OR(E626&lt;=0,E626&gt;100000000,ROUND(E626*100,6)&lt;&gt;INT(ROUND(E626*100,6))),TRUE)),AND($D626&lt;&gt;"",$D626&lt;MAX($C626,$E626)),AND($E626&lt;&gt;"",$E626&gt;MIN($C626,IF($D626="",$C626,$D626))),COUNTIFS($A$2:$A$1001,$A626,$B$2:$B$1001,$B626)&gt;1),"INVALID",IFERROR(IF(IF(INDEX(Accounts!$T$2:$T$11,$F626),ROUND(IF($E626="",$C626,MIN($C626,$E626))-(H626),6)&lt;=0,ROUND(IF($E626="",$C626,MIN($C626,$E626))-(H626),6)&lt;0),"BREACHED","OK"),"INCOMPLETE")),"INVALID"))))</f>
        <v/>
      </c>
      <c r="J626" s="33">
        <f>IF(OR(I626="OK",I626="BREACHED"),-INT(ROUND(-(H626)*100,6))/100,I626)</f>
        <v/>
      </c>
    </row>
    <row r="627" ht="18" customHeight="1">
      <c r="A627" s="9" t="n"/>
      <c r="B627" s="32" t="n"/>
      <c r="C627" s="12" t="n"/>
      <c r="D627" s="12" t="n"/>
      <c r="E627" s="12" t="n"/>
      <c r="F627" s="15">
        <f>IFERROR(MATCH($A627,Accounts!$A$2:$A$11,0),"")</f>
        <v/>
      </c>
      <c r="G627" s="14">
        <f>IFERROR(IF(OR($A627="",$F627=""),"",IF(INDEX(Accounts!$P$2:$P$11,$F627)="static",INDEX(Accounts!$Q$2:$Q$11,$F627),IF(INDEX(Accounts!$P$2:$P$11,$F627)="eod_trailing",MAX(INDEX(Accounts!$Q$2:$Q$11,$F627),_xlfn.MAXIFS($C$2:$C$1001,$A$2:$A$1001,$A627,$B$2:$B$1001,"&lt;"&amp;$B627)),MAX(INDEX(Accounts!$Q$2:$Q$11,$F627),_xlfn.MAXIFS($C$2:$C$1001,$A$2:$A$1001,$A627,$B$2:$B$1001,"&lt;"&amp;$B627),_xlfn.MAXIFS($D$2:$D$1001,$A$2:$A$1001,$A627,$B$2:$B$1001,"&lt;="&amp;$B627),$C627)))),"")</f>
        <v/>
      </c>
      <c r="H627" s="15">
        <f>IFERROR(IF(G627="","",IF(INDEX(Accounts!$P$2:$P$11,$F627)="static",INDEX(Accounts!$Q$2:$Q$11,$F627)-INDEX(Accounts!$R$2:$R$11,$F627),IF(INDEX(Accounts!$S$2:$S$11,$F627)="NONE",G627-INDEX(Accounts!$R$2:$R$11,$F627),MIN(G627-INDEX(Accounts!$R$2:$R$11,$F627),INDEX(Accounts!$Q$2:$Q$11,$F627)+INDEX(Accounts!$S$2:$S$11,$F627))))),"")</f>
        <v/>
      </c>
      <c r="I627" s="16">
        <f>IF(AND($A627="",$B627="",$C627="",$D627="",$E627=""),"",IF(OR($A627="",$F627=""),"UNKNOWN_ACCOUNT",IF(OR($B627="",$C627=""),"INCOMPLETE",IFERROR(IF(OR(NOT(ISNUMBER($B627)),NOT(ISNUMBER($C627)),IF(C627="",FALSE,IF(ISNUMBER(C627),OR(C627&lt;=0,C627&gt;100000000,ROUND(C627*100,6)&lt;&gt;INT(ROUND(C627*100,6))),TRUE)),IF(D627="",FALSE,IF(ISNUMBER(D627),OR(D627&lt;=0,D627&gt;100000000,ROUND(D627*100,6)&lt;&gt;INT(ROUND(D627*100,6))),TRUE)),IF(E627="",FALSE,IF(ISNUMBER(E627),OR(E627&lt;=0,E627&gt;100000000,ROUND(E627*100,6)&lt;&gt;INT(ROUND(E627*100,6))),TRUE)),AND($D627&lt;&gt;"",$D627&lt;MAX($C627,$E627)),AND($E627&lt;&gt;"",$E627&gt;MIN($C627,IF($D627="",$C627,$D627))),COUNTIFS($A$2:$A$1001,$A627,$B$2:$B$1001,$B627)&gt;1),"INVALID",IFERROR(IF(IF(INDEX(Accounts!$T$2:$T$11,$F627),ROUND(IF($E627="",$C627,MIN($C627,$E627))-(H627),6)&lt;=0,ROUND(IF($E627="",$C627,MIN($C627,$E627))-(H627),6)&lt;0),"BREACHED","OK"),"INCOMPLETE")),"INVALID"))))</f>
        <v/>
      </c>
      <c r="J627" s="33">
        <f>IF(OR(I627="OK",I627="BREACHED"),-INT(ROUND(-(H627)*100,6))/100,I627)</f>
        <v/>
      </c>
    </row>
    <row r="628" ht="18" customHeight="1">
      <c r="A628" s="9" t="n"/>
      <c r="B628" s="32" t="n"/>
      <c r="C628" s="12" t="n"/>
      <c r="D628" s="12" t="n"/>
      <c r="E628" s="12" t="n"/>
      <c r="F628" s="15">
        <f>IFERROR(MATCH($A628,Accounts!$A$2:$A$11,0),"")</f>
        <v/>
      </c>
      <c r="G628" s="14">
        <f>IFERROR(IF(OR($A628="",$F628=""),"",IF(INDEX(Accounts!$P$2:$P$11,$F628)="static",INDEX(Accounts!$Q$2:$Q$11,$F628),IF(INDEX(Accounts!$P$2:$P$11,$F628)="eod_trailing",MAX(INDEX(Accounts!$Q$2:$Q$11,$F628),_xlfn.MAXIFS($C$2:$C$1001,$A$2:$A$1001,$A628,$B$2:$B$1001,"&lt;"&amp;$B628)),MAX(INDEX(Accounts!$Q$2:$Q$11,$F628),_xlfn.MAXIFS($C$2:$C$1001,$A$2:$A$1001,$A628,$B$2:$B$1001,"&lt;"&amp;$B628),_xlfn.MAXIFS($D$2:$D$1001,$A$2:$A$1001,$A628,$B$2:$B$1001,"&lt;="&amp;$B628),$C628)))),"")</f>
        <v/>
      </c>
      <c r="H628" s="15">
        <f>IFERROR(IF(G628="","",IF(INDEX(Accounts!$P$2:$P$11,$F628)="static",INDEX(Accounts!$Q$2:$Q$11,$F628)-INDEX(Accounts!$R$2:$R$11,$F628),IF(INDEX(Accounts!$S$2:$S$11,$F628)="NONE",G628-INDEX(Accounts!$R$2:$R$11,$F628),MIN(G628-INDEX(Accounts!$R$2:$R$11,$F628),INDEX(Accounts!$Q$2:$Q$11,$F628)+INDEX(Accounts!$S$2:$S$11,$F628))))),"")</f>
        <v/>
      </c>
      <c r="I628" s="16">
        <f>IF(AND($A628="",$B628="",$C628="",$D628="",$E628=""),"",IF(OR($A628="",$F628=""),"UNKNOWN_ACCOUNT",IF(OR($B628="",$C628=""),"INCOMPLETE",IFERROR(IF(OR(NOT(ISNUMBER($B628)),NOT(ISNUMBER($C628)),IF(C628="",FALSE,IF(ISNUMBER(C628),OR(C628&lt;=0,C628&gt;100000000,ROUND(C628*100,6)&lt;&gt;INT(ROUND(C628*100,6))),TRUE)),IF(D628="",FALSE,IF(ISNUMBER(D628),OR(D628&lt;=0,D628&gt;100000000,ROUND(D628*100,6)&lt;&gt;INT(ROUND(D628*100,6))),TRUE)),IF(E628="",FALSE,IF(ISNUMBER(E628),OR(E628&lt;=0,E628&gt;100000000,ROUND(E628*100,6)&lt;&gt;INT(ROUND(E628*100,6))),TRUE)),AND($D628&lt;&gt;"",$D628&lt;MAX($C628,$E628)),AND($E628&lt;&gt;"",$E628&gt;MIN($C628,IF($D628="",$C628,$D628))),COUNTIFS($A$2:$A$1001,$A628,$B$2:$B$1001,$B628)&gt;1),"INVALID",IFERROR(IF(IF(INDEX(Accounts!$T$2:$T$11,$F628),ROUND(IF($E628="",$C628,MIN($C628,$E628))-(H628),6)&lt;=0,ROUND(IF($E628="",$C628,MIN($C628,$E628))-(H628),6)&lt;0),"BREACHED","OK"),"INCOMPLETE")),"INVALID"))))</f>
        <v/>
      </c>
      <c r="J628" s="33">
        <f>IF(OR(I628="OK",I628="BREACHED"),-INT(ROUND(-(H628)*100,6))/100,I628)</f>
        <v/>
      </c>
    </row>
    <row r="629" ht="18" customHeight="1">
      <c r="A629" s="9" t="n"/>
      <c r="B629" s="32" t="n"/>
      <c r="C629" s="12" t="n"/>
      <c r="D629" s="12" t="n"/>
      <c r="E629" s="12" t="n"/>
      <c r="F629" s="15">
        <f>IFERROR(MATCH($A629,Accounts!$A$2:$A$11,0),"")</f>
        <v/>
      </c>
      <c r="G629" s="14">
        <f>IFERROR(IF(OR($A629="",$F629=""),"",IF(INDEX(Accounts!$P$2:$P$11,$F629)="static",INDEX(Accounts!$Q$2:$Q$11,$F629),IF(INDEX(Accounts!$P$2:$P$11,$F629)="eod_trailing",MAX(INDEX(Accounts!$Q$2:$Q$11,$F629),_xlfn.MAXIFS($C$2:$C$1001,$A$2:$A$1001,$A629,$B$2:$B$1001,"&lt;"&amp;$B629)),MAX(INDEX(Accounts!$Q$2:$Q$11,$F629),_xlfn.MAXIFS($C$2:$C$1001,$A$2:$A$1001,$A629,$B$2:$B$1001,"&lt;"&amp;$B629),_xlfn.MAXIFS($D$2:$D$1001,$A$2:$A$1001,$A629,$B$2:$B$1001,"&lt;="&amp;$B629),$C629)))),"")</f>
        <v/>
      </c>
      <c r="H629" s="15">
        <f>IFERROR(IF(G629="","",IF(INDEX(Accounts!$P$2:$P$11,$F629)="static",INDEX(Accounts!$Q$2:$Q$11,$F629)-INDEX(Accounts!$R$2:$R$11,$F629),IF(INDEX(Accounts!$S$2:$S$11,$F629)="NONE",G629-INDEX(Accounts!$R$2:$R$11,$F629),MIN(G629-INDEX(Accounts!$R$2:$R$11,$F629),INDEX(Accounts!$Q$2:$Q$11,$F629)+INDEX(Accounts!$S$2:$S$11,$F629))))),"")</f>
        <v/>
      </c>
      <c r="I629" s="16">
        <f>IF(AND($A629="",$B629="",$C629="",$D629="",$E629=""),"",IF(OR($A629="",$F629=""),"UNKNOWN_ACCOUNT",IF(OR($B629="",$C629=""),"INCOMPLETE",IFERROR(IF(OR(NOT(ISNUMBER($B629)),NOT(ISNUMBER($C629)),IF(C629="",FALSE,IF(ISNUMBER(C629),OR(C629&lt;=0,C629&gt;100000000,ROUND(C629*100,6)&lt;&gt;INT(ROUND(C629*100,6))),TRUE)),IF(D629="",FALSE,IF(ISNUMBER(D629),OR(D629&lt;=0,D629&gt;100000000,ROUND(D629*100,6)&lt;&gt;INT(ROUND(D629*100,6))),TRUE)),IF(E629="",FALSE,IF(ISNUMBER(E629),OR(E629&lt;=0,E629&gt;100000000,ROUND(E629*100,6)&lt;&gt;INT(ROUND(E629*100,6))),TRUE)),AND($D629&lt;&gt;"",$D629&lt;MAX($C629,$E629)),AND($E629&lt;&gt;"",$E629&gt;MIN($C629,IF($D629="",$C629,$D629))),COUNTIFS($A$2:$A$1001,$A629,$B$2:$B$1001,$B629)&gt;1),"INVALID",IFERROR(IF(IF(INDEX(Accounts!$T$2:$T$11,$F629),ROUND(IF($E629="",$C629,MIN($C629,$E629))-(H629),6)&lt;=0,ROUND(IF($E629="",$C629,MIN($C629,$E629))-(H629),6)&lt;0),"BREACHED","OK"),"INCOMPLETE")),"INVALID"))))</f>
        <v/>
      </c>
      <c r="J629" s="33">
        <f>IF(OR(I629="OK",I629="BREACHED"),-INT(ROUND(-(H629)*100,6))/100,I629)</f>
        <v/>
      </c>
    </row>
    <row r="630" ht="18" customHeight="1">
      <c r="A630" s="9" t="n"/>
      <c r="B630" s="32" t="n"/>
      <c r="C630" s="12" t="n"/>
      <c r="D630" s="12" t="n"/>
      <c r="E630" s="12" t="n"/>
      <c r="F630" s="15">
        <f>IFERROR(MATCH($A630,Accounts!$A$2:$A$11,0),"")</f>
        <v/>
      </c>
      <c r="G630" s="14">
        <f>IFERROR(IF(OR($A630="",$F630=""),"",IF(INDEX(Accounts!$P$2:$P$11,$F630)="static",INDEX(Accounts!$Q$2:$Q$11,$F630),IF(INDEX(Accounts!$P$2:$P$11,$F630)="eod_trailing",MAX(INDEX(Accounts!$Q$2:$Q$11,$F630),_xlfn.MAXIFS($C$2:$C$1001,$A$2:$A$1001,$A630,$B$2:$B$1001,"&lt;"&amp;$B630)),MAX(INDEX(Accounts!$Q$2:$Q$11,$F630),_xlfn.MAXIFS($C$2:$C$1001,$A$2:$A$1001,$A630,$B$2:$B$1001,"&lt;"&amp;$B630),_xlfn.MAXIFS($D$2:$D$1001,$A$2:$A$1001,$A630,$B$2:$B$1001,"&lt;="&amp;$B630),$C630)))),"")</f>
        <v/>
      </c>
      <c r="H630" s="15">
        <f>IFERROR(IF(G630="","",IF(INDEX(Accounts!$P$2:$P$11,$F630)="static",INDEX(Accounts!$Q$2:$Q$11,$F630)-INDEX(Accounts!$R$2:$R$11,$F630),IF(INDEX(Accounts!$S$2:$S$11,$F630)="NONE",G630-INDEX(Accounts!$R$2:$R$11,$F630),MIN(G630-INDEX(Accounts!$R$2:$R$11,$F630),INDEX(Accounts!$Q$2:$Q$11,$F630)+INDEX(Accounts!$S$2:$S$11,$F630))))),"")</f>
        <v/>
      </c>
      <c r="I630" s="16">
        <f>IF(AND($A630="",$B630="",$C630="",$D630="",$E630=""),"",IF(OR($A630="",$F630=""),"UNKNOWN_ACCOUNT",IF(OR($B630="",$C630=""),"INCOMPLETE",IFERROR(IF(OR(NOT(ISNUMBER($B630)),NOT(ISNUMBER($C630)),IF(C630="",FALSE,IF(ISNUMBER(C630),OR(C630&lt;=0,C630&gt;100000000,ROUND(C630*100,6)&lt;&gt;INT(ROUND(C630*100,6))),TRUE)),IF(D630="",FALSE,IF(ISNUMBER(D630),OR(D630&lt;=0,D630&gt;100000000,ROUND(D630*100,6)&lt;&gt;INT(ROUND(D630*100,6))),TRUE)),IF(E630="",FALSE,IF(ISNUMBER(E630),OR(E630&lt;=0,E630&gt;100000000,ROUND(E630*100,6)&lt;&gt;INT(ROUND(E630*100,6))),TRUE)),AND($D630&lt;&gt;"",$D630&lt;MAX($C630,$E630)),AND($E630&lt;&gt;"",$E630&gt;MIN($C630,IF($D630="",$C630,$D630))),COUNTIFS($A$2:$A$1001,$A630,$B$2:$B$1001,$B630)&gt;1),"INVALID",IFERROR(IF(IF(INDEX(Accounts!$T$2:$T$11,$F630),ROUND(IF($E630="",$C630,MIN($C630,$E630))-(H630),6)&lt;=0,ROUND(IF($E630="",$C630,MIN($C630,$E630))-(H630),6)&lt;0),"BREACHED","OK"),"INCOMPLETE")),"INVALID"))))</f>
        <v/>
      </c>
      <c r="J630" s="33">
        <f>IF(OR(I630="OK",I630="BREACHED"),-INT(ROUND(-(H630)*100,6))/100,I630)</f>
        <v/>
      </c>
    </row>
    <row r="631" ht="18" customHeight="1">
      <c r="A631" s="9" t="n"/>
      <c r="B631" s="32" t="n"/>
      <c r="C631" s="12" t="n"/>
      <c r="D631" s="12" t="n"/>
      <c r="E631" s="12" t="n"/>
      <c r="F631" s="15">
        <f>IFERROR(MATCH($A631,Accounts!$A$2:$A$11,0),"")</f>
        <v/>
      </c>
      <c r="G631" s="14">
        <f>IFERROR(IF(OR($A631="",$F631=""),"",IF(INDEX(Accounts!$P$2:$P$11,$F631)="static",INDEX(Accounts!$Q$2:$Q$11,$F631),IF(INDEX(Accounts!$P$2:$P$11,$F631)="eod_trailing",MAX(INDEX(Accounts!$Q$2:$Q$11,$F631),_xlfn.MAXIFS($C$2:$C$1001,$A$2:$A$1001,$A631,$B$2:$B$1001,"&lt;"&amp;$B631)),MAX(INDEX(Accounts!$Q$2:$Q$11,$F631),_xlfn.MAXIFS($C$2:$C$1001,$A$2:$A$1001,$A631,$B$2:$B$1001,"&lt;"&amp;$B631),_xlfn.MAXIFS($D$2:$D$1001,$A$2:$A$1001,$A631,$B$2:$B$1001,"&lt;="&amp;$B631),$C631)))),"")</f>
        <v/>
      </c>
      <c r="H631" s="15">
        <f>IFERROR(IF(G631="","",IF(INDEX(Accounts!$P$2:$P$11,$F631)="static",INDEX(Accounts!$Q$2:$Q$11,$F631)-INDEX(Accounts!$R$2:$R$11,$F631),IF(INDEX(Accounts!$S$2:$S$11,$F631)="NONE",G631-INDEX(Accounts!$R$2:$R$11,$F631),MIN(G631-INDEX(Accounts!$R$2:$R$11,$F631),INDEX(Accounts!$Q$2:$Q$11,$F631)+INDEX(Accounts!$S$2:$S$11,$F631))))),"")</f>
        <v/>
      </c>
      <c r="I631" s="16">
        <f>IF(AND($A631="",$B631="",$C631="",$D631="",$E631=""),"",IF(OR($A631="",$F631=""),"UNKNOWN_ACCOUNT",IF(OR($B631="",$C631=""),"INCOMPLETE",IFERROR(IF(OR(NOT(ISNUMBER($B631)),NOT(ISNUMBER($C631)),IF(C631="",FALSE,IF(ISNUMBER(C631),OR(C631&lt;=0,C631&gt;100000000,ROUND(C631*100,6)&lt;&gt;INT(ROUND(C631*100,6))),TRUE)),IF(D631="",FALSE,IF(ISNUMBER(D631),OR(D631&lt;=0,D631&gt;100000000,ROUND(D631*100,6)&lt;&gt;INT(ROUND(D631*100,6))),TRUE)),IF(E631="",FALSE,IF(ISNUMBER(E631),OR(E631&lt;=0,E631&gt;100000000,ROUND(E631*100,6)&lt;&gt;INT(ROUND(E631*100,6))),TRUE)),AND($D631&lt;&gt;"",$D631&lt;MAX($C631,$E631)),AND($E631&lt;&gt;"",$E631&gt;MIN($C631,IF($D631="",$C631,$D631))),COUNTIFS($A$2:$A$1001,$A631,$B$2:$B$1001,$B631)&gt;1),"INVALID",IFERROR(IF(IF(INDEX(Accounts!$T$2:$T$11,$F631),ROUND(IF($E631="",$C631,MIN($C631,$E631))-(H631),6)&lt;=0,ROUND(IF($E631="",$C631,MIN($C631,$E631))-(H631),6)&lt;0),"BREACHED","OK"),"INCOMPLETE")),"INVALID"))))</f>
        <v/>
      </c>
      <c r="J631" s="33">
        <f>IF(OR(I631="OK",I631="BREACHED"),-INT(ROUND(-(H631)*100,6))/100,I631)</f>
        <v/>
      </c>
    </row>
    <row r="632" ht="18" customHeight="1">
      <c r="A632" s="9" t="n"/>
      <c r="B632" s="32" t="n"/>
      <c r="C632" s="12" t="n"/>
      <c r="D632" s="12" t="n"/>
      <c r="E632" s="12" t="n"/>
      <c r="F632" s="15">
        <f>IFERROR(MATCH($A632,Accounts!$A$2:$A$11,0),"")</f>
        <v/>
      </c>
      <c r="G632" s="14">
        <f>IFERROR(IF(OR($A632="",$F632=""),"",IF(INDEX(Accounts!$P$2:$P$11,$F632)="static",INDEX(Accounts!$Q$2:$Q$11,$F632),IF(INDEX(Accounts!$P$2:$P$11,$F632)="eod_trailing",MAX(INDEX(Accounts!$Q$2:$Q$11,$F632),_xlfn.MAXIFS($C$2:$C$1001,$A$2:$A$1001,$A632,$B$2:$B$1001,"&lt;"&amp;$B632)),MAX(INDEX(Accounts!$Q$2:$Q$11,$F632),_xlfn.MAXIFS($C$2:$C$1001,$A$2:$A$1001,$A632,$B$2:$B$1001,"&lt;"&amp;$B632),_xlfn.MAXIFS($D$2:$D$1001,$A$2:$A$1001,$A632,$B$2:$B$1001,"&lt;="&amp;$B632),$C632)))),"")</f>
        <v/>
      </c>
      <c r="H632" s="15">
        <f>IFERROR(IF(G632="","",IF(INDEX(Accounts!$P$2:$P$11,$F632)="static",INDEX(Accounts!$Q$2:$Q$11,$F632)-INDEX(Accounts!$R$2:$R$11,$F632),IF(INDEX(Accounts!$S$2:$S$11,$F632)="NONE",G632-INDEX(Accounts!$R$2:$R$11,$F632),MIN(G632-INDEX(Accounts!$R$2:$R$11,$F632),INDEX(Accounts!$Q$2:$Q$11,$F632)+INDEX(Accounts!$S$2:$S$11,$F632))))),"")</f>
        <v/>
      </c>
      <c r="I632" s="16">
        <f>IF(AND($A632="",$B632="",$C632="",$D632="",$E632=""),"",IF(OR($A632="",$F632=""),"UNKNOWN_ACCOUNT",IF(OR($B632="",$C632=""),"INCOMPLETE",IFERROR(IF(OR(NOT(ISNUMBER($B632)),NOT(ISNUMBER($C632)),IF(C632="",FALSE,IF(ISNUMBER(C632),OR(C632&lt;=0,C632&gt;100000000,ROUND(C632*100,6)&lt;&gt;INT(ROUND(C632*100,6))),TRUE)),IF(D632="",FALSE,IF(ISNUMBER(D632),OR(D632&lt;=0,D632&gt;100000000,ROUND(D632*100,6)&lt;&gt;INT(ROUND(D632*100,6))),TRUE)),IF(E632="",FALSE,IF(ISNUMBER(E632),OR(E632&lt;=0,E632&gt;100000000,ROUND(E632*100,6)&lt;&gt;INT(ROUND(E632*100,6))),TRUE)),AND($D632&lt;&gt;"",$D632&lt;MAX($C632,$E632)),AND($E632&lt;&gt;"",$E632&gt;MIN($C632,IF($D632="",$C632,$D632))),COUNTIFS($A$2:$A$1001,$A632,$B$2:$B$1001,$B632)&gt;1),"INVALID",IFERROR(IF(IF(INDEX(Accounts!$T$2:$T$11,$F632),ROUND(IF($E632="",$C632,MIN($C632,$E632))-(H632),6)&lt;=0,ROUND(IF($E632="",$C632,MIN($C632,$E632))-(H632),6)&lt;0),"BREACHED","OK"),"INCOMPLETE")),"INVALID"))))</f>
        <v/>
      </c>
      <c r="J632" s="33">
        <f>IF(OR(I632="OK",I632="BREACHED"),-INT(ROUND(-(H632)*100,6))/100,I632)</f>
        <v/>
      </c>
    </row>
    <row r="633" ht="18" customHeight="1">
      <c r="A633" s="9" t="n"/>
      <c r="B633" s="32" t="n"/>
      <c r="C633" s="12" t="n"/>
      <c r="D633" s="12" t="n"/>
      <c r="E633" s="12" t="n"/>
      <c r="F633" s="15">
        <f>IFERROR(MATCH($A633,Accounts!$A$2:$A$11,0),"")</f>
        <v/>
      </c>
      <c r="G633" s="14">
        <f>IFERROR(IF(OR($A633="",$F633=""),"",IF(INDEX(Accounts!$P$2:$P$11,$F633)="static",INDEX(Accounts!$Q$2:$Q$11,$F633),IF(INDEX(Accounts!$P$2:$P$11,$F633)="eod_trailing",MAX(INDEX(Accounts!$Q$2:$Q$11,$F633),_xlfn.MAXIFS($C$2:$C$1001,$A$2:$A$1001,$A633,$B$2:$B$1001,"&lt;"&amp;$B633)),MAX(INDEX(Accounts!$Q$2:$Q$11,$F633),_xlfn.MAXIFS($C$2:$C$1001,$A$2:$A$1001,$A633,$B$2:$B$1001,"&lt;"&amp;$B633),_xlfn.MAXIFS($D$2:$D$1001,$A$2:$A$1001,$A633,$B$2:$B$1001,"&lt;="&amp;$B633),$C633)))),"")</f>
        <v/>
      </c>
      <c r="H633" s="15">
        <f>IFERROR(IF(G633="","",IF(INDEX(Accounts!$P$2:$P$11,$F633)="static",INDEX(Accounts!$Q$2:$Q$11,$F633)-INDEX(Accounts!$R$2:$R$11,$F633),IF(INDEX(Accounts!$S$2:$S$11,$F633)="NONE",G633-INDEX(Accounts!$R$2:$R$11,$F633),MIN(G633-INDEX(Accounts!$R$2:$R$11,$F633),INDEX(Accounts!$Q$2:$Q$11,$F633)+INDEX(Accounts!$S$2:$S$11,$F633))))),"")</f>
        <v/>
      </c>
      <c r="I633" s="16">
        <f>IF(AND($A633="",$B633="",$C633="",$D633="",$E633=""),"",IF(OR($A633="",$F633=""),"UNKNOWN_ACCOUNT",IF(OR($B633="",$C633=""),"INCOMPLETE",IFERROR(IF(OR(NOT(ISNUMBER($B633)),NOT(ISNUMBER($C633)),IF(C633="",FALSE,IF(ISNUMBER(C633),OR(C633&lt;=0,C633&gt;100000000,ROUND(C633*100,6)&lt;&gt;INT(ROUND(C633*100,6))),TRUE)),IF(D633="",FALSE,IF(ISNUMBER(D633),OR(D633&lt;=0,D633&gt;100000000,ROUND(D633*100,6)&lt;&gt;INT(ROUND(D633*100,6))),TRUE)),IF(E633="",FALSE,IF(ISNUMBER(E633),OR(E633&lt;=0,E633&gt;100000000,ROUND(E633*100,6)&lt;&gt;INT(ROUND(E633*100,6))),TRUE)),AND($D633&lt;&gt;"",$D633&lt;MAX($C633,$E633)),AND($E633&lt;&gt;"",$E633&gt;MIN($C633,IF($D633="",$C633,$D633))),COUNTIFS($A$2:$A$1001,$A633,$B$2:$B$1001,$B633)&gt;1),"INVALID",IFERROR(IF(IF(INDEX(Accounts!$T$2:$T$11,$F633),ROUND(IF($E633="",$C633,MIN($C633,$E633))-(H633),6)&lt;=0,ROUND(IF($E633="",$C633,MIN($C633,$E633))-(H633),6)&lt;0),"BREACHED","OK"),"INCOMPLETE")),"INVALID"))))</f>
        <v/>
      </c>
      <c r="J633" s="33">
        <f>IF(OR(I633="OK",I633="BREACHED"),-INT(ROUND(-(H633)*100,6))/100,I633)</f>
        <v/>
      </c>
    </row>
    <row r="634" ht="18" customHeight="1">
      <c r="A634" s="9" t="n"/>
      <c r="B634" s="32" t="n"/>
      <c r="C634" s="12" t="n"/>
      <c r="D634" s="12" t="n"/>
      <c r="E634" s="12" t="n"/>
      <c r="F634" s="15">
        <f>IFERROR(MATCH($A634,Accounts!$A$2:$A$11,0),"")</f>
        <v/>
      </c>
      <c r="G634" s="14">
        <f>IFERROR(IF(OR($A634="",$F634=""),"",IF(INDEX(Accounts!$P$2:$P$11,$F634)="static",INDEX(Accounts!$Q$2:$Q$11,$F634),IF(INDEX(Accounts!$P$2:$P$11,$F634)="eod_trailing",MAX(INDEX(Accounts!$Q$2:$Q$11,$F634),_xlfn.MAXIFS($C$2:$C$1001,$A$2:$A$1001,$A634,$B$2:$B$1001,"&lt;"&amp;$B634)),MAX(INDEX(Accounts!$Q$2:$Q$11,$F634),_xlfn.MAXIFS($C$2:$C$1001,$A$2:$A$1001,$A634,$B$2:$B$1001,"&lt;"&amp;$B634),_xlfn.MAXIFS($D$2:$D$1001,$A$2:$A$1001,$A634,$B$2:$B$1001,"&lt;="&amp;$B634),$C634)))),"")</f>
        <v/>
      </c>
      <c r="H634" s="15">
        <f>IFERROR(IF(G634="","",IF(INDEX(Accounts!$P$2:$P$11,$F634)="static",INDEX(Accounts!$Q$2:$Q$11,$F634)-INDEX(Accounts!$R$2:$R$11,$F634),IF(INDEX(Accounts!$S$2:$S$11,$F634)="NONE",G634-INDEX(Accounts!$R$2:$R$11,$F634),MIN(G634-INDEX(Accounts!$R$2:$R$11,$F634),INDEX(Accounts!$Q$2:$Q$11,$F634)+INDEX(Accounts!$S$2:$S$11,$F634))))),"")</f>
        <v/>
      </c>
      <c r="I634" s="16">
        <f>IF(AND($A634="",$B634="",$C634="",$D634="",$E634=""),"",IF(OR($A634="",$F634=""),"UNKNOWN_ACCOUNT",IF(OR($B634="",$C634=""),"INCOMPLETE",IFERROR(IF(OR(NOT(ISNUMBER($B634)),NOT(ISNUMBER($C634)),IF(C634="",FALSE,IF(ISNUMBER(C634),OR(C634&lt;=0,C634&gt;100000000,ROUND(C634*100,6)&lt;&gt;INT(ROUND(C634*100,6))),TRUE)),IF(D634="",FALSE,IF(ISNUMBER(D634),OR(D634&lt;=0,D634&gt;100000000,ROUND(D634*100,6)&lt;&gt;INT(ROUND(D634*100,6))),TRUE)),IF(E634="",FALSE,IF(ISNUMBER(E634),OR(E634&lt;=0,E634&gt;100000000,ROUND(E634*100,6)&lt;&gt;INT(ROUND(E634*100,6))),TRUE)),AND($D634&lt;&gt;"",$D634&lt;MAX($C634,$E634)),AND($E634&lt;&gt;"",$E634&gt;MIN($C634,IF($D634="",$C634,$D634))),COUNTIFS($A$2:$A$1001,$A634,$B$2:$B$1001,$B634)&gt;1),"INVALID",IFERROR(IF(IF(INDEX(Accounts!$T$2:$T$11,$F634),ROUND(IF($E634="",$C634,MIN($C634,$E634))-(H634),6)&lt;=0,ROUND(IF($E634="",$C634,MIN($C634,$E634))-(H634),6)&lt;0),"BREACHED","OK"),"INCOMPLETE")),"INVALID"))))</f>
        <v/>
      </c>
      <c r="J634" s="33">
        <f>IF(OR(I634="OK",I634="BREACHED"),-INT(ROUND(-(H634)*100,6))/100,I634)</f>
        <v/>
      </c>
    </row>
    <row r="635" ht="18" customHeight="1">
      <c r="A635" s="9" t="n"/>
      <c r="B635" s="32" t="n"/>
      <c r="C635" s="12" t="n"/>
      <c r="D635" s="12" t="n"/>
      <c r="E635" s="12" t="n"/>
      <c r="F635" s="15">
        <f>IFERROR(MATCH($A635,Accounts!$A$2:$A$11,0),"")</f>
        <v/>
      </c>
      <c r="G635" s="14">
        <f>IFERROR(IF(OR($A635="",$F635=""),"",IF(INDEX(Accounts!$P$2:$P$11,$F635)="static",INDEX(Accounts!$Q$2:$Q$11,$F635),IF(INDEX(Accounts!$P$2:$P$11,$F635)="eod_trailing",MAX(INDEX(Accounts!$Q$2:$Q$11,$F635),_xlfn.MAXIFS($C$2:$C$1001,$A$2:$A$1001,$A635,$B$2:$B$1001,"&lt;"&amp;$B635)),MAX(INDEX(Accounts!$Q$2:$Q$11,$F635),_xlfn.MAXIFS($C$2:$C$1001,$A$2:$A$1001,$A635,$B$2:$B$1001,"&lt;"&amp;$B635),_xlfn.MAXIFS($D$2:$D$1001,$A$2:$A$1001,$A635,$B$2:$B$1001,"&lt;="&amp;$B635),$C635)))),"")</f>
        <v/>
      </c>
      <c r="H635" s="15">
        <f>IFERROR(IF(G635="","",IF(INDEX(Accounts!$P$2:$P$11,$F635)="static",INDEX(Accounts!$Q$2:$Q$11,$F635)-INDEX(Accounts!$R$2:$R$11,$F635),IF(INDEX(Accounts!$S$2:$S$11,$F635)="NONE",G635-INDEX(Accounts!$R$2:$R$11,$F635),MIN(G635-INDEX(Accounts!$R$2:$R$11,$F635),INDEX(Accounts!$Q$2:$Q$11,$F635)+INDEX(Accounts!$S$2:$S$11,$F635))))),"")</f>
        <v/>
      </c>
      <c r="I635" s="16">
        <f>IF(AND($A635="",$B635="",$C635="",$D635="",$E635=""),"",IF(OR($A635="",$F635=""),"UNKNOWN_ACCOUNT",IF(OR($B635="",$C635=""),"INCOMPLETE",IFERROR(IF(OR(NOT(ISNUMBER($B635)),NOT(ISNUMBER($C635)),IF(C635="",FALSE,IF(ISNUMBER(C635),OR(C635&lt;=0,C635&gt;100000000,ROUND(C635*100,6)&lt;&gt;INT(ROUND(C635*100,6))),TRUE)),IF(D635="",FALSE,IF(ISNUMBER(D635),OR(D635&lt;=0,D635&gt;100000000,ROUND(D635*100,6)&lt;&gt;INT(ROUND(D635*100,6))),TRUE)),IF(E635="",FALSE,IF(ISNUMBER(E635),OR(E635&lt;=0,E635&gt;100000000,ROUND(E635*100,6)&lt;&gt;INT(ROUND(E635*100,6))),TRUE)),AND($D635&lt;&gt;"",$D635&lt;MAX($C635,$E635)),AND($E635&lt;&gt;"",$E635&gt;MIN($C635,IF($D635="",$C635,$D635))),COUNTIFS($A$2:$A$1001,$A635,$B$2:$B$1001,$B635)&gt;1),"INVALID",IFERROR(IF(IF(INDEX(Accounts!$T$2:$T$11,$F635),ROUND(IF($E635="",$C635,MIN($C635,$E635))-(H635),6)&lt;=0,ROUND(IF($E635="",$C635,MIN($C635,$E635))-(H635),6)&lt;0),"BREACHED","OK"),"INCOMPLETE")),"INVALID"))))</f>
        <v/>
      </c>
      <c r="J635" s="33">
        <f>IF(OR(I635="OK",I635="BREACHED"),-INT(ROUND(-(H635)*100,6))/100,I635)</f>
        <v/>
      </c>
    </row>
    <row r="636" ht="18" customHeight="1">
      <c r="A636" s="9" t="n"/>
      <c r="B636" s="32" t="n"/>
      <c r="C636" s="12" t="n"/>
      <c r="D636" s="12" t="n"/>
      <c r="E636" s="12" t="n"/>
      <c r="F636" s="15">
        <f>IFERROR(MATCH($A636,Accounts!$A$2:$A$11,0),"")</f>
        <v/>
      </c>
      <c r="G636" s="14">
        <f>IFERROR(IF(OR($A636="",$F636=""),"",IF(INDEX(Accounts!$P$2:$P$11,$F636)="static",INDEX(Accounts!$Q$2:$Q$11,$F636),IF(INDEX(Accounts!$P$2:$P$11,$F636)="eod_trailing",MAX(INDEX(Accounts!$Q$2:$Q$11,$F636),_xlfn.MAXIFS($C$2:$C$1001,$A$2:$A$1001,$A636,$B$2:$B$1001,"&lt;"&amp;$B636)),MAX(INDEX(Accounts!$Q$2:$Q$11,$F636),_xlfn.MAXIFS($C$2:$C$1001,$A$2:$A$1001,$A636,$B$2:$B$1001,"&lt;"&amp;$B636),_xlfn.MAXIFS($D$2:$D$1001,$A$2:$A$1001,$A636,$B$2:$B$1001,"&lt;="&amp;$B636),$C636)))),"")</f>
        <v/>
      </c>
      <c r="H636" s="15">
        <f>IFERROR(IF(G636="","",IF(INDEX(Accounts!$P$2:$P$11,$F636)="static",INDEX(Accounts!$Q$2:$Q$11,$F636)-INDEX(Accounts!$R$2:$R$11,$F636),IF(INDEX(Accounts!$S$2:$S$11,$F636)="NONE",G636-INDEX(Accounts!$R$2:$R$11,$F636),MIN(G636-INDEX(Accounts!$R$2:$R$11,$F636),INDEX(Accounts!$Q$2:$Q$11,$F636)+INDEX(Accounts!$S$2:$S$11,$F636))))),"")</f>
        <v/>
      </c>
      <c r="I636" s="16">
        <f>IF(AND($A636="",$B636="",$C636="",$D636="",$E636=""),"",IF(OR($A636="",$F636=""),"UNKNOWN_ACCOUNT",IF(OR($B636="",$C636=""),"INCOMPLETE",IFERROR(IF(OR(NOT(ISNUMBER($B636)),NOT(ISNUMBER($C636)),IF(C636="",FALSE,IF(ISNUMBER(C636),OR(C636&lt;=0,C636&gt;100000000,ROUND(C636*100,6)&lt;&gt;INT(ROUND(C636*100,6))),TRUE)),IF(D636="",FALSE,IF(ISNUMBER(D636),OR(D636&lt;=0,D636&gt;100000000,ROUND(D636*100,6)&lt;&gt;INT(ROUND(D636*100,6))),TRUE)),IF(E636="",FALSE,IF(ISNUMBER(E636),OR(E636&lt;=0,E636&gt;100000000,ROUND(E636*100,6)&lt;&gt;INT(ROUND(E636*100,6))),TRUE)),AND($D636&lt;&gt;"",$D636&lt;MAX($C636,$E636)),AND($E636&lt;&gt;"",$E636&gt;MIN($C636,IF($D636="",$C636,$D636))),COUNTIFS($A$2:$A$1001,$A636,$B$2:$B$1001,$B636)&gt;1),"INVALID",IFERROR(IF(IF(INDEX(Accounts!$T$2:$T$11,$F636),ROUND(IF($E636="",$C636,MIN($C636,$E636))-(H636),6)&lt;=0,ROUND(IF($E636="",$C636,MIN($C636,$E636))-(H636),6)&lt;0),"BREACHED","OK"),"INCOMPLETE")),"INVALID"))))</f>
        <v/>
      </c>
      <c r="J636" s="33">
        <f>IF(OR(I636="OK",I636="BREACHED"),-INT(ROUND(-(H636)*100,6))/100,I636)</f>
        <v/>
      </c>
    </row>
    <row r="637" ht="18" customHeight="1">
      <c r="A637" s="9" t="n"/>
      <c r="B637" s="32" t="n"/>
      <c r="C637" s="12" t="n"/>
      <c r="D637" s="12" t="n"/>
      <c r="E637" s="12" t="n"/>
      <c r="F637" s="15">
        <f>IFERROR(MATCH($A637,Accounts!$A$2:$A$11,0),"")</f>
        <v/>
      </c>
      <c r="G637" s="14">
        <f>IFERROR(IF(OR($A637="",$F637=""),"",IF(INDEX(Accounts!$P$2:$P$11,$F637)="static",INDEX(Accounts!$Q$2:$Q$11,$F637),IF(INDEX(Accounts!$P$2:$P$11,$F637)="eod_trailing",MAX(INDEX(Accounts!$Q$2:$Q$11,$F637),_xlfn.MAXIFS($C$2:$C$1001,$A$2:$A$1001,$A637,$B$2:$B$1001,"&lt;"&amp;$B637)),MAX(INDEX(Accounts!$Q$2:$Q$11,$F637),_xlfn.MAXIFS($C$2:$C$1001,$A$2:$A$1001,$A637,$B$2:$B$1001,"&lt;"&amp;$B637),_xlfn.MAXIFS($D$2:$D$1001,$A$2:$A$1001,$A637,$B$2:$B$1001,"&lt;="&amp;$B637),$C637)))),"")</f>
        <v/>
      </c>
      <c r="H637" s="15">
        <f>IFERROR(IF(G637="","",IF(INDEX(Accounts!$P$2:$P$11,$F637)="static",INDEX(Accounts!$Q$2:$Q$11,$F637)-INDEX(Accounts!$R$2:$R$11,$F637),IF(INDEX(Accounts!$S$2:$S$11,$F637)="NONE",G637-INDEX(Accounts!$R$2:$R$11,$F637),MIN(G637-INDEX(Accounts!$R$2:$R$11,$F637),INDEX(Accounts!$Q$2:$Q$11,$F637)+INDEX(Accounts!$S$2:$S$11,$F637))))),"")</f>
        <v/>
      </c>
      <c r="I637" s="16">
        <f>IF(AND($A637="",$B637="",$C637="",$D637="",$E637=""),"",IF(OR($A637="",$F637=""),"UNKNOWN_ACCOUNT",IF(OR($B637="",$C637=""),"INCOMPLETE",IFERROR(IF(OR(NOT(ISNUMBER($B637)),NOT(ISNUMBER($C637)),IF(C637="",FALSE,IF(ISNUMBER(C637),OR(C637&lt;=0,C637&gt;100000000,ROUND(C637*100,6)&lt;&gt;INT(ROUND(C637*100,6))),TRUE)),IF(D637="",FALSE,IF(ISNUMBER(D637),OR(D637&lt;=0,D637&gt;100000000,ROUND(D637*100,6)&lt;&gt;INT(ROUND(D637*100,6))),TRUE)),IF(E637="",FALSE,IF(ISNUMBER(E637),OR(E637&lt;=0,E637&gt;100000000,ROUND(E637*100,6)&lt;&gt;INT(ROUND(E637*100,6))),TRUE)),AND($D637&lt;&gt;"",$D637&lt;MAX($C637,$E637)),AND($E637&lt;&gt;"",$E637&gt;MIN($C637,IF($D637="",$C637,$D637))),COUNTIFS($A$2:$A$1001,$A637,$B$2:$B$1001,$B637)&gt;1),"INVALID",IFERROR(IF(IF(INDEX(Accounts!$T$2:$T$11,$F637),ROUND(IF($E637="",$C637,MIN($C637,$E637))-(H637),6)&lt;=0,ROUND(IF($E637="",$C637,MIN($C637,$E637))-(H637),6)&lt;0),"BREACHED","OK"),"INCOMPLETE")),"INVALID"))))</f>
        <v/>
      </c>
      <c r="J637" s="33">
        <f>IF(OR(I637="OK",I637="BREACHED"),-INT(ROUND(-(H637)*100,6))/100,I637)</f>
        <v/>
      </c>
    </row>
    <row r="638" ht="18" customHeight="1">
      <c r="A638" s="9" t="n"/>
      <c r="B638" s="32" t="n"/>
      <c r="C638" s="12" t="n"/>
      <c r="D638" s="12" t="n"/>
      <c r="E638" s="12" t="n"/>
      <c r="F638" s="15">
        <f>IFERROR(MATCH($A638,Accounts!$A$2:$A$11,0),"")</f>
        <v/>
      </c>
      <c r="G638" s="14">
        <f>IFERROR(IF(OR($A638="",$F638=""),"",IF(INDEX(Accounts!$P$2:$P$11,$F638)="static",INDEX(Accounts!$Q$2:$Q$11,$F638),IF(INDEX(Accounts!$P$2:$P$11,$F638)="eod_trailing",MAX(INDEX(Accounts!$Q$2:$Q$11,$F638),_xlfn.MAXIFS($C$2:$C$1001,$A$2:$A$1001,$A638,$B$2:$B$1001,"&lt;"&amp;$B638)),MAX(INDEX(Accounts!$Q$2:$Q$11,$F638),_xlfn.MAXIFS($C$2:$C$1001,$A$2:$A$1001,$A638,$B$2:$B$1001,"&lt;"&amp;$B638),_xlfn.MAXIFS($D$2:$D$1001,$A$2:$A$1001,$A638,$B$2:$B$1001,"&lt;="&amp;$B638),$C638)))),"")</f>
        <v/>
      </c>
      <c r="H638" s="15">
        <f>IFERROR(IF(G638="","",IF(INDEX(Accounts!$P$2:$P$11,$F638)="static",INDEX(Accounts!$Q$2:$Q$11,$F638)-INDEX(Accounts!$R$2:$R$11,$F638),IF(INDEX(Accounts!$S$2:$S$11,$F638)="NONE",G638-INDEX(Accounts!$R$2:$R$11,$F638),MIN(G638-INDEX(Accounts!$R$2:$R$11,$F638),INDEX(Accounts!$Q$2:$Q$11,$F638)+INDEX(Accounts!$S$2:$S$11,$F638))))),"")</f>
        <v/>
      </c>
      <c r="I638" s="16">
        <f>IF(AND($A638="",$B638="",$C638="",$D638="",$E638=""),"",IF(OR($A638="",$F638=""),"UNKNOWN_ACCOUNT",IF(OR($B638="",$C638=""),"INCOMPLETE",IFERROR(IF(OR(NOT(ISNUMBER($B638)),NOT(ISNUMBER($C638)),IF(C638="",FALSE,IF(ISNUMBER(C638),OR(C638&lt;=0,C638&gt;100000000,ROUND(C638*100,6)&lt;&gt;INT(ROUND(C638*100,6))),TRUE)),IF(D638="",FALSE,IF(ISNUMBER(D638),OR(D638&lt;=0,D638&gt;100000000,ROUND(D638*100,6)&lt;&gt;INT(ROUND(D638*100,6))),TRUE)),IF(E638="",FALSE,IF(ISNUMBER(E638),OR(E638&lt;=0,E638&gt;100000000,ROUND(E638*100,6)&lt;&gt;INT(ROUND(E638*100,6))),TRUE)),AND($D638&lt;&gt;"",$D638&lt;MAX($C638,$E638)),AND($E638&lt;&gt;"",$E638&gt;MIN($C638,IF($D638="",$C638,$D638))),COUNTIFS($A$2:$A$1001,$A638,$B$2:$B$1001,$B638)&gt;1),"INVALID",IFERROR(IF(IF(INDEX(Accounts!$T$2:$T$11,$F638),ROUND(IF($E638="",$C638,MIN($C638,$E638))-(H638),6)&lt;=0,ROUND(IF($E638="",$C638,MIN($C638,$E638))-(H638),6)&lt;0),"BREACHED","OK"),"INCOMPLETE")),"INVALID"))))</f>
        <v/>
      </c>
      <c r="J638" s="33">
        <f>IF(OR(I638="OK",I638="BREACHED"),-INT(ROUND(-(H638)*100,6))/100,I638)</f>
        <v/>
      </c>
    </row>
    <row r="639" ht="18" customHeight="1">
      <c r="A639" s="9" t="n"/>
      <c r="B639" s="32" t="n"/>
      <c r="C639" s="12" t="n"/>
      <c r="D639" s="12" t="n"/>
      <c r="E639" s="12" t="n"/>
      <c r="F639" s="15">
        <f>IFERROR(MATCH($A639,Accounts!$A$2:$A$11,0),"")</f>
        <v/>
      </c>
      <c r="G639" s="14">
        <f>IFERROR(IF(OR($A639="",$F639=""),"",IF(INDEX(Accounts!$P$2:$P$11,$F639)="static",INDEX(Accounts!$Q$2:$Q$11,$F639),IF(INDEX(Accounts!$P$2:$P$11,$F639)="eod_trailing",MAX(INDEX(Accounts!$Q$2:$Q$11,$F639),_xlfn.MAXIFS($C$2:$C$1001,$A$2:$A$1001,$A639,$B$2:$B$1001,"&lt;"&amp;$B639)),MAX(INDEX(Accounts!$Q$2:$Q$11,$F639),_xlfn.MAXIFS($C$2:$C$1001,$A$2:$A$1001,$A639,$B$2:$B$1001,"&lt;"&amp;$B639),_xlfn.MAXIFS($D$2:$D$1001,$A$2:$A$1001,$A639,$B$2:$B$1001,"&lt;="&amp;$B639),$C639)))),"")</f>
        <v/>
      </c>
      <c r="H639" s="15">
        <f>IFERROR(IF(G639="","",IF(INDEX(Accounts!$P$2:$P$11,$F639)="static",INDEX(Accounts!$Q$2:$Q$11,$F639)-INDEX(Accounts!$R$2:$R$11,$F639),IF(INDEX(Accounts!$S$2:$S$11,$F639)="NONE",G639-INDEX(Accounts!$R$2:$R$11,$F639),MIN(G639-INDEX(Accounts!$R$2:$R$11,$F639),INDEX(Accounts!$Q$2:$Q$11,$F639)+INDEX(Accounts!$S$2:$S$11,$F639))))),"")</f>
        <v/>
      </c>
      <c r="I639" s="16">
        <f>IF(AND($A639="",$B639="",$C639="",$D639="",$E639=""),"",IF(OR($A639="",$F639=""),"UNKNOWN_ACCOUNT",IF(OR($B639="",$C639=""),"INCOMPLETE",IFERROR(IF(OR(NOT(ISNUMBER($B639)),NOT(ISNUMBER($C639)),IF(C639="",FALSE,IF(ISNUMBER(C639),OR(C639&lt;=0,C639&gt;100000000,ROUND(C639*100,6)&lt;&gt;INT(ROUND(C639*100,6))),TRUE)),IF(D639="",FALSE,IF(ISNUMBER(D639),OR(D639&lt;=0,D639&gt;100000000,ROUND(D639*100,6)&lt;&gt;INT(ROUND(D639*100,6))),TRUE)),IF(E639="",FALSE,IF(ISNUMBER(E639),OR(E639&lt;=0,E639&gt;100000000,ROUND(E639*100,6)&lt;&gt;INT(ROUND(E639*100,6))),TRUE)),AND($D639&lt;&gt;"",$D639&lt;MAX($C639,$E639)),AND($E639&lt;&gt;"",$E639&gt;MIN($C639,IF($D639="",$C639,$D639))),COUNTIFS($A$2:$A$1001,$A639,$B$2:$B$1001,$B639)&gt;1),"INVALID",IFERROR(IF(IF(INDEX(Accounts!$T$2:$T$11,$F639),ROUND(IF($E639="",$C639,MIN($C639,$E639))-(H639),6)&lt;=0,ROUND(IF($E639="",$C639,MIN($C639,$E639))-(H639),6)&lt;0),"BREACHED","OK"),"INCOMPLETE")),"INVALID"))))</f>
        <v/>
      </c>
      <c r="J639" s="33">
        <f>IF(OR(I639="OK",I639="BREACHED"),-INT(ROUND(-(H639)*100,6))/100,I639)</f>
        <v/>
      </c>
    </row>
    <row r="640" ht="18" customHeight="1">
      <c r="A640" s="9" t="n"/>
      <c r="B640" s="32" t="n"/>
      <c r="C640" s="12" t="n"/>
      <c r="D640" s="12" t="n"/>
      <c r="E640" s="12" t="n"/>
      <c r="F640" s="15">
        <f>IFERROR(MATCH($A640,Accounts!$A$2:$A$11,0),"")</f>
        <v/>
      </c>
      <c r="G640" s="14">
        <f>IFERROR(IF(OR($A640="",$F640=""),"",IF(INDEX(Accounts!$P$2:$P$11,$F640)="static",INDEX(Accounts!$Q$2:$Q$11,$F640),IF(INDEX(Accounts!$P$2:$P$11,$F640)="eod_trailing",MAX(INDEX(Accounts!$Q$2:$Q$11,$F640),_xlfn.MAXIFS($C$2:$C$1001,$A$2:$A$1001,$A640,$B$2:$B$1001,"&lt;"&amp;$B640)),MAX(INDEX(Accounts!$Q$2:$Q$11,$F640),_xlfn.MAXIFS($C$2:$C$1001,$A$2:$A$1001,$A640,$B$2:$B$1001,"&lt;"&amp;$B640),_xlfn.MAXIFS($D$2:$D$1001,$A$2:$A$1001,$A640,$B$2:$B$1001,"&lt;="&amp;$B640),$C640)))),"")</f>
        <v/>
      </c>
      <c r="H640" s="15">
        <f>IFERROR(IF(G640="","",IF(INDEX(Accounts!$P$2:$P$11,$F640)="static",INDEX(Accounts!$Q$2:$Q$11,$F640)-INDEX(Accounts!$R$2:$R$11,$F640),IF(INDEX(Accounts!$S$2:$S$11,$F640)="NONE",G640-INDEX(Accounts!$R$2:$R$11,$F640),MIN(G640-INDEX(Accounts!$R$2:$R$11,$F640),INDEX(Accounts!$Q$2:$Q$11,$F640)+INDEX(Accounts!$S$2:$S$11,$F640))))),"")</f>
        <v/>
      </c>
      <c r="I640" s="16">
        <f>IF(AND($A640="",$B640="",$C640="",$D640="",$E640=""),"",IF(OR($A640="",$F640=""),"UNKNOWN_ACCOUNT",IF(OR($B640="",$C640=""),"INCOMPLETE",IFERROR(IF(OR(NOT(ISNUMBER($B640)),NOT(ISNUMBER($C640)),IF(C640="",FALSE,IF(ISNUMBER(C640),OR(C640&lt;=0,C640&gt;100000000,ROUND(C640*100,6)&lt;&gt;INT(ROUND(C640*100,6))),TRUE)),IF(D640="",FALSE,IF(ISNUMBER(D640),OR(D640&lt;=0,D640&gt;100000000,ROUND(D640*100,6)&lt;&gt;INT(ROUND(D640*100,6))),TRUE)),IF(E640="",FALSE,IF(ISNUMBER(E640),OR(E640&lt;=0,E640&gt;100000000,ROUND(E640*100,6)&lt;&gt;INT(ROUND(E640*100,6))),TRUE)),AND($D640&lt;&gt;"",$D640&lt;MAX($C640,$E640)),AND($E640&lt;&gt;"",$E640&gt;MIN($C640,IF($D640="",$C640,$D640))),COUNTIFS($A$2:$A$1001,$A640,$B$2:$B$1001,$B640)&gt;1),"INVALID",IFERROR(IF(IF(INDEX(Accounts!$T$2:$T$11,$F640),ROUND(IF($E640="",$C640,MIN($C640,$E640))-(H640),6)&lt;=0,ROUND(IF($E640="",$C640,MIN($C640,$E640))-(H640),6)&lt;0),"BREACHED","OK"),"INCOMPLETE")),"INVALID"))))</f>
        <v/>
      </c>
      <c r="J640" s="33">
        <f>IF(OR(I640="OK",I640="BREACHED"),-INT(ROUND(-(H640)*100,6))/100,I640)</f>
        <v/>
      </c>
    </row>
    <row r="641" ht="18" customHeight="1">
      <c r="A641" s="9" t="n"/>
      <c r="B641" s="32" t="n"/>
      <c r="C641" s="12" t="n"/>
      <c r="D641" s="12" t="n"/>
      <c r="E641" s="12" t="n"/>
      <c r="F641" s="15">
        <f>IFERROR(MATCH($A641,Accounts!$A$2:$A$11,0),"")</f>
        <v/>
      </c>
      <c r="G641" s="14">
        <f>IFERROR(IF(OR($A641="",$F641=""),"",IF(INDEX(Accounts!$P$2:$P$11,$F641)="static",INDEX(Accounts!$Q$2:$Q$11,$F641),IF(INDEX(Accounts!$P$2:$P$11,$F641)="eod_trailing",MAX(INDEX(Accounts!$Q$2:$Q$11,$F641),_xlfn.MAXIFS($C$2:$C$1001,$A$2:$A$1001,$A641,$B$2:$B$1001,"&lt;"&amp;$B641)),MAX(INDEX(Accounts!$Q$2:$Q$11,$F641),_xlfn.MAXIFS($C$2:$C$1001,$A$2:$A$1001,$A641,$B$2:$B$1001,"&lt;"&amp;$B641),_xlfn.MAXIFS($D$2:$D$1001,$A$2:$A$1001,$A641,$B$2:$B$1001,"&lt;="&amp;$B641),$C641)))),"")</f>
        <v/>
      </c>
      <c r="H641" s="15">
        <f>IFERROR(IF(G641="","",IF(INDEX(Accounts!$P$2:$P$11,$F641)="static",INDEX(Accounts!$Q$2:$Q$11,$F641)-INDEX(Accounts!$R$2:$R$11,$F641),IF(INDEX(Accounts!$S$2:$S$11,$F641)="NONE",G641-INDEX(Accounts!$R$2:$R$11,$F641),MIN(G641-INDEX(Accounts!$R$2:$R$11,$F641),INDEX(Accounts!$Q$2:$Q$11,$F641)+INDEX(Accounts!$S$2:$S$11,$F641))))),"")</f>
        <v/>
      </c>
      <c r="I641" s="16">
        <f>IF(AND($A641="",$B641="",$C641="",$D641="",$E641=""),"",IF(OR($A641="",$F641=""),"UNKNOWN_ACCOUNT",IF(OR($B641="",$C641=""),"INCOMPLETE",IFERROR(IF(OR(NOT(ISNUMBER($B641)),NOT(ISNUMBER($C641)),IF(C641="",FALSE,IF(ISNUMBER(C641),OR(C641&lt;=0,C641&gt;100000000,ROUND(C641*100,6)&lt;&gt;INT(ROUND(C641*100,6))),TRUE)),IF(D641="",FALSE,IF(ISNUMBER(D641),OR(D641&lt;=0,D641&gt;100000000,ROUND(D641*100,6)&lt;&gt;INT(ROUND(D641*100,6))),TRUE)),IF(E641="",FALSE,IF(ISNUMBER(E641),OR(E641&lt;=0,E641&gt;100000000,ROUND(E641*100,6)&lt;&gt;INT(ROUND(E641*100,6))),TRUE)),AND($D641&lt;&gt;"",$D641&lt;MAX($C641,$E641)),AND($E641&lt;&gt;"",$E641&gt;MIN($C641,IF($D641="",$C641,$D641))),COUNTIFS($A$2:$A$1001,$A641,$B$2:$B$1001,$B641)&gt;1),"INVALID",IFERROR(IF(IF(INDEX(Accounts!$T$2:$T$11,$F641),ROUND(IF($E641="",$C641,MIN($C641,$E641))-(H641),6)&lt;=0,ROUND(IF($E641="",$C641,MIN($C641,$E641))-(H641),6)&lt;0),"BREACHED","OK"),"INCOMPLETE")),"INVALID"))))</f>
        <v/>
      </c>
      <c r="J641" s="33">
        <f>IF(OR(I641="OK",I641="BREACHED"),-INT(ROUND(-(H641)*100,6))/100,I641)</f>
        <v/>
      </c>
    </row>
    <row r="642" ht="18" customHeight="1">
      <c r="A642" s="9" t="n"/>
      <c r="B642" s="32" t="n"/>
      <c r="C642" s="12" t="n"/>
      <c r="D642" s="12" t="n"/>
      <c r="E642" s="12" t="n"/>
      <c r="F642" s="15">
        <f>IFERROR(MATCH($A642,Accounts!$A$2:$A$11,0),"")</f>
        <v/>
      </c>
      <c r="G642" s="14">
        <f>IFERROR(IF(OR($A642="",$F642=""),"",IF(INDEX(Accounts!$P$2:$P$11,$F642)="static",INDEX(Accounts!$Q$2:$Q$11,$F642),IF(INDEX(Accounts!$P$2:$P$11,$F642)="eod_trailing",MAX(INDEX(Accounts!$Q$2:$Q$11,$F642),_xlfn.MAXIFS($C$2:$C$1001,$A$2:$A$1001,$A642,$B$2:$B$1001,"&lt;"&amp;$B642)),MAX(INDEX(Accounts!$Q$2:$Q$11,$F642),_xlfn.MAXIFS($C$2:$C$1001,$A$2:$A$1001,$A642,$B$2:$B$1001,"&lt;"&amp;$B642),_xlfn.MAXIFS($D$2:$D$1001,$A$2:$A$1001,$A642,$B$2:$B$1001,"&lt;="&amp;$B642),$C642)))),"")</f>
        <v/>
      </c>
      <c r="H642" s="15">
        <f>IFERROR(IF(G642="","",IF(INDEX(Accounts!$P$2:$P$11,$F642)="static",INDEX(Accounts!$Q$2:$Q$11,$F642)-INDEX(Accounts!$R$2:$R$11,$F642),IF(INDEX(Accounts!$S$2:$S$11,$F642)="NONE",G642-INDEX(Accounts!$R$2:$R$11,$F642),MIN(G642-INDEX(Accounts!$R$2:$R$11,$F642),INDEX(Accounts!$Q$2:$Q$11,$F642)+INDEX(Accounts!$S$2:$S$11,$F642))))),"")</f>
        <v/>
      </c>
      <c r="I642" s="16">
        <f>IF(AND($A642="",$B642="",$C642="",$D642="",$E642=""),"",IF(OR($A642="",$F642=""),"UNKNOWN_ACCOUNT",IF(OR($B642="",$C642=""),"INCOMPLETE",IFERROR(IF(OR(NOT(ISNUMBER($B642)),NOT(ISNUMBER($C642)),IF(C642="",FALSE,IF(ISNUMBER(C642),OR(C642&lt;=0,C642&gt;100000000,ROUND(C642*100,6)&lt;&gt;INT(ROUND(C642*100,6))),TRUE)),IF(D642="",FALSE,IF(ISNUMBER(D642),OR(D642&lt;=0,D642&gt;100000000,ROUND(D642*100,6)&lt;&gt;INT(ROUND(D642*100,6))),TRUE)),IF(E642="",FALSE,IF(ISNUMBER(E642),OR(E642&lt;=0,E642&gt;100000000,ROUND(E642*100,6)&lt;&gt;INT(ROUND(E642*100,6))),TRUE)),AND($D642&lt;&gt;"",$D642&lt;MAX($C642,$E642)),AND($E642&lt;&gt;"",$E642&gt;MIN($C642,IF($D642="",$C642,$D642))),COUNTIFS($A$2:$A$1001,$A642,$B$2:$B$1001,$B642)&gt;1),"INVALID",IFERROR(IF(IF(INDEX(Accounts!$T$2:$T$11,$F642),ROUND(IF($E642="",$C642,MIN($C642,$E642))-(H642),6)&lt;=0,ROUND(IF($E642="",$C642,MIN($C642,$E642))-(H642),6)&lt;0),"BREACHED","OK"),"INCOMPLETE")),"INVALID"))))</f>
        <v/>
      </c>
      <c r="J642" s="33">
        <f>IF(OR(I642="OK",I642="BREACHED"),-INT(ROUND(-(H642)*100,6))/100,I642)</f>
        <v/>
      </c>
    </row>
    <row r="643" ht="18" customHeight="1">
      <c r="A643" s="9" t="n"/>
      <c r="B643" s="32" t="n"/>
      <c r="C643" s="12" t="n"/>
      <c r="D643" s="12" t="n"/>
      <c r="E643" s="12" t="n"/>
      <c r="F643" s="15">
        <f>IFERROR(MATCH($A643,Accounts!$A$2:$A$11,0),"")</f>
        <v/>
      </c>
      <c r="G643" s="14">
        <f>IFERROR(IF(OR($A643="",$F643=""),"",IF(INDEX(Accounts!$P$2:$P$11,$F643)="static",INDEX(Accounts!$Q$2:$Q$11,$F643),IF(INDEX(Accounts!$P$2:$P$11,$F643)="eod_trailing",MAX(INDEX(Accounts!$Q$2:$Q$11,$F643),_xlfn.MAXIFS($C$2:$C$1001,$A$2:$A$1001,$A643,$B$2:$B$1001,"&lt;"&amp;$B643)),MAX(INDEX(Accounts!$Q$2:$Q$11,$F643),_xlfn.MAXIFS($C$2:$C$1001,$A$2:$A$1001,$A643,$B$2:$B$1001,"&lt;"&amp;$B643),_xlfn.MAXIFS($D$2:$D$1001,$A$2:$A$1001,$A643,$B$2:$B$1001,"&lt;="&amp;$B643),$C643)))),"")</f>
        <v/>
      </c>
      <c r="H643" s="15">
        <f>IFERROR(IF(G643="","",IF(INDEX(Accounts!$P$2:$P$11,$F643)="static",INDEX(Accounts!$Q$2:$Q$11,$F643)-INDEX(Accounts!$R$2:$R$11,$F643),IF(INDEX(Accounts!$S$2:$S$11,$F643)="NONE",G643-INDEX(Accounts!$R$2:$R$11,$F643),MIN(G643-INDEX(Accounts!$R$2:$R$11,$F643),INDEX(Accounts!$Q$2:$Q$11,$F643)+INDEX(Accounts!$S$2:$S$11,$F643))))),"")</f>
        <v/>
      </c>
      <c r="I643" s="16">
        <f>IF(AND($A643="",$B643="",$C643="",$D643="",$E643=""),"",IF(OR($A643="",$F643=""),"UNKNOWN_ACCOUNT",IF(OR($B643="",$C643=""),"INCOMPLETE",IFERROR(IF(OR(NOT(ISNUMBER($B643)),NOT(ISNUMBER($C643)),IF(C643="",FALSE,IF(ISNUMBER(C643),OR(C643&lt;=0,C643&gt;100000000,ROUND(C643*100,6)&lt;&gt;INT(ROUND(C643*100,6))),TRUE)),IF(D643="",FALSE,IF(ISNUMBER(D643),OR(D643&lt;=0,D643&gt;100000000,ROUND(D643*100,6)&lt;&gt;INT(ROUND(D643*100,6))),TRUE)),IF(E643="",FALSE,IF(ISNUMBER(E643),OR(E643&lt;=0,E643&gt;100000000,ROUND(E643*100,6)&lt;&gt;INT(ROUND(E643*100,6))),TRUE)),AND($D643&lt;&gt;"",$D643&lt;MAX($C643,$E643)),AND($E643&lt;&gt;"",$E643&gt;MIN($C643,IF($D643="",$C643,$D643))),COUNTIFS($A$2:$A$1001,$A643,$B$2:$B$1001,$B643)&gt;1),"INVALID",IFERROR(IF(IF(INDEX(Accounts!$T$2:$T$11,$F643),ROUND(IF($E643="",$C643,MIN($C643,$E643))-(H643),6)&lt;=0,ROUND(IF($E643="",$C643,MIN($C643,$E643))-(H643),6)&lt;0),"BREACHED","OK"),"INCOMPLETE")),"INVALID"))))</f>
        <v/>
      </c>
      <c r="J643" s="33">
        <f>IF(OR(I643="OK",I643="BREACHED"),-INT(ROUND(-(H643)*100,6))/100,I643)</f>
        <v/>
      </c>
    </row>
    <row r="644" ht="18" customHeight="1">
      <c r="A644" s="9" t="n"/>
      <c r="B644" s="32" t="n"/>
      <c r="C644" s="12" t="n"/>
      <c r="D644" s="12" t="n"/>
      <c r="E644" s="12" t="n"/>
      <c r="F644" s="15">
        <f>IFERROR(MATCH($A644,Accounts!$A$2:$A$11,0),"")</f>
        <v/>
      </c>
      <c r="G644" s="14">
        <f>IFERROR(IF(OR($A644="",$F644=""),"",IF(INDEX(Accounts!$P$2:$P$11,$F644)="static",INDEX(Accounts!$Q$2:$Q$11,$F644),IF(INDEX(Accounts!$P$2:$P$11,$F644)="eod_trailing",MAX(INDEX(Accounts!$Q$2:$Q$11,$F644),_xlfn.MAXIFS($C$2:$C$1001,$A$2:$A$1001,$A644,$B$2:$B$1001,"&lt;"&amp;$B644)),MAX(INDEX(Accounts!$Q$2:$Q$11,$F644),_xlfn.MAXIFS($C$2:$C$1001,$A$2:$A$1001,$A644,$B$2:$B$1001,"&lt;"&amp;$B644),_xlfn.MAXIFS($D$2:$D$1001,$A$2:$A$1001,$A644,$B$2:$B$1001,"&lt;="&amp;$B644),$C644)))),"")</f>
        <v/>
      </c>
      <c r="H644" s="15">
        <f>IFERROR(IF(G644="","",IF(INDEX(Accounts!$P$2:$P$11,$F644)="static",INDEX(Accounts!$Q$2:$Q$11,$F644)-INDEX(Accounts!$R$2:$R$11,$F644),IF(INDEX(Accounts!$S$2:$S$11,$F644)="NONE",G644-INDEX(Accounts!$R$2:$R$11,$F644),MIN(G644-INDEX(Accounts!$R$2:$R$11,$F644),INDEX(Accounts!$Q$2:$Q$11,$F644)+INDEX(Accounts!$S$2:$S$11,$F644))))),"")</f>
        <v/>
      </c>
      <c r="I644" s="16">
        <f>IF(AND($A644="",$B644="",$C644="",$D644="",$E644=""),"",IF(OR($A644="",$F644=""),"UNKNOWN_ACCOUNT",IF(OR($B644="",$C644=""),"INCOMPLETE",IFERROR(IF(OR(NOT(ISNUMBER($B644)),NOT(ISNUMBER($C644)),IF(C644="",FALSE,IF(ISNUMBER(C644),OR(C644&lt;=0,C644&gt;100000000,ROUND(C644*100,6)&lt;&gt;INT(ROUND(C644*100,6))),TRUE)),IF(D644="",FALSE,IF(ISNUMBER(D644),OR(D644&lt;=0,D644&gt;100000000,ROUND(D644*100,6)&lt;&gt;INT(ROUND(D644*100,6))),TRUE)),IF(E644="",FALSE,IF(ISNUMBER(E644),OR(E644&lt;=0,E644&gt;100000000,ROUND(E644*100,6)&lt;&gt;INT(ROUND(E644*100,6))),TRUE)),AND($D644&lt;&gt;"",$D644&lt;MAX($C644,$E644)),AND($E644&lt;&gt;"",$E644&gt;MIN($C644,IF($D644="",$C644,$D644))),COUNTIFS($A$2:$A$1001,$A644,$B$2:$B$1001,$B644)&gt;1),"INVALID",IFERROR(IF(IF(INDEX(Accounts!$T$2:$T$11,$F644),ROUND(IF($E644="",$C644,MIN($C644,$E644))-(H644),6)&lt;=0,ROUND(IF($E644="",$C644,MIN($C644,$E644))-(H644),6)&lt;0),"BREACHED","OK"),"INCOMPLETE")),"INVALID"))))</f>
        <v/>
      </c>
      <c r="J644" s="33">
        <f>IF(OR(I644="OK",I644="BREACHED"),-INT(ROUND(-(H644)*100,6))/100,I644)</f>
        <v/>
      </c>
    </row>
    <row r="645" ht="18" customHeight="1">
      <c r="A645" s="9" t="n"/>
      <c r="B645" s="32" t="n"/>
      <c r="C645" s="12" t="n"/>
      <c r="D645" s="12" t="n"/>
      <c r="E645" s="12" t="n"/>
      <c r="F645" s="15">
        <f>IFERROR(MATCH($A645,Accounts!$A$2:$A$11,0),"")</f>
        <v/>
      </c>
      <c r="G645" s="14">
        <f>IFERROR(IF(OR($A645="",$F645=""),"",IF(INDEX(Accounts!$P$2:$P$11,$F645)="static",INDEX(Accounts!$Q$2:$Q$11,$F645),IF(INDEX(Accounts!$P$2:$P$11,$F645)="eod_trailing",MAX(INDEX(Accounts!$Q$2:$Q$11,$F645),_xlfn.MAXIFS($C$2:$C$1001,$A$2:$A$1001,$A645,$B$2:$B$1001,"&lt;"&amp;$B645)),MAX(INDEX(Accounts!$Q$2:$Q$11,$F645),_xlfn.MAXIFS($C$2:$C$1001,$A$2:$A$1001,$A645,$B$2:$B$1001,"&lt;"&amp;$B645),_xlfn.MAXIFS($D$2:$D$1001,$A$2:$A$1001,$A645,$B$2:$B$1001,"&lt;="&amp;$B645),$C645)))),"")</f>
        <v/>
      </c>
      <c r="H645" s="15">
        <f>IFERROR(IF(G645="","",IF(INDEX(Accounts!$P$2:$P$11,$F645)="static",INDEX(Accounts!$Q$2:$Q$11,$F645)-INDEX(Accounts!$R$2:$R$11,$F645),IF(INDEX(Accounts!$S$2:$S$11,$F645)="NONE",G645-INDEX(Accounts!$R$2:$R$11,$F645),MIN(G645-INDEX(Accounts!$R$2:$R$11,$F645),INDEX(Accounts!$Q$2:$Q$11,$F645)+INDEX(Accounts!$S$2:$S$11,$F645))))),"")</f>
        <v/>
      </c>
      <c r="I645" s="16">
        <f>IF(AND($A645="",$B645="",$C645="",$D645="",$E645=""),"",IF(OR($A645="",$F645=""),"UNKNOWN_ACCOUNT",IF(OR($B645="",$C645=""),"INCOMPLETE",IFERROR(IF(OR(NOT(ISNUMBER($B645)),NOT(ISNUMBER($C645)),IF(C645="",FALSE,IF(ISNUMBER(C645),OR(C645&lt;=0,C645&gt;100000000,ROUND(C645*100,6)&lt;&gt;INT(ROUND(C645*100,6))),TRUE)),IF(D645="",FALSE,IF(ISNUMBER(D645),OR(D645&lt;=0,D645&gt;100000000,ROUND(D645*100,6)&lt;&gt;INT(ROUND(D645*100,6))),TRUE)),IF(E645="",FALSE,IF(ISNUMBER(E645),OR(E645&lt;=0,E645&gt;100000000,ROUND(E645*100,6)&lt;&gt;INT(ROUND(E645*100,6))),TRUE)),AND($D645&lt;&gt;"",$D645&lt;MAX($C645,$E645)),AND($E645&lt;&gt;"",$E645&gt;MIN($C645,IF($D645="",$C645,$D645))),COUNTIFS($A$2:$A$1001,$A645,$B$2:$B$1001,$B645)&gt;1),"INVALID",IFERROR(IF(IF(INDEX(Accounts!$T$2:$T$11,$F645),ROUND(IF($E645="",$C645,MIN($C645,$E645))-(H645),6)&lt;=0,ROUND(IF($E645="",$C645,MIN($C645,$E645))-(H645),6)&lt;0),"BREACHED","OK"),"INCOMPLETE")),"INVALID"))))</f>
        <v/>
      </c>
      <c r="J645" s="33">
        <f>IF(OR(I645="OK",I645="BREACHED"),-INT(ROUND(-(H645)*100,6))/100,I645)</f>
        <v/>
      </c>
    </row>
    <row r="646" ht="18" customHeight="1">
      <c r="A646" s="9" t="n"/>
      <c r="B646" s="32" t="n"/>
      <c r="C646" s="12" t="n"/>
      <c r="D646" s="12" t="n"/>
      <c r="E646" s="12" t="n"/>
      <c r="F646" s="15">
        <f>IFERROR(MATCH($A646,Accounts!$A$2:$A$11,0),"")</f>
        <v/>
      </c>
      <c r="G646" s="14">
        <f>IFERROR(IF(OR($A646="",$F646=""),"",IF(INDEX(Accounts!$P$2:$P$11,$F646)="static",INDEX(Accounts!$Q$2:$Q$11,$F646),IF(INDEX(Accounts!$P$2:$P$11,$F646)="eod_trailing",MAX(INDEX(Accounts!$Q$2:$Q$11,$F646),_xlfn.MAXIFS($C$2:$C$1001,$A$2:$A$1001,$A646,$B$2:$B$1001,"&lt;"&amp;$B646)),MAX(INDEX(Accounts!$Q$2:$Q$11,$F646),_xlfn.MAXIFS($C$2:$C$1001,$A$2:$A$1001,$A646,$B$2:$B$1001,"&lt;"&amp;$B646),_xlfn.MAXIFS($D$2:$D$1001,$A$2:$A$1001,$A646,$B$2:$B$1001,"&lt;="&amp;$B646),$C646)))),"")</f>
        <v/>
      </c>
      <c r="H646" s="15">
        <f>IFERROR(IF(G646="","",IF(INDEX(Accounts!$P$2:$P$11,$F646)="static",INDEX(Accounts!$Q$2:$Q$11,$F646)-INDEX(Accounts!$R$2:$R$11,$F646),IF(INDEX(Accounts!$S$2:$S$11,$F646)="NONE",G646-INDEX(Accounts!$R$2:$R$11,$F646),MIN(G646-INDEX(Accounts!$R$2:$R$11,$F646),INDEX(Accounts!$Q$2:$Q$11,$F646)+INDEX(Accounts!$S$2:$S$11,$F646))))),"")</f>
        <v/>
      </c>
      <c r="I646" s="16">
        <f>IF(AND($A646="",$B646="",$C646="",$D646="",$E646=""),"",IF(OR($A646="",$F646=""),"UNKNOWN_ACCOUNT",IF(OR($B646="",$C646=""),"INCOMPLETE",IFERROR(IF(OR(NOT(ISNUMBER($B646)),NOT(ISNUMBER($C646)),IF(C646="",FALSE,IF(ISNUMBER(C646),OR(C646&lt;=0,C646&gt;100000000,ROUND(C646*100,6)&lt;&gt;INT(ROUND(C646*100,6))),TRUE)),IF(D646="",FALSE,IF(ISNUMBER(D646),OR(D646&lt;=0,D646&gt;100000000,ROUND(D646*100,6)&lt;&gt;INT(ROUND(D646*100,6))),TRUE)),IF(E646="",FALSE,IF(ISNUMBER(E646),OR(E646&lt;=0,E646&gt;100000000,ROUND(E646*100,6)&lt;&gt;INT(ROUND(E646*100,6))),TRUE)),AND($D646&lt;&gt;"",$D646&lt;MAX($C646,$E646)),AND($E646&lt;&gt;"",$E646&gt;MIN($C646,IF($D646="",$C646,$D646))),COUNTIFS($A$2:$A$1001,$A646,$B$2:$B$1001,$B646)&gt;1),"INVALID",IFERROR(IF(IF(INDEX(Accounts!$T$2:$T$11,$F646),ROUND(IF($E646="",$C646,MIN($C646,$E646))-(H646),6)&lt;=0,ROUND(IF($E646="",$C646,MIN($C646,$E646))-(H646),6)&lt;0),"BREACHED","OK"),"INCOMPLETE")),"INVALID"))))</f>
        <v/>
      </c>
      <c r="J646" s="33">
        <f>IF(OR(I646="OK",I646="BREACHED"),-INT(ROUND(-(H646)*100,6))/100,I646)</f>
        <v/>
      </c>
    </row>
    <row r="647" ht="18" customHeight="1">
      <c r="A647" s="9" t="n"/>
      <c r="B647" s="32" t="n"/>
      <c r="C647" s="12" t="n"/>
      <c r="D647" s="12" t="n"/>
      <c r="E647" s="12" t="n"/>
      <c r="F647" s="15">
        <f>IFERROR(MATCH($A647,Accounts!$A$2:$A$11,0),"")</f>
        <v/>
      </c>
      <c r="G647" s="14">
        <f>IFERROR(IF(OR($A647="",$F647=""),"",IF(INDEX(Accounts!$P$2:$P$11,$F647)="static",INDEX(Accounts!$Q$2:$Q$11,$F647),IF(INDEX(Accounts!$P$2:$P$11,$F647)="eod_trailing",MAX(INDEX(Accounts!$Q$2:$Q$11,$F647),_xlfn.MAXIFS($C$2:$C$1001,$A$2:$A$1001,$A647,$B$2:$B$1001,"&lt;"&amp;$B647)),MAX(INDEX(Accounts!$Q$2:$Q$11,$F647),_xlfn.MAXIFS($C$2:$C$1001,$A$2:$A$1001,$A647,$B$2:$B$1001,"&lt;"&amp;$B647),_xlfn.MAXIFS($D$2:$D$1001,$A$2:$A$1001,$A647,$B$2:$B$1001,"&lt;="&amp;$B647),$C647)))),"")</f>
        <v/>
      </c>
      <c r="H647" s="15">
        <f>IFERROR(IF(G647="","",IF(INDEX(Accounts!$P$2:$P$11,$F647)="static",INDEX(Accounts!$Q$2:$Q$11,$F647)-INDEX(Accounts!$R$2:$R$11,$F647),IF(INDEX(Accounts!$S$2:$S$11,$F647)="NONE",G647-INDEX(Accounts!$R$2:$R$11,$F647),MIN(G647-INDEX(Accounts!$R$2:$R$11,$F647),INDEX(Accounts!$Q$2:$Q$11,$F647)+INDEX(Accounts!$S$2:$S$11,$F647))))),"")</f>
        <v/>
      </c>
      <c r="I647" s="16">
        <f>IF(AND($A647="",$B647="",$C647="",$D647="",$E647=""),"",IF(OR($A647="",$F647=""),"UNKNOWN_ACCOUNT",IF(OR($B647="",$C647=""),"INCOMPLETE",IFERROR(IF(OR(NOT(ISNUMBER($B647)),NOT(ISNUMBER($C647)),IF(C647="",FALSE,IF(ISNUMBER(C647),OR(C647&lt;=0,C647&gt;100000000,ROUND(C647*100,6)&lt;&gt;INT(ROUND(C647*100,6))),TRUE)),IF(D647="",FALSE,IF(ISNUMBER(D647),OR(D647&lt;=0,D647&gt;100000000,ROUND(D647*100,6)&lt;&gt;INT(ROUND(D647*100,6))),TRUE)),IF(E647="",FALSE,IF(ISNUMBER(E647),OR(E647&lt;=0,E647&gt;100000000,ROUND(E647*100,6)&lt;&gt;INT(ROUND(E647*100,6))),TRUE)),AND($D647&lt;&gt;"",$D647&lt;MAX($C647,$E647)),AND($E647&lt;&gt;"",$E647&gt;MIN($C647,IF($D647="",$C647,$D647))),COUNTIFS($A$2:$A$1001,$A647,$B$2:$B$1001,$B647)&gt;1),"INVALID",IFERROR(IF(IF(INDEX(Accounts!$T$2:$T$11,$F647),ROUND(IF($E647="",$C647,MIN($C647,$E647))-(H647),6)&lt;=0,ROUND(IF($E647="",$C647,MIN($C647,$E647))-(H647),6)&lt;0),"BREACHED","OK"),"INCOMPLETE")),"INVALID"))))</f>
        <v/>
      </c>
      <c r="J647" s="33">
        <f>IF(OR(I647="OK",I647="BREACHED"),-INT(ROUND(-(H647)*100,6))/100,I647)</f>
        <v/>
      </c>
    </row>
    <row r="648" ht="18" customHeight="1">
      <c r="A648" s="9" t="n"/>
      <c r="B648" s="32" t="n"/>
      <c r="C648" s="12" t="n"/>
      <c r="D648" s="12" t="n"/>
      <c r="E648" s="12" t="n"/>
      <c r="F648" s="15">
        <f>IFERROR(MATCH($A648,Accounts!$A$2:$A$11,0),"")</f>
        <v/>
      </c>
      <c r="G648" s="14">
        <f>IFERROR(IF(OR($A648="",$F648=""),"",IF(INDEX(Accounts!$P$2:$P$11,$F648)="static",INDEX(Accounts!$Q$2:$Q$11,$F648),IF(INDEX(Accounts!$P$2:$P$11,$F648)="eod_trailing",MAX(INDEX(Accounts!$Q$2:$Q$11,$F648),_xlfn.MAXIFS($C$2:$C$1001,$A$2:$A$1001,$A648,$B$2:$B$1001,"&lt;"&amp;$B648)),MAX(INDEX(Accounts!$Q$2:$Q$11,$F648),_xlfn.MAXIFS($C$2:$C$1001,$A$2:$A$1001,$A648,$B$2:$B$1001,"&lt;"&amp;$B648),_xlfn.MAXIFS($D$2:$D$1001,$A$2:$A$1001,$A648,$B$2:$B$1001,"&lt;="&amp;$B648),$C648)))),"")</f>
        <v/>
      </c>
      <c r="H648" s="15">
        <f>IFERROR(IF(G648="","",IF(INDEX(Accounts!$P$2:$P$11,$F648)="static",INDEX(Accounts!$Q$2:$Q$11,$F648)-INDEX(Accounts!$R$2:$R$11,$F648),IF(INDEX(Accounts!$S$2:$S$11,$F648)="NONE",G648-INDEX(Accounts!$R$2:$R$11,$F648),MIN(G648-INDEX(Accounts!$R$2:$R$11,$F648),INDEX(Accounts!$Q$2:$Q$11,$F648)+INDEX(Accounts!$S$2:$S$11,$F648))))),"")</f>
        <v/>
      </c>
      <c r="I648" s="16">
        <f>IF(AND($A648="",$B648="",$C648="",$D648="",$E648=""),"",IF(OR($A648="",$F648=""),"UNKNOWN_ACCOUNT",IF(OR($B648="",$C648=""),"INCOMPLETE",IFERROR(IF(OR(NOT(ISNUMBER($B648)),NOT(ISNUMBER($C648)),IF(C648="",FALSE,IF(ISNUMBER(C648),OR(C648&lt;=0,C648&gt;100000000,ROUND(C648*100,6)&lt;&gt;INT(ROUND(C648*100,6))),TRUE)),IF(D648="",FALSE,IF(ISNUMBER(D648),OR(D648&lt;=0,D648&gt;100000000,ROUND(D648*100,6)&lt;&gt;INT(ROUND(D648*100,6))),TRUE)),IF(E648="",FALSE,IF(ISNUMBER(E648),OR(E648&lt;=0,E648&gt;100000000,ROUND(E648*100,6)&lt;&gt;INT(ROUND(E648*100,6))),TRUE)),AND($D648&lt;&gt;"",$D648&lt;MAX($C648,$E648)),AND($E648&lt;&gt;"",$E648&gt;MIN($C648,IF($D648="",$C648,$D648))),COUNTIFS($A$2:$A$1001,$A648,$B$2:$B$1001,$B648)&gt;1),"INVALID",IFERROR(IF(IF(INDEX(Accounts!$T$2:$T$11,$F648),ROUND(IF($E648="",$C648,MIN($C648,$E648))-(H648),6)&lt;=0,ROUND(IF($E648="",$C648,MIN($C648,$E648))-(H648),6)&lt;0),"BREACHED","OK"),"INCOMPLETE")),"INVALID"))))</f>
        <v/>
      </c>
      <c r="J648" s="33">
        <f>IF(OR(I648="OK",I648="BREACHED"),-INT(ROUND(-(H648)*100,6))/100,I648)</f>
        <v/>
      </c>
    </row>
    <row r="649" ht="18" customHeight="1">
      <c r="A649" s="9" t="n"/>
      <c r="B649" s="32" t="n"/>
      <c r="C649" s="12" t="n"/>
      <c r="D649" s="12" t="n"/>
      <c r="E649" s="12" t="n"/>
      <c r="F649" s="15">
        <f>IFERROR(MATCH($A649,Accounts!$A$2:$A$11,0),"")</f>
        <v/>
      </c>
      <c r="G649" s="14">
        <f>IFERROR(IF(OR($A649="",$F649=""),"",IF(INDEX(Accounts!$P$2:$P$11,$F649)="static",INDEX(Accounts!$Q$2:$Q$11,$F649),IF(INDEX(Accounts!$P$2:$P$11,$F649)="eod_trailing",MAX(INDEX(Accounts!$Q$2:$Q$11,$F649),_xlfn.MAXIFS($C$2:$C$1001,$A$2:$A$1001,$A649,$B$2:$B$1001,"&lt;"&amp;$B649)),MAX(INDEX(Accounts!$Q$2:$Q$11,$F649),_xlfn.MAXIFS($C$2:$C$1001,$A$2:$A$1001,$A649,$B$2:$B$1001,"&lt;"&amp;$B649),_xlfn.MAXIFS($D$2:$D$1001,$A$2:$A$1001,$A649,$B$2:$B$1001,"&lt;="&amp;$B649),$C649)))),"")</f>
        <v/>
      </c>
      <c r="H649" s="15">
        <f>IFERROR(IF(G649="","",IF(INDEX(Accounts!$P$2:$P$11,$F649)="static",INDEX(Accounts!$Q$2:$Q$11,$F649)-INDEX(Accounts!$R$2:$R$11,$F649),IF(INDEX(Accounts!$S$2:$S$11,$F649)="NONE",G649-INDEX(Accounts!$R$2:$R$11,$F649),MIN(G649-INDEX(Accounts!$R$2:$R$11,$F649),INDEX(Accounts!$Q$2:$Q$11,$F649)+INDEX(Accounts!$S$2:$S$11,$F649))))),"")</f>
        <v/>
      </c>
      <c r="I649" s="16">
        <f>IF(AND($A649="",$B649="",$C649="",$D649="",$E649=""),"",IF(OR($A649="",$F649=""),"UNKNOWN_ACCOUNT",IF(OR($B649="",$C649=""),"INCOMPLETE",IFERROR(IF(OR(NOT(ISNUMBER($B649)),NOT(ISNUMBER($C649)),IF(C649="",FALSE,IF(ISNUMBER(C649),OR(C649&lt;=0,C649&gt;100000000,ROUND(C649*100,6)&lt;&gt;INT(ROUND(C649*100,6))),TRUE)),IF(D649="",FALSE,IF(ISNUMBER(D649),OR(D649&lt;=0,D649&gt;100000000,ROUND(D649*100,6)&lt;&gt;INT(ROUND(D649*100,6))),TRUE)),IF(E649="",FALSE,IF(ISNUMBER(E649),OR(E649&lt;=0,E649&gt;100000000,ROUND(E649*100,6)&lt;&gt;INT(ROUND(E649*100,6))),TRUE)),AND($D649&lt;&gt;"",$D649&lt;MAX($C649,$E649)),AND($E649&lt;&gt;"",$E649&gt;MIN($C649,IF($D649="",$C649,$D649))),COUNTIFS($A$2:$A$1001,$A649,$B$2:$B$1001,$B649)&gt;1),"INVALID",IFERROR(IF(IF(INDEX(Accounts!$T$2:$T$11,$F649),ROUND(IF($E649="",$C649,MIN($C649,$E649))-(H649),6)&lt;=0,ROUND(IF($E649="",$C649,MIN($C649,$E649))-(H649),6)&lt;0),"BREACHED","OK"),"INCOMPLETE")),"INVALID"))))</f>
        <v/>
      </c>
      <c r="J649" s="33">
        <f>IF(OR(I649="OK",I649="BREACHED"),-INT(ROUND(-(H649)*100,6))/100,I649)</f>
        <v/>
      </c>
    </row>
    <row r="650" ht="18" customHeight="1">
      <c r="A650" s="9" t="n"/>
      <c r="B650" s="32" t="n"/>
      <c r="C650" s="12" t="n"/>
      <c r="D650" s="12" t="n"/>
      <c r="E650" s="12" t="n"/>
      <c r="F650" s="15">
        <f>IFERROR(MATCH($A650,Accounts!$A$2:$A$11,0),"")</f>
        <v/>
      </c>
      <c r="G650" s="14">
        <f>IFERROR(IF(OR($A650="",$F650=""),"",IF(INDEX(Accounts!$P$2:$P$11,$F650)="static",INDEX(Accounts!$Q$2:$Q$11,$F650),IF(INDEX(Accounts!$P$2:$P$11,$F650)="eod_trailing",MAX(INDEX(Accounts!$Q$2:$Q$11,$F650),_xlfn.MAXIFS($C$2:$C$1001,$A$2:$A$1001,$A650,$B$2:$B$1001,"&lt;"&amp;$B650)),MAX(INDEX(Accounts!$Q$2:$Q$11,$F650),_xlfn.MAXIFS($C$2:$C$1001,$A$2:$A$1001,$A650,$B$2:$B$1001,"&lt;"&amp;$B650),_xlfn.MAXIFS($D$2:$D$1001,$A$2:$A$1001,$A650,$B$2:$B$1001,"&lt;="&amp;$B650),$C650)))),"")</f>
        <v/>
      </c>
      <c r="H650" s="15">
        <f>IFERROR(IF(G650="","",IF(INDEX(Accounts!$P$2:$P$11,$F650)="static",INDEX(Accounts!$Q$2:$Q$11,$F650)-INDEX(Accounts!$R$2:$R$11,$F650),IF(INDEX(Accounts!$S$2:$S$11,$F650)="NONE",G650-INDEX(Accounts!$R$2:$R$11,$F650),MIN(G650-INDEX(Accounts!$R$2:$R$11,$F650),INDEX(Accounts!$Q$2:$Q$11,$F650)+INDEX(Accounts!$S$2:$S$11,$F650))))),"")</f>
        <v/>
      </c>
      <c r="I650" s="16">
        <f>IF(AND($A650="",$B650="",$C650="",$D650="",$E650=""),"",IF(OR($A650="",$F650=""),"UNKNOWN_ACCOUNT",IF(OR($B650="",$C650=""),"INCOMPLETE",IFERROR(IF(OR(NOT(ISNUMBER($B650)),NOT(ISNUMBER($C650)),IF(C650="",FALSE,IF(ISNUMBER(C650),OR(C650&lt;=0,C650&gt;100000000,ROUND(C650*100,6)&lt;&gt;INT(ROUND(C650*100,6))),TRUE)),IF(D650="",FALSE,IF(ISNUMBER(D650),OR(D650&lt;=0,D650&gt;100000000,ROUND(D650*100,6)&lt;&gt;INT(ROUND(D650*100,6))),TRUE)),IF(E650="",FALSE,IF(ISNUMBER(E650),OR(E650&lt;=0,E650&gt;100000000,ROUND(E650*100,6)&lt;&gt;INT(ROUND(E650*100,6))),TRUE)),AND($D650&lt;&gt;"",$D650&lt;MAX($C650,$E650)),AND($E650&lt;&gt;"",$E650&gt;MIN($C650,IF($D650="",$C650,$D650))),COUNTIFS($A$2:$A$1001,$A650,$B$2:$B$1001,$B650)&gt;1),"INVALID",IFERROR(IF(IF(INDEX(Accounts!$T$2:$T$11,$F650),ROUND(IF($E650="",$C650,MIN($C650,$E650))-(H650),6)&lt;=0,ROUND(IF($E650="",$C650,MIN($C650,$E650))-(H650),6)&lt;0),"BREACHED","OK"),"INCOMPLETE")),"INVALID"))))</f>
        <v/>
      </c>
      <c r="J650" s="33">
        <f>IF(OR(I650="OK",I650="BREACHED"),-INT(ROUND(-(H650)*100,6))/100,I650)</f>
        <v/>
      </c>
    </row>
    <row r="651" ht="18" customHeight="1">
      <c r="A651" s="9" t="n"/>
      <c r="B651" s="32" t="n"/>
      <c r="C651" s="12" t="n"/>
      <c r="D651" s="12" t="n"/>
      <c r="E651" s="12" t="n"/>
      <c r="F651" s="15">
        <f>IFERROR(MATCH($A651,Accounts!$A$2:$A$11,0),"")</f>
        <v/>
      </c>
      <c r="G651" s="14">
        <f>IFERROR(IF(OR($A651="",$F651=""),"",IF(INDEX(Accounts!$P$2:$P$11,$F651)="static",INDEX(Accounts!$Q$2:$Q$11,$F651),IF(INDEX(Accounts!$P$2:$P$11,$F651)="eod_trailing",MAX(INDEX(Accounts!$Q$2:$Q$11,$F651),_xlfn.MAXIFS($C$2:$C$1001,$A$2:$A$1001,$A651,$B$2:$B$1001,"&lt;"&amp;$B651)),MAX(INDEX(Accounts!$Q$2:$Q$11,$F651),_xlfn.MAXIFS($C$2:$C$1001,$A$2:$A$1001,$A651,$B$2:$B$1001,"&lt;"&amp;$B651),_xlfn.MAXIFS($D$2:$D$1001,$A$2:$A$1001,$A651,$B$2:$B$1001,"&lt;="&amp;$B651),$C651)))),"")</f>
        <v/>
      </c>
      <c r="H651" s="15">
        <f>IFERROR(IF(G651="","",IF(INDEX(Accounts!$P$2:$P$11,$F651)="static",INDEX(Accounts!$Q$2:$Q$11,$F651)-INDEX(Accounts!$R$2:$R$11,$F651),IF(INDEX(Accounts!$S$2:$S$11,$F651)="NONE",G651-INDEX(Accounts!$R$2:$R$11,$F651),MIN(G651-INDEX(Accounts!$R$2:$R$11,$F651),INDEX(Accounts!$Q$2:$Q$11,$F651)+INDEX(Accounts!$S$2:$S$11,$F651))))),"")</f>
        <v/>
      </c>
      <c r="I651" s="16">
        <f>IF(AND($A651="",$B651="",$C651="",$D651="",$E651=""),"",IF(OR($A651="",$F651=""),"UNKNOWN_ACCOUNT",IF(OR($B651="",$C651=""),"INCOMPLETE",IFERROR(IF(OR(NOT(ISNUMBER($B651)),NOT(ISNUMBER($C651)),IF(C651="",FALSE,IF(ISNUMBER(C651),OR(C651&lt;=0,C651&gt;100000000,ROUND(C651*100,6)&lt;&gt;INT(ROUND(C651*100,6))),TRUE)),IF(D651="",FALSE,IF(ISNUMBER(D651),OR(D651&lt;=0,D651&gt;100000000,ROUND(D651*100,6)&lt;&gt;INT(ROUND(D651*100,6))),TRUE)),IF(E651="",FALSE,IF(ISNUMBER(E651),OR(E651&lt;=0,E651&gt;100000000,ROUND(E651*100,6)&lt;&gt;INT(ROUND(E651*100,6))),TRUE)),AND($D651&lt;&gt;"",$D651&lt;MAX($C651,$E651)),AND($E651&lt;&gt;"",$E651&gt;MIN($C651,IF($D651="",$C651,$D651))),COUNTIFS($A$2:$A$1001,$A651,$B$2:$B$1001,$B651)&gt;1),"INVALID",IFERROR(IF(IF(INDEX(Accounts!$T$2:$T$11,$F651),ROUND(IF($E651="",$C651,MIN($C651,$E651))-(H651),6)&lt;=0,ROUND(IF($E651="",$C651,MIN($C651,$E651))-(H651),6)&lt;0),"BREACHED","OK"),"INCOMPLETE")),"INVALID"))))</f>
        <v/>
      </c>
      <c r="J651" s="33">
        <f>IF(OR(I651="OK",I651="BREACHED"),-INT(ROUND(-(H651)*100,6))/100,I651)</f>
        <v/>
      </c>
    </row>
    <row r="652" ht="18" customHeight="1">
      <c r="A652" s="9" t="n"/>
      <c r="B652" s="32" t="n"/>
      <c r="C652" s="12" t="n"/>
      <c r="D652" s="12" t="n"/>
      <c r="E652" s="12" t="n"/>
      <c r="F652" s="15">
        <f>IFERROR(MATCH($A652,Accounts!$A$2:$A$11,0),"")</f>
        <v/>
      </c>
      <c r="G652" s="14">
        <f>IFERROR(IF(OR($A652="",$F652=""),"",IF(INDEX(Accounts!$P$2:$P$11,$F652)="static",INDEX(Accounts!$Q$2:$Q$11,$F652),IF(INDEX(Accounts!$P$2:$P$11,$F652)="eod_trailing",MAX(INDEX(Accounts!$Q$2:$Q$11,$F652),_xlfn.MAXIFS($C$2:$C$1001,$A$2:$A$1001,$A652,$B$2:$B$1001,"&lt;"&amp;$B652)),MAX(INDEX(Accounts!$Q$2:$Q$11,$F652),_xlfn.MAXIFS($C$2:$C$1001,$A$2:$A$1001,$A652,$B$2:$B$1001,"&lt;"&amp;$B652),_xlfn.MAXIFS($D$2:$D$1001,$A$2:$A$1001,$A652,$B$2:$B$1001,"&lt;="&amp;$B652),$C652)))),"")</f>
        <v/>
      </c>
      <c r="H652" s="15">
        <f>IFERROR(IF(G652="","",IF(INDEX(Accounts!$P$2:$P$11,$F652)="static",INDEX(Accounts!$Q$2:$Q$11,$F652)-INDEX(Accounts!$R$2:$R$11,$F652),IF(INDEX(Accounts!$S$2:$S$11,$F652)="NONE",G652-INDEX(Accounts!$R$2:$R$11,$F652),MIN(G652-INDEX(Accounts!$R$2:$R$11,$F652),INDEX(Accounts!$Q$2:$Q$11,$F652)+INDEX(Accounts!$S$2:$S$11,$F652))))),"")</f>
        <v/>
      </c>
      <c r="I652" s="16">
        <f>IF(AND($A652="",$B652="",$C652="",$D652="",$E652=""),"",IF(OR($A652="",$F652=""),"UNKNOWN_ACCOUNT",IF(OR($B652="",$C652=""),"INCOMPLETE",IFERROR(IF(OR(NOT(ISNUMBER($B652)),NOT(ISNUMBER($C652)),IF(C652="",FALSE,IF(ISNUMBER(C652),OR(C652&lt;=0,C652&gt;100000000,ROUND(C652*100,6)&lt;&gt;INT(ROUND(C652*100,6))),TRUE)),IF(D652="",FALSE,IF(ISNUMBER(D652),OR(D652&lt;=0,D652&gt;100000000,ROUND(D652*100,6)&lt;&gt;INT(ROUND(D652*100,6))),TRUE)),IF(E652="",FALSE,IF(ISNUMBER(E652),OR(E652&lt;=0,E652&gt;100000000,ROUND(E652*100,6)&lt;&gt;INT(ROUND(E652*100,6))),TRUE)),AND($D652&lt;&gt;"",$D652&lt;MAX($C652,$E652)),AND($E652&lt;&gt;"",$E652&gt;MIN($C652,IF($D652="",$C652,$D652))),COUNTIFS($A$2:$A$1001,$A652,$B$2:$B$1001,$B652)&gt;1),"INVALID",IFERROR(IF(IF(INDEX(Accounts!$T$2:$T$11,$F652),ROUND(IF($E652="",$C652,MIN($C652,$E652))-(H652),6)&lt;=0,ROUND(IF($E652="",$C652,MIN($C652,$E652))-(H652),6)&lt;0),"BREACHED","OK"),"INCOMPLETE")),"INVALID"))))</f>
        <v/>
      </c>
      <c r="J652" s="33">
        <f>IF(OR(I652="OK",I652="BREACHED"),-INT(ROUND(-(H652)*100,6))/100,I652)</f>
        <v/>
      </c>
    </row>
    <row r="653" ht="18" customHeight="1">
      <c r="A653" s="9" t="n"/>
      <c r="B653" s="32" t="n"/>
      <c r="C653" s="12" t="n"/>
      <c r="D653" s="12" t="n"/>
      <c r="E653" s="12" t="n"/>
      <c r="F653" s="15">
        <f>IFERROR(MATCH($A653,Accounts!$A$2:$A$11,0),"")</f>
        <v/>
      </c>
      <c r="G653" s="14">
        <f>IFERROR(IF(OR($A653="",$F653=""),"",IF(INDEX(Accounts!$P$2:$P$11,$F653)="static",INDEX(Accounts!$Q$2:$Q$11,$F653),IF(INDEX(Accounts!$P$2:$P$11,$F653)="eod_trailing",MAX(INDEX(Accounts!$Q$2:$Q$11,$F653),_xlfn.MAXIFS($C$2:$C$1001,$A$2:$A$1001,$A653,$B$2:$B$1001,"&lt;"&amp;$B653)),MAX(INDEX(Accounts!$Q$2:$Q$11,$F653),_xlfn.MAXIFS($C$2:$C$1001,$A$2:$A$1001,$A653,$B$2:$B$1001,"&lt;"&amp;$B653),_xlfn.MAXIFS($D$2:$D$1001,$A$2:$A$1001,$A653,$B$2:$B$1001,"&lt;="&amp;$B653),$C653)))),"")</f>
        <v/>
      </c>
      <c r="H653" s="15">
        <f>IFERROR(IF(G653="","",IF(INDEX(Accounts!$P$2:$P$11,$F653)="static",INDEX(Accounts!$Q$2:$Q$11,$F653)-INDEX(Accounts!$R$2:$R$11,$F653),IF(INDEX(Accounts!$S$2:$S$11,$F653)="NONE",G653-INDEX(Accounts!$R$2:$R$11,$F653),MIN(G653-INDEX(Accounts!$R$2:$R$11,$F653),INDEX(Accounts!$Q$2:$Q$11,$F653)+INDEX(Accounts!$S$2:$S$11,$F653))))),"")</f>
        <v/>
      </c>
      <c r="I653" s="16">
        <f>IF(AND($A653="",$B653="",$C653="",$D653="",$E653=""),"",IF(OR($A653="",$F653=""),"UNKNOWN_ACCOUNT",IF(OR($B653="",$C653=""),"INCOMPLETE",IFERROR(IF(OR(NOT(ISNUMBER($B653)),NOT(ISNUMBER($C653)),IF(C653="",FALSE,IF(ISNUMBER(C653),OR(C653&lt;=0,C653&gt;100000000,ROUND(C653*100,6)&lt;&gt;INT(ROUND(C653*100,6))),TRUE)),IF(D653="",FALSE,IF(ISNUMBER(D653),OR(D653&lt;=0,D653&gt;100000000,ROUND(D653*100,6)&lt;&gt;INT(ROUND(D653*100,6))),TRUE)),IF(E653="",FALSE,IF(ISNUMBER(E653),OR(E653&lt;=0,E653&gt;100000000,ROUND(E653*100,6)&lt;&gt;INT(ROUND(E653*100,6))),TRUE)),AND($D653&lt;&gt;"",$D653&lt;MAX($C653,$E653)),AND($E653&lt;&gt;"",$E653&gt;MIN($C653,IF($D653="",$C653,$D653))),COUNTIFS($A$2:$A$1001,$A653,$B$2:$B$1001,$B653)&gt;1),"INVALID",IFERROR(IF(IF(INDEX(Accounts!$T$2:$T$11,$F653),ROUND(IF($E653="",$C653,MIN($C653,$E653))-(H653),6)&lt;=0,ROUND(IF($E653="",$C653,MIN($C653,$E653))-(H653),6)&lt;0),"BREACHED","OK"),"INCOMPLETE")),"INVALID"))))</f>
        <v/>
      </c>
      <c r="J653" s="33">
        <f>IF(OR(I653="OK",I653="BREACHED"),-INT(ROUND(-(H653)*100,6))/100,I653)</f>
        <v/>
      </c>
    </row>
    <row r="654" ht="18" customHeight="1">
      <c r="A654" s="9" t="n"/>
      <c r="B654" s="32" t="n"/>
      <c r="C654" s="12" t="n"/>
      <c r="D654" s="12" t="n"/>
      <c r="E654" s="12" t="n"/>
      <c r="F654" s="15">
        <f>IFERROR(MATCH($A654,Accounts!$A$2:$A$11,0),"")</f>
        <v/>
      </c>
      <c r="G654" s="14">
        <f>IFERROR(IF(OR($A654="",$F654=""),"",IF(INDEX(Accounts!$P$2:$P$11,$F654)="static",INDEX(Accounts!$Q$2:$Q$11,$F654),IF(INDEX(Accounts!$P$2:$P$11,$F654)="eod_trailing",MAX(INDEX(Accounts!$Q$2:$Q$11,$F654),_xlfn.MAXIFS($C$2:$C$1001,$A$2:$A$1001,$A654,$B$2:$B$1001,"&lt;"&amp;$B654)),MAX(INDEX(Accounts!$Q$2:$Q$11,$F654),_xlfn.MAXIFS($C$2:$C$1001,$A$2:$A$1001,$A654,$B$2:$B$1001,"&lt;"&amp;$B654),_xlfn.MAXIFS($D$2:$D$1001,$A$2:$A$1001,$A654,$B$2:$B$1001,"&lt;="&amp;$B654),$C654)))),"")</f>
        <v/>
      </c>
      <c r="H654" s="15">
        <f>IFERROR(IF(G654="","",IF(INDEX(Accounts!$P$2:$P$11,$F654)="static",INDEX(Accounts!$Q$2:$Q$11,$F654)-INDEX(Accounts!$R$2:$R$11,$F654),IF(INDEX(Accounts!$S$2:$S$11,$F654)="NONE",G654-INDEX(Accounts!$R$2:$R$11,$F654),MIN(G654-INDEX(Accounts!$R$2:$R$11,$F654),INDEX(Accounts!$Q$2:$Q$11,$F654)+INDEX(Accounts!$S$2:$S$11,$F654))))),"")</f>
        <v/>
      </c>
      <c r="I654" s="16">
        <f>IF(AND($A654="",$B654="",$C654="",$D654="",$E654=""),"",IF(OR($A654="",$F654=""),"UNKNOWN_ACCOUNT",IF(OR($B654="",$C654=""),"INCOMPLETE",IFERROR(IF(OR(NOT(ISNUMBER($B654)),NOT(ISNUMBER($C654)),IF(C654="",FALSE,IF(ISNUMBER(C654),OR(C654&lt;=0,C654&gt;100000000,ROUND(C654*100,6)&lt;&gt;INT(ROUND(C654*100,6))),TRUE)),IF(D654="",FALSE,IF(ISNUMBER(D654),OR(D654&lt;=0,D654&gt;100000000,ROUND(D654*100,6)&lt;&gt;INT(ROUND(D654*100,6))),TRUE)),IF(E654="",FALSE,IF(ISNUMBER(E654),OR(E654&lt;=0,E654&gt;100000000,ROUND(E654*100,6)&lt;&gt;INT(ROUND(E654*100,6))),TRUE)),AND($D654&lt;&gt;"",$D654&lt;MAX($C654,$E654)),AND($E654&lt;&gt;"",$E654&gt;MIN($C654,IF($D654="",$C654,$D654))),COUNTIFS($A$2:$A$1001,$A654,$B$2:$B$1001,$B654)&gt;1),"INVALID",IFERROR(IF(IF(INDEX(Accounts!$T$2:$T$11,$F654),ROUND(IF($E654="",$C654,MIN($C654,$E654))-(H654),6)&lt;=0,ROUND(IF($E654="",$C654,MIN($C654,$E654))-(H654),6)&lt;0),"BREACHED","OK"),"INCOMPLETE")),"INVALID"))))</f>
        <v/>
      </c>
      <c r="J654" s="33">
        <f>IF(OR(I654="OK",I654="BREACHED"),-INT(ROUND(-(H654)*100,6))/100,I654)</f>
        <v/>
      </c>
    </row>
    <row r="655" ht="18" customHeight="1">
      <c r="A655" s="9" t="n"/>
      <c r="B655" s="32" t="n"/>
      <c r="C655" s="12" t="n"/>
      <c r="D655" s="12" t="n"/>
      <c r="E655" s="12" t="n"/>
      <c r="F655" s="15">
        <f>IFERROR(MATCH($A655,Accounts!$A$2:$A$11,0),"")</f>
        <v/>
      </c>
      <c r="G655" s="14">
        <f>IFERROR(IF(OR($A655="",$F655=""),"",IF(INDEX(Accounts!$P$2:$P$11,$F655)="static",INDEX(Accounts!$Q$2:$Q$11,$F655),IF(INDEX(Accounts!$P$2:$P$11,$F655)="eod_trailing",MAX(INDEX(Accounts!$Q$2:$Q$11,$F655),_xlfn.MAXIFS($C$2:$C$1001,$A$2:$A$1001,$A655,$B$2:$B$1001,"&lt;"&amp;$B655)),MAX(INDEX(Accounts!$Q$2:$Q$11,$F655),_xlfn.MAXIFS($C$2:$C$1001,$A$2:$A$1001,$A655,$B$2:$B$1001,"&lt;"&amp;$B655),_xlfn.MAXIFS($D$2:$D$1001,$A$2:$A$1001,$A655,$B$2:$B$1001,"&lt;="&amp;$B655),$C655)))),"")</f>
        <v/>
      </c>
      <c r="H655" s="15">
        <f>IFERROR(IF(G655="","",IF(INDEX(Accounts!$P$2:$P$11,$F655)="static",INDEX(Accounts!$Q$2:$Q$11,$F655)-INDEX(Accounts!$R$2:$R$11,$F655),IF(INDEX(Accounts!$S$2:$S$11,$F655)="NONE",G655-INDEX(Accounts!$R$2:$R$11,$F655),MIN(G655-INDEX(Accounts!$R$2:$R$11,$F655),INDEX(Accounts!$Q$2:$Q$11,$F655)+INDEX(Accounts!$S$2:$S$11,$F655))))),"")</f>
        <v/>
      </c>
      <c r="I655" s="16">
        <f>IF(AND($A655="",$B655="",$C655="",$D655="",$E655=""),"",IF(OR($A655="",$F655=""),"UNKNOWN_ACCOUNT",IF(OR($B655="",$C655=""),"INCOMPLETE",IFERROR(IF(OR(NOT(ISNUMBER($B655)),NOT(ISNUMBER($C655)),IF(C655="",FALSE,IF(ISNUMBER(C655),OR(C655&lt;=0,C655&gt;100000000,ROUND(C655*100,6)&lt;&gt;INT(ROUND(C655*100,6))),TRUE)),IF(D655="",FALSE,IF(ISNUMBER(D655),OR(D655&lt;=0,D655&gt;100000000,ROUND(D655*100,6)&lt;&gt;INT(ROUND(D655*100,6))),TRUE)),IF(E655="",FALSE,IF(ISNUMBER(E655),OR(E655&lt;=0,E655&gt;100000000,ROUND(E655*100,6)&lt;&gt;INT(ROUND(E655*100,6))),TRUE)),AND($D655&lt;&gt;"",$D655&lt;MAX($C655,$E655)),AND($E655&lt;&gt;"",$E655&gt;MIN($C655,IF($D655="",$C655,$D655))),COUNTIFS($A$2:$A$1001,$A655,$B$2:$B$1001,$B655)&gt;1),"INVALID",IFERROR(IF(IF(INDEX(Accounts!$T$2:$T$11,$F655),ROUND(IF($E655="",$C655,MIN($C655,$E655))-(H655),6)&lt;=0,ROUND(IF($E655="",$C655,MIN($C655,$E655))-(H655),6)&lt;0),"BREACHED","OK"),"INCOMPLETE")),"INVALID"))))</f>
        <v/>
      </c>
      <c r="J655" s="33">
        <f>IF(OR(I655="OK",I655="BREACHED"),-INT(ROUND(-(H655)*100,6))/100,I655)</f>
        <v/>
      </c>
    </row>
    <row r="656" ht="18" customHeight="1">
      <c r="A656" s="9" t="n"/>
      <c r="B656" s="32" t="n"/>
      <c r="C656" s="12" t="n"/>
      <c r="D656" s="12" t="n"/>
      <c r="E656" s="12" t="n"/>
      <c r="F656" s="15">
        <f>IFERROR(MATCH($A656,Accounts!$A$2:$A$11,0),"")</f>
        <v/>
      </c>
      <c r="G656" s="14">
        <f>IFERROR(IF(OR($A656="",$F656=""),"",IF(INDEX(Accounts!$P$2:$P$11,$F656)="static",INDEX(Accounts!$Q$2:$Q$11,$F656),IF(INDEX(Accounts!$P$2:$P$11,$F656)="eod_trailing",MAX(INDEX(Accounts!$Q$2:$Q$11,$F656),_xlfn.MAXIFS($C$2:$C$1001,$A$2:$A$1001,$A656,$B$2:$B$1001,"&lt;"&amp;$B656)),MAX(INDEX(Accounts!$Q$2:$Q$11,$F656),_xlfn.MAXIFS($C$2:$C$1001,$A$2:$A$1001,$A656,$B$2:$B$1001,"&lt;"&amp;$B656),_xlfn.MAXIFS($D$2:$D$1001,$A$2:$A$1001,$A656,$B$2:$B$1001,"&lt;="&amp;$B656),$C656)))),"")</f>
        <v/>
      </c>
      <c r="H656" s="15">
        <f>IFERROR(IF(G656="","",IF(INDEX(Accounts!$P$2:$P$11,$F656)="static",INDEX(Accounts!$Q$2:$Q$11,$F656)-INDEX(Accounts!$R$2:$R$11,$F656),IF(INDEX(Accounts!$S$2:$S$11,$F656)="NONE",G656-INDEX(Accounts!$R$2:$R$11,$F656),MIN(G656-INDEX(Accounts!$R$2:$R$11,$F656),INDEX(Accounts!$Q$2:$Q$11,$F656)+INDEX(Accounts!$S$2:$S$11,$F656))))),"")</f>
        <v/>
      </c>
      <c r="I656" s="16">
        <f>IF(AND($A656="",$B656="",$C656="",$D656="",$E656=""),"",IF(OR($A656="",$F656=""),"UNKNOWN_ACCOUNT",IF(OR($B656="",$C656=""),"INCOMPLETE",IFERROR(IF(OR(NOT(ISNUMBER($B656)),NOT(ISNUMBER($C656)),IF(C656="",FALSE,IF(ISNUMBER(C656),OR(C656&lt;=0,C656&gt;100000000,ROUND(C656*100,6)&lt;&gt;INT(ROUND(C656*100,6))),TRUE)),IF(D656="",FALSE,IF(ISNUMBER(D656),OR(D656&lt;=0,D656&gt;100000000,ROUND(D656*100,6)&lt;&gt;INT(ROUND(D656*100,6))),TRUE)),IF(E656="",FALSE,IF(ISNUMBER(E656),OR(E656&lt;=0,E656&gt;100000000,ROUND(E656*100,6)&lt;&gt;INT(ROUND(E656*100,6))),TRUE)),AND($D656&lt;&gt;"",$D656&lt;MAX($C656,$E656)),AND($E656&lt;&gt;"",$E656&gt;MIN($C656,IF($D656="",$C656,$D656))),COUNTIFS($A$2:$A$1001,$A656,$B$2:$B$1001,$B656)&gt;1),"INVALID",IFERROR(IF(IF(INDEX(Accounts!$T$2:$T$11,$F656),ROUND(IF($E656="",$C656,MIN($C656,$E656))-(H656),6)&lt;=0,ROUND(IF($E656="",$C656,MIN($C656,$E656))-(H656),6)&lt;0),"BREACHED","OK"),"INCOMPLETE")),"INVALID"))))</f>
        <v/>
      </c>
      <c r="J656" s="33">
        <f>IF(OR(I656="OK",I656="BREACHED"),-INT(ROUND(-(H656)*100,6))/100,I656)</f>
        <v/>
      </c>
    </row>
    <row r="657" ht="18" customHeight="1">
      <c r="A657" s="9" t="n"/>
      <c r="B657" s="32" t="n"/>
      <c r="C657" s="12" t="n"/>
      <c r="D657" s="12" t="n"/>
      <c r="E657" s="12" t="n"/>
      <c r="F657" s="15">
        <f>IFERROR(MATCH($A657,Accounts!$A$2:$A$11,0),"")</f>
        <v/>
      </c>
      <c r="G657" s="14">
        <f>IFERROR(IF(OR($A657="",$F657=""),"",IF(INDEX(Accounts!$P$2:$P$11,$F657)="static",INDEX(Accounts!$Q$2:$Q$11,$F657),IF(INDEX(Accounts!$P$2:$P$11,$F657)="eod_trailing",MAX(INDEX(Accounts!$Q$2:$Q$11,$F657),_xlfn.MAXIFS($C$2:$C$1001,$A$2:$A$1001,$A657,$B$2:$B$1001,"&lt;"&amp;$B657)),MAX(INDEX(Accounts!$Q$2:$Q$11,$F657),_xlfn.MAXIFS($C$2:$C$1001,$A$2:$A$1001,$A657,$B$2:$B$1001,"&lt;"&amp;$B657),_xlfn.MAXIFS($D$2:$D$1001,$A$2:$A$1001,$A657,$B$2:$B$1001,"&lt;="&amp;$B657),$C657)))),"")</f>
        <v/>
      </c>
      <c r="H657" s="15">
        <f>IFERROR(IF(G657="","",IF(INDEX(Accounts!$P$2:$P$11,$F657)="static",INDEX(Accounts!$Q$2:$Q$11,$F657)-INDEX(Accounts!$R$2:$R$11,$F657),IF(INDEX(Accounts!$S$2:$S$11,$F657)="NONE",G657-INDEX(Accounts!$R$2:$R$11,$F657),MIN(G657-INDEX(Accounts!$R$2:$R$11,$F657),INDEX(Accounts!$Q$2:$Q$11,$F657)+INDEX(Accounts!$S$2:$S$11,$F657))))),"")</f>
        <v/>
      </c>
      <c r="I657" s="16">
        <f>IF(AND($A657="",$B657="",$C657="",$D657="",$E657=""),"",IF(OR($A657="",$F657=""),"UNKNOWN_ACCOUNT",IF(OR($B657="",$C657=""),"INCOMPLETE",IFERROR(IF(OR(NOT(ISNUMBER($B657)),NOT(ISNUMBER($C657)),IF(C657="",FALSE,IF(ISNUMBER(C657),OR(C657&lt;=0,C657&gt;100000000,ROUND(C657*100,6)&lt;&gt;INT(ROUND(C657*100,6))),TRUE)),IF(D657="",FALSE,IF(ISNUMBER(D657),OR(D657&lt;=0,D657&gt;100000000,ROUND(D657*100,6)&lt;&gt;INT(ROUND(D657*100,6))),TRUE)),IF(E657="",FALSE,IF(ISNUMBER(E657),OR(E657&lt;=0,E657&gt;100000000,ROUND(E657*100,6)&lt;&gt;INT(ROUND(E657*100,6))),TRUE)),AND($D657&lt;&gt;"",$D657&lt;MAX($C657,$E657)),AND($E657&lt;&gt;"",$E657&gt;MIN($C657,IF($D657="",$C657,$D657))),COUNTIFS($A$2:$A$1001,$A657,$B$2:$B$1001,$B657)&gt;1),"INVALID",IFERROR(IF(IF(INDEX(Accounts!$T$2:$T$11,$F657),ROUND(IF($E657="",$C657,MIN($C657,$E657))-(H657),6)&lt;=0,ROUND(IF($E657="",$C657,MIN($C657,$E657))-(H657),6)&lt;0),"BREACHED","OK"),"INCOMPLETE")),"INVALID"))))</f>
        <v/>
      </c>
      <c r="J657" s="33">
        <f>IF(OR(I657="OK",I657="BREACHED"),-INT(ROUND(-(H657)*100,6))/100,I657)</f>
        <v/>
      </c>
    </row>
    <row r="658" ht="18" customHeight="1">
      <c r="A658" s="9" t="n"/>
      <c r="B658" s="32" t="n"/>
      <c r="C658" s="12" t="n"/>
      <c r="D658" s="12" t="n"/>
      <c r="E658" s="12" t="n"/>
      <c r="F658" s="15">
        <f>IFERROR(MATCH($A658,Accounts!$A$2:$A$11,0),"")</f>
        <v/>
      </c>
      <c r="G658" s="14">
        <f>IFERROR(IF(OR($A658="",$F658=""),"",IF(INDEX(Accounts!$P$2:$P$11,$F658)="static",INDEX(Accounts!$Q$2:$Q$11,$F658),IF(INDEX(Accounts!$P$2:$P$11,$F658)="eod_trailing",MAX(INDEX(Accounts!$Q$2:$Q$11,$F658),_xlfn.MAXIFS($C$2:$C$1001,$A$2:$A$1001,$A658,$B$2:$B$1001,"&lt;"&amp;$B658)),MAX(INDEX(Accounts!$Q$2:$Q$11,$F658),_xlfn.MAXIFS($C$2:$C$1001,$A$2:$A$1001,$A658,$B$2:$B$1001,"&lt;"&amp;$B658),_xlfn.MAXIFS($D$2:$D$1001,$A$2:$A$1001,$A658,$B$2:$B$1001,"&lt;="&amp;$B658),$C658)))),"")</f>
        <v/>
      </c>
      <c r="H658" s="15">
        <f>IFERROR(IF(G658="","",IF(INDEX(Accounts!$P$2:$P$11,$F658)="static",INDEX(Accounts!$Q$2:$Q$11,$F658)-INDEX(Accounts!$R$2:$R$11,$F658),IF(INDEX(Accounts!$S$2:$S$11,$F658)="NONE",G658-INDEX(Accounts!$R$2:$R$11,$F658),MIN(G658-INDEX(Accounts!$R$2:$R$11,$F658),INDEX(Accounts!$Q$2:$Q$11,$F658)+INDEX(Accounts!$S$2:$S$11,$F658))))),"")</f>
        <v/>
      </c>
      <c r="I658" s="16">
        <f>IF(AND($A658="",$B658="",$C658="",$D658="",$E658=""),"",IF(OR($A658="",$F658=""),"UNKNOWN_ACCOUNT",IF(OR($B658="",$C658=""),"INCOMPLETE",IFERROR(IF(OR(NOT(ISNUMBER($B658)),NOT(ISNUMBER($C658)),IF(C658="",FALSE,IF(ISNUMBER(C658),OR(C658&lt;=0,C658&gt;100000000,ROUND(C658*100,6)&lt;&gt;INT(ROUND(C658*100,6))),TRUE)),IF(D658="",FALSE,IF(ISNUMBER(D658),OR(D658&lt;=0,D658&gt;100000000,ROUND(D658*100,6)&lt;&gt;INT(ROUND(D658*100,6))),TRUE)),IF(E658="",FALSE,IF(ISNUMBER(E658),OR(E658&lt;=0,E658&gt;100000000,ROUND(E658*100,6)&lt;&gt;INT(ROUND(E658*100,6))),TRUE)),AND($D658&lt;&gt;"",$D658&lt;MAX($C658,$E658)),AND($E658&lt;&gt;"",$E658&gt;MIN($C658,IF($D658="",$C658,$D658))),COUNTIFS($A$2:$A$1001,$A658,$B$2:$B$1001,$B658)&gt;1),"INVALID",IFERROR(IF(IF(INDEX(Accounts!$T$2:$T$11,$F658),ROUND(IF($E658="",$C658,MIN($C658,$E658))-(H658),6)&lt;=0,ROUND(IF($E658="",$C658,MIN($C658,$E658))-(H658),6)&lt;0),"BREACHED","OK"),"INCOMPLETE")),"INVALID"))))</f>
        <v/>
      </c>
      <c r="J658" s="33">
        <f>IF(OR(I658="OK",I658="BREACHED"),-INT(ROUND(-(H658)*100,6))/100,I658)</f>
        <v/>
      </c>
    </row>
    <row r="659" ht="18" customHeight="1">
      <c r="A659" s="9" t="n"/>
      <c r="B659" s="32" t="n"/>
      <c r="C659" s="12" t="n"/>
      <c r="D659" s="12" t="n"/>
      <c r="E659" s="12" t="n"/>
      <c r="F659" s="15">
        <f>IFERROR(MATCH($A659,Accounts!$A$2:$A$11,0),"")</f>
        <v/>
      </c>
      <c r="G659" s="14">
        <f>IFERROR(IF(OR($A659="",$F659=""),"",IF(INDEX(Accounts!$P$2:$P$11,$F659)="static",INDEX(Accounts!$Q$2:$Q$11,$F659),IF(INDEX(Accounts!$P$2:$P$11,$F659)="eod_trailing",MAX(INDEX(Accounts!$Q$2:$Q$11,$F659),_xlfn.MAXIFS($C$2:$C$1001,$A$2:$A$1001,$A659,$B$2:$B$1001,"&lt;"&amp;$B659)),MAX(INDEX(Accounts!$Q$2:$Q$11,$F659),_xlfn.MAXIFS($C$2:$C$1001,$A$2:$A$1001,$A659,$B$2:$B$1001,"&lt;"&amp;$B659),_xlfn.MAXIFS($D$2:$D$1001,$A$2:$A$1001,$A659,$B$2:$B$1001,"&lt;="&amp;$B659),$C659)))),"")</f>
        <v/>
      </c>
      <c r="H659" s="15">
        <f>IFERROR(IF(G659="","",IF(INDEX(Accounts!$P$2:$P$11,$F659)="static",INDEX(Accounts!$Q$2:$Q$11,$F659)-INDEX(Accounts!$R$2:$R$11,$F659),IF(INDEX(Accounts!$S$2:$S$11,$F659)="NONE",G659-INDEX(Accounts!$R$2:$R$11,$F659),MIN(G659-INDEX(Accounts!$R$2:$R$11,$F659),INDEX(Accounts!$Q$2:$Q$11,$F659)+INDEX(Accounts!$S$2:$S$11,$F659))))),"")</f>
        <v/>
      </c>
      <c r="I659" s="16">
        <f>IF(AND($A659="",$B659="",$C659="",$D659="",$E659=""),"",IF(OR($A659="",$F659=""),"UNKNOWN_ACCOUNT",IF(OR($B659="",$C659=""),"INCOMPLETE",IFERROR(IF(OR(NOT(ISNUMBER($B659)),NOT(ISNUMBER($C659)),IF(C659="",FALSE,IF(ISNUMBER(C659),OR(C659&lt;=0,C659&gt;100000000,ROUND(C659*100,6)&lt;&gt;INT(ROUND(C659*100,6))),TRUE)),IF(D659="",FALSE,IF(ISNUMBER(D659),OR(D659&lt;=0,D659&gt;100000000,ROUND(D659*100,6)&lt;&gt;INT(ROUND(D659*100,6))),TRUE)),IF(E659="",FALSE,IF(ISNUMBER(E659),OR(E659&lt;=0,E659&gt;100000000,ROUND(E659*100,6)&lt;&gt;INT(ROUND(E659*100,6))),TRUE)),AND($D659&lt;&gt;"",$D659&lt;MAX($C659,$E659)),AND($E659&lt;&gt;"",$E659&gt;MIN($C659,IF($D659="",$C659,$D659))),COUNTIFS($A$2:$A$1001,$A659,$B$2:$B$1001,$B659)&gt;1),"INVALID",IFERROR(IF(IF(INDEX(Accounts!$T$2:$T$11,$F659),ROUND(IF($E659="",$C659,MIN($C659,$E659))-(H659),6)&lt;=0,ROUND(IF($E659="",$C659,MIN($C659,$E659))-(H659),6)&lt;0),"BREACHED","OK"),"INCOMPLETE")),"INVALID"))))</f>
        <v/>
      </c>
      <c r="J659" s="33">
        <f>IF(OR(I659="OK",I659="BREACHED"),-INT(ROUND(-(H659)*100,6))/100,I659)</f>
        <v/>
      </c>
    </row>
    <row r="660" ht="18" customHeight="1">
      <c r="A660" s="9" t="n"/>
      <c r="B660" s="32" t="n"/>
      <c r="C660" s="12" t="n"/>
      <c r="D660" s="12" t="n"/>
      <c r="E660" s="12" t="n"/>
      <c r="F660" s="15">
        <f>IFERROR(MATCH($A660,Accounts!$A$2:$A$11,0),"")</f>
        <v/>
      </c>
      <c r="G660" s="14">
        <f>IFERROR(IF(OR($A660="",$F660=""),"",IF(INDEX(Accounts!$P$2:$P$11,$F660)="static",INDEX(Accounts!$Q$2:$Q$11,$F660),IF(INDEX(Accounts!$P$2:$P$11,$F660)="eod_trailing",MAX(INDEX(Accounts!$Q$2:$Q$11,$F660),_xlfn.MAXIFS($C$2:$C$1001,$A$2:$A$1001,$A660,$B$2:$B$1001,"&lt;"&amp;$B660)),MAX(INDEX(Accounts!$Q$2:$Q$11,$F660),_xlfn.MAXIFS($C$2:$C$1001,$A$2:$A$1001,$A660,$B$2:$B$1001,"&lt;"&amp;$B660),_xlfn.MAXIFS($D$2:$D$1001,$A$2:$A$1001,$A660,$B$2:$B$1001,"&lt;="&amp;$B660),$C660)))),"")</f>
        <v/>
      </c>
      <c r="H660" s="15">
        <f>IFERROR(IF(G660="","",IF(INDEX(Accounts!$P$2:$P$11,$F660)="static",INDEX(Accounts!$Q$2:$Q$11,$F660)-INDEX(Accounts!$R$2:$R$11,$F660),IF(INDEX(Accounts!$S$2:$S$11,$F660)="NONE",G660-INDEX(Accounts!$R$2:$R$11,$F660),MIN(G660-INDEX(Accounts!$R$2:$R$11,$F660),INDEX(Accounts!$Q$2:$Q$11,$F660)+INDEX(Accounts!$S$2:$S$11,$F660))))),"")</f>
        <v/>
      </c>
      <c r="I660" s="16">
        <f>IF(AND($A660="",$B660="",$C660="",$D660="",$E660=""),"",IF(OR($A660="",$F660=""),"UNKNOWN_ACCOUNT",IF(OR($B660="",$C660=""),"INCOMPLETE",IFERROR(IF(OR(NOT(ISNUMBER($B660)),NOT(ISNUMBER($C660)),IF(C660="",FALSE,IF(ISNUMBER(C660),OR(C660&lt;=0,C660&gt;100000000,ROUND(C660*100,6)&lt;&gt;INT(ROUND(C660*100,6))),TRUE)),IF(D660="",FALSE,IF(ISNUMBER(D660),OR(D660&lt;=0,D660&gt;100000000,ROUND(D660*100,6)&lt;&gt;INT(ROUND(D660*100,6))),TRUE)),IF(E660="",FALSE,IF(ISNUMBER(E660),OR(E660&lt;=0,E660&gt;100000000,ROUND(E660*100,6)&lt;&gt;INT(ROUND(E660*100,6))),TRUE)),AND($D660&lt;&gt;"",$D660&lt;MAX($C660,$E660)),AND($E660&lt;&gt;"",$E660&gt;MIN($C660,IF($D660="",$C660,$D660))),COUNTIFS($A$2:$A$1001,$A660,$B$2:$B$1001,$B660)&gt;1),"INVALID",IFERROR(IF(IF(INDEX(Accounts!$T$2:$T$11,$F660),ROUND(IF($E660="",$C660,MIN($C660,$E660))-(H660),6)&lt;=0,ROUND(IF($E660="",$C660,MIN($C660,$E660))-(H660),6)&lt;0),"BREACHED","OK"),"INCOMPLETE")),"INVALID"))))</f>
        <v/>
      </c>
      <c r="J660" s="33">
        <f>IF(OR(I660="OK",I660="BREACHED"),-INT(ROUND(-(H660)*100,6))/100,I660)</f>
        <v/>
      </c>
    </row>
    <row r="661" ht="18" customHeight="1">
      <c r="A661" s="9" t="n"/>
      <c r="B661" s="32" t="n"/>
      <c r="C661" s="12" t="n"/>
      <c r="D661" s="12" t="n"/>
      <c r="E661" s="12" t="n"/>
      <c r="F661" s="15">
        <f>IFERROR(MATCH($A661,Accounts!$A$2:$A$11,0),"")</f>
        <v/>
      </c>
      <c r="G661" s="14">
        <f>IFERROR(IF(OR($A661="",$F661=""),"",IF(INDEX(Accounts!$P$2:$P$11,$F661)="static",INDEX(Accounts!$Q$2:$Q$11,$F661),IF(INDEX(Accounts!$P$2:$P$11,$F661)="eod_trailing",MAX(INDEX(Accounts!$Q$2:$Q$11,$F661),_xlfn.MAXIFS($C$2:$C$1001,$A$2:$A$1001,$A661,$B$2:$B$1001,"&lt;"&amp;$B661)),MAX(INDEX(Accounts!$Q$2:$Q$11,$F661),_xlfn.MAXIFS($C$2:$C$1001,$A$2:$A$1001,$A661,$B$2:$B$1001,"&lt;"&amp;$B661),_xlfn.MAXIFS($D$2:$D$1001,$A$2:$A$1001,$A661,$B$2:$B$1001,"&lt;="&amp;$B661),$C661)))),"")</f>
        <v/>
      </c>
      <c r="H661" s="15">
        <f>IFERROR(IF(G661="","",IF(INDEX(Accounts!$P$2:$P$11,$F661)="static",INDEX(Accounts!$Q$2:$Q$11,$F661)-INDEX(Accounts!$R$2:$R$11,$F661),IF(INDEX(Accounts!$S$2:$S$11,$F661)="NONE",G661-INDEX(Accounts!$R$2:$R$11,$F661),MIN(G661-INDEX(Accounts!$R$2:$R$11,$F661),INDEX(Accounts!$Q$2:$Q$11,$F661)+INDEX(Accounts!$S$2:$S$11,$F661))))),"")</f>
        <v/>
      </c>
      <c r="I661" s="16">
        <f>IF(AND($A661="",$B661="",$C661="",$D661="",$E661=""),"",IF(OR($A661="",$F661=""),"UNKNOWN_ACCOUNT",IF(OR($B661="",$C661=""),"INCOMPLETE",IFERROR(IF(OR(NOT(ISNUMBER($B661)),NOT(ISNUMBER($C661)),IF(C661="",FALSE,IF(ISNUMBER(C661),OR(C661&lt;=0,C661&gt;100000000,ROUND(C661*100,6)&lt;&gt;INT(ROUND(C661*100,6))),TRUE)),IF(D661="",FALSE,IF(ISNUMBER(D661),OR(D661&lt;=0,D661&gt;100000000,ROUND(D661*100,6)&lt;&gt;INT(ROUND(D661*100,6))),TRUE)),IF(E661="",FALSE,IF(ISNUMBER(E661),OR(E661&lt;=0,E661&gt;100000000,ROUND(E661*100,6)&lt;&gt;INT(ROUND(E661*100,6))),TRUE)),AND($D661&lt;&gt;"",$D661&lt;MAX($C661,$E661)),AND($E661&lt;&gt;"",$E661&gt;MIN($C661,IF($D661="",$C661,$D661))),COUNTIFS($A$2:$A$1001,$A661,$B$2:$B$1001,$B661)&gt;1),"INVALID",IFERROR(IF(IF(INDEX(Accounts!$T$2:$T$11,$F661),ROUND(IF($E661="",$C661,MIN($C661,$E661))-(H661),6)&lt;=0,ROUND(IF($E661="",$C661,MIN($C661,$E661))-(H661),6)&lt;0),"BREACHED","OK"),"INCOMPLETE")),"INVALID"))))</f>
        <v/>
      </c>
      <c r="J661" s="33">
        <f>IF(OR(I661="OK",I661="BREACHED"),-INT(ROUND(-(H661)*100,6))/100,I661)</f>
        <v/>
      </c>
    </row>
    <row r="662" ht="18" customHeight="1">
      <c r="A662" s="9" t="n"/>
      <c r="B662" s="32" t="n"/>
      <c r="C662" s="12" t="n"/>
      <c r="D662" s="12" t="n"/>
      <c r="E662" s="12" t="n"/>
      <c r="F662" s="15">
        <f>IFERROR(MATCH($A662,Accounts!$A$2:$A$11,0),"")</f>
        <v/>
      </c>
      <c r="G662" s="14">
        <f>IFERROR(IF(OR($A662="",$F662=""),"",IF(INDEX(Accounts!$P$2:$P$11,$F662)="static",INDEX(Accounts!$Q$2:$Q$11,$F662),IF(INDEX(Accounts!$P$2:$P$11,$F662)="eod_trailing",MAX(INDEX(Accounts!$Q$2:$Q$11,$F662),_xlfn.MAXIFS($C$2:$C$1001,$A$2:$A$1001,$A662,$B$2:$B$1001,"&lt;"&amp;$B662)),MAX(INDEX(Accounts!$Q$2:$Q$11,$F662),_xlfn.MAXIFS($C$2:$C$1001,$A$2:$A$1001,$A662,$B$2:$B$1001,"&lt;"&amp;$B662),_xlfn.MAXIFS($D$2:$D$1001,$A$2:$A$1001,$A662,$B$2:$B$1001,"&lt;="&amp;$B662),$C662)))),"")</f>
        <v/>
      </c>
      <c r="H662" s="15">
        <f>IFERROR(IF(G662="","",IF(INDEX(Accounts!$P$2:$P$11,$F662)="static",INDEX(Accounts!$Q$2:$Q$11,$F662)-INDEX(Accounts!$R$2:$R$11,$F662),IF(INDEX(Accounts!$S$2:$S$11,$F662)="NONE",G662-INDEX(Accounts!$R$2:$R$11,$F662),MIN(G662-INDEX(Accounts!$R$2:$R$11,$F662),INDEX(Accounts!$Q$2:$Q$11,$F662)+INDEX(Accounts!$S$2:$S$11,$F662))))),"")</f>
        <v/>
      </c>
      <c r="I662" s="16">
        <f>IF(AND($A662="",$B662="",$C662="",$D662="",$E662=""),"",IF(OR($A662="",$F662=""),"UNKNOWN_ACCOUNT",IF(OR($B662="",$C662=""),"INCOMPLETE",IFERROR(IF(OR(NOT(ISNUMBER($B662)),NOT(ISNUMBER($C662)),IF(C662="",FALSE,IF(ISNUMBER(C662),OR(C662&lt;=0,C662&gt;100000000,ROUND(C662*100,6)&lt;&gt;INT(ROUND(C662*100,6))),TRUE)),IF(D662="",FALSE,IF(ISNUMBER(D662),OR(D662&lt;=0,D662&gt;100000000,ROUND(D662*100,6)&lt;&gt;INT(ROUND(D662*100,6))),TRUE)),IF(E662="",FALSE,IF(ISNUMBER(E662),OR(E662&lt;=0,E662&gt;100000000,ROUND(E662*100,6)&lt;&gt;INT(ROUND(E662*100,6))),TRUE)),AND($D662&lt;&gt;"",$D662&lt;MAX($C662,$E662)),AND($E662&lt;&gt;"",$E662&gt;MIN($C662,IF($D662="",$C662,$D662))),COUNTIFS($A$2:$A$1001,$A662,$B$2:$B$1001,$B662)&gt;1),"INVALID",IFERROR(IF(IF(INDEX(Accounts!$T$2:$T$11,$F662),ROUND(IF($E662="",$C662,MIN($C662,$E662))-(H662),6)&lt;=0,ROUND(IF($E662="",$C662,MIN($C662,$E662))-(H662),6)&lt;0),"BREACHED","OK"),"INCOMPLETE")),"INVALID"))))</f>
        <v/>
      </c>
      <c r="J662" s="33">
        <f>IF(OR(I662="OK",I662="BREACHED"),-INT(ROUND(-(H662)*100,6))/100,I662)</f>
        <v/>
      </c>
    </row>
    <row r="663" ht="18" customHeight="1">
      <c r="A663" s="9" t="n"/>
      <c r="B663" s="32" t="n"/>
      <c r="C663" s="12" t="n"/>
      <c r="D663" s="12" t="n"/>
      <c r="E663" s="12" t="n"/>
      <c r="F663" s="15">
        <f>IFERROR(MATCH($A663,Accounts!$A$2:$A$11,0),"")</f>
        <v/>
      </c>
      <c r="G663" s="14">
        <f>IFERROR(IF(OR($A663="",$F663=""),"",IF(INDEX(Accounts!$P$2:$P$11,$F663)="static",INDEX(Accounts!$Q$2:$Q$11,$F663),IF(INDEX(Accounts!$P$2:$P$11,$F663)="eod_trailing",MAX(INDEX(Accounts!$Q$2:$Q$11,$F663),_xlfn.MAXIFS($C$2:$C$1001,$A$2:$A$1001,$A663,$B$2:$B$1001,"&lt;"&amp;$B663)),MAX(INDEX(Accounts!$Q$2:$Q$11,$F663),_xlfn.MAXIFS($C$2:$C$1001,$A$2:$A$1001,$A663,$B$2:$B$1001,"&lt;"&amp;$B663),_xlfn.MAXIFS($D$2:$D$1001,$A$2:$A$1001,$A663,$B$2:$B$1001,"&lt;="&amp;$B663),$C663)))),"")</f>
        <v/>
      </c>
      <c r="H663" s="15">
        <f>IFERROR(IF(G663="","",IF(INDEX(Accounts!$P$2:$P$11,$F663)="static",INDEX(Accounts!$Q$2:$Q$11,$F663)-INDEX(Accounts!$R$2:$R$11,$F663),IF(INDEX(Accounts!$S$2:$S$11,$F663)="NONE",G663-INDEX(Accounts!$R$2:$R$11,$F663),MIN(G663-INDEX(Accounts!$R$2:$R$11,$F663),INDEX(Accounts!$Q$2:$Q$11,$F663)+INDEX(Accounts!$S$2:$S$11,$F663))))),"")</f>
        <v/>
      </c>
      <c r="I663" s="16">
        <f>IF(AND($A663="",$B663="",$C663="",$D663="",$E663=""),"",IF(OR($A663="",$F663=""),"UNKNOWN_ACCOUNT",IF(OR($B663="",$C663=""),"INCOMPLETE",IFERROR(IF(OR(NOT(ISNUMBER($B663)),NOT(ISNUMBER($C663)),IF(C663="",FALSE,IF(ISNUMBER(C663),OR(C663&lt;=0,C663&gt;100000000,ROUND(C663*100,6)&lt;&gt;INT(ROUND(C663*100,6))),TRUE)),IF(D663="",FALSE,IF(ISNUMBER(D663),OR(D663&lt;=0,D663&gt;100000000,ROUND(D663*100,6)&lt;&gt;INT(ROUND(D663*100,6))),TRUE)),IF(E663="",FALSE,IF(ISNUMBER(E663),OR(E663&lt;=0,E663&gt;100000000,ROUND(E663*100,6)&lt;&gt;INT(ROUND(E663*100,6))),TRUE)),AND($D663&lt;&gt;"",$D663&lt;MAX($C663,$E663)),AND($E663&lt;&gt;"",$E663&gt;MIN($C663,IF($D663="",$C663,$D663))),COUNTIFS($A$2:$A$1001,$A663,$B$2:$B$1001,$B663)&gt;1),"INVALID",IFERROR(IF(IF(INDEX(Accounts!$T$2:$T$11,$F663),ROUND(IF($E663="",$C663,MIN($C663,$E663))-(H663),6)&lt;=0,ROUND(IF($E663="",$C663,MIN($C663,$E663))-(H663),6)&lt;0),"BREACHED","OK"),"INCOMPLETE")),"INVALID"))))</f>
        <v/>
      </c>
      <c r="J663" s="33">
        <f>IF(OR(I663="OK",I663="BREACHED"),-INT(ROUND(-(H663)*100,6))/100,I663)</f>
        <v/>
      </c>
    </row>
    <row r="664" ht="18" customHeight="1">
      <c r="A664" s="9" t="n"/>
      <c r="B664" s="32" t="n"/>
      <c r="C664" s="12" t="n"/>
      <c r="D664" s="12" t="n"/>
      <c r="E664" s="12" t="n"/>
      <c r="F664" s="15">
        <f>IFERROR(MATCH($A664,Accounts!$A$2:$A$11,0),"")</f>
        <v/>
      </c>
      <c r="G664" s="14">
        <f>IFERROR(IF(OR($A664="",$F664=""),"",IF(INDEX(Accounts!$P$2:$P$11,$F664)="static",INDEX(Accounts!$Q$2:$Q$11,$F664),IF(INDEX(Accounts!$P$2:$P$11,$F664)="eod_trailing",MAX(INDEX(Accounts!$Q$2:$Q$11,$F664),_xlfn.MAXIFS($C$2:$C$1001,$A$2:$A$1001,$A664,$B$2:$B$1001,"&lt;"&amp;$B664)),MAX(INDEX(Accounts!$Q$2:$Q$11,$F664),_xlfn.MAXIFS($C$2:$C$1001,$A$2:$A$1001,$A664,$B$2:$B$1001,"&lt;"&amp;$B664),_xlfn.MAXIFS($D$2:$D$1001,$A$2:$A$1001,$A664,$B$2:$B$1001,"&lt;="&amp;$B664),$C664)))),"")</f>
        <v/>
      </c>
      <c r="H664" s="15">
        <f>IFERROR(IF(G664="","",IF(INDEX(Accounts!$P$2:$P$11,$F664)="static",INDEX(Accounts!$Q$2:$Q$11,$F664)-INDEX(Accounts!$R$2:$R$11,$F664),IF(INDEX(Accounts!$S$2:$S$11,$F664)="NONE",G664-INDEX(Accounts!$R$2:$R$11,$F664),MIN(G664-INDEX(Accounts!$R$2:$R$11,$F664),INDEX(Accounts!$Q$2:$Q$11,$F664)+INDEX(Accounts!$S$2:$S$11,$F664))))),"")</f>
        <v/>
      </c>
      <c r="I664" s="16">
        <f>IF(AND($A664="",$B664="",$C664="",$D664="",$E664=""),"",IF(OR($A664="",$F664=""),"UNKNOWN_ACCOUNT",IF(OR($B664="",$C664=""),"INCOMPLETE",IFERROR(IF(OR(NOT(ISNUMBER($B664)),NOT(ISNUMBER($C664)),IF(C664="",FALSE,IF(ISNUMBER(C664),OR(C664&lt;=0,C664&gt;100000000,ROUND(C664*100,6)&lt;&gt;INT(ROUND(C664*100,6))),TRUE)),IF(D664="",FALSE,IF(ISNUMBER(D664),OR(D664&lt;=0,D664&gt;100000000,ROUND(D664*100,6)&lt;&gt;INT(ROUND(D664*100,6))),TRUE)),IF(E664="",FALSE,IF(ISNUMBER(E664),OR(E664&lt;=0,E664&gt;100000000,ROUND(E664*100,6)&lt;&gt;INT(ROUND(E664*100,6))),TRUE)),AND($D664&lt;&gt;"",$D664&lt;MAX($C664,$E664)),AND($E664&lt;&gt;"",$E664&gt;MIN($C664,IF($D664="",$C664,$D664))),COUNTIFS($A$2:$A$1001,$A664,$B$2:$B$1001,$B664)&gt;1),"INVALID",IFERROR(IF(IF(INDEX(Accounts!$T$2:$T$11,$F664),ROUND(IF($E664="",$C664,MIN($C664,$E664))-(H664),6)&lt;=0,ROUND(IF($E664="",$C664,MIN($C664,$E664))-(H664),6)&lt;0),"BREACHED","OK"),"INCOMPLETE")),"INVALID"))))</f>
        <v/>
      </c>
      <c r="J664" s="33">
        <f>IF(OR(I664="OK",I664="BREACHED"),-INT(ROUND(-(H664)*100,6))/100,I664)</f>
        <v/>
      </c>
    </row>
    <row r="665" ht="18" customHeight="1">
      <c r="A665" s="9" t="n"/>
      <c r="B665" s="32" t="n"/>
      <c r="C665" s="12" t="n"/>
      <c r="D665" s="12" t="n"/>
      <c r="E665" s="12" t="n"/>
      <c r="F665" s="15">
        <f>IFERROR(MATCH($A665,Accounts!$A$2:$A$11,0),"")</f>
        <v/>
      </c>
      <c r="G665" s="14">
        <f>IFERROR(IF(OR($A665="",$F665=""),"",IF(INDEX(Accounts!$P$2:$P$11,$F665)="static",INDEX(Accounts!$Q$2:$Q$11,$F665),IF(INDEX(Accounts!$P$2:$P$11,$F665)="eod_trailing",MAX(INDEX(Accounts!$Q$2:$Q$11,$F665),_xlfn.MAXIFS($C$2:$C$1001,$A$2:$A$1001,$A665,$B$2:$B$1001,"&lt;"&amp;$B665)),MAX(INDEX(Accounts!$Q$2:$Q$11,$F665),_xlfn.MAXIFS($C$2:$C$1001,$A$2:$A$1001,$A665,$B$2:$B$1001,"&lt;"&amp;$B665),_xlfn.MAXIFS($D$2:$D$1001,$A$2:$A$1001,$A665,$B$2:$B$1001,"&lt;="&amp;$B665),$C665)))),"")</f>
        <v/>
      </c>
      <c r="H665" s="15">
        <f>IFERROR(IF(G665="","",IF(INDEX(Accounts!$P$2:$P$11,$F665)="static",INDEX(Accounts!$Q$2:$Q$11,$F665)-INDEX(Accounts!$R$2:$R$11,$F665),IF(INDEX(Accounts!$S$2:$S$11,$F665)="NONE",G665-INDEX(Accounts!$R$2:$R$11,$F665),MIN(G665-INDEX(Accounts!$R$2:$R$11,$F665),INDEX(Accounts!$Q$2:$Q$11,$F665)+INDEX(Accounts!$S$2:$S$11,$F665))))),"")</f>
        <v/>
      </c>
      <c r="I665" s="16">
        <f>IF(AND($A665="",$B665="",$C665="",$D665="",$E665=""),"",IF(OR($A665="",$F665=""),"UNKNOWN_ACCOUNT",IF(OR($B665="",$C665=""),"INCOMPLETE",IFERROR(IF(OR(NOT(ISNUMBER($B665)),NOT(ISNUMBER($C665)),IF(C665="",FALSE,IF(ISNUMBER(C665),OR(C665&lt;=0,C665&gt;100000000,ROUND(C665*100,6)&lt;&gt;INT(ROUND(C665*100,6))),TRUE)),IF(D665="",FALSE,IF(ISNUMBER(D665),OR(D665&lt;=0,D665&gt;100000000,ROUND(D665*100,6)&lt;&gt;INT(ROUND(D665*100,6))),TRUE)),IF(E665="",FALSE,IF(ISNUMBER(E665),OR(E665&lt;=0,E665&gt;100000000,ROUND(E665*100,6)&lt;&gt;INT(ROUND(E665*100,6))),TRUE)),AND($D665&lt;&gt;"",$D665&lt;MAX($C665,$E665)),AND($E665&lt;&gt;"",$E665&gt;MIN($C665,IF($D665="",$C665,$D665))),COUNTIFS($A$2:$A$1001,$A665,$B$2:$B$1001,$B665)&gt;1),"INVALID",IFERROR(IF(IF(INDEX(Accounts!$T$2:$T$11,$F665),ROUND(IF($E665="",$C665,MIN($C665,$E665))-(H665),6)&lt;=0,ROUND(IF($E665="",$C665,MIN($C665,$E665))-(H665),6)&lt;0),"BREACHED","OK"),"INCOMPLETE")),"INVALID"))))</f>
        <v/>
      </c>
      <c r="J665" s="33">
        <f>IF(OR(I665="OK",I665="BREACHED"),-INT(ROUND(-(H665)*100,6))/100,I665)</f>
        <v/>
      </c>
    </row>
    <row r="666" ht="18" customHeight="1">
      <c r="A666" s="9" t="n"/>
      <c r="B666" s="32" t="n"/>
      <c r="C666" s="12" t="n"/>
      <c r="D666" s="12" t="n"/>
      <c r="E666" s="12" t="n"/>
      <c r="F666" s="15">
        <f>IFERROR(MATCH($A666,Accounts!$A$2:$A$11,0),"")</f>
        <v/>
      </c>
      <c r="G666" s="14">
        <f>IFERROR(IF(OR($A666="",$F666=""),"",IF(INDEX(Accounts!$P$2:$P$11,$F666)="static",INDEX(Accounts!$Q$2:$Q$11,$F666),IF(INDEX(Accounts!$P$2:$P$11,$F666)="eod_trailing",MAX(INDEX(Accounts!$Q$2:$Q$11,$F666),_xlfn.MAXIFS($C$2:$C$1001,$A$2:$A$1001,$A666,$B$2:$B$1001,"&lt;"&amp;$B666)),MAX(INDEX(Accounts!$Q$2:$Q$11,$F666),_xlfn.MAXIFS($C$2:$C$1001,$A$2:$A$1001,$A666,$B$2:$B$1001,"&lt;"&amp;$B666),_xlfn.MAXIFS($D$2:$D$1001,$A$2:$A$1001,$A666,$B$2:$B$1001,"&lt;="&amp;$B666),$C666)))),"")</f>
        <v/>
      </c>
      <c r="H666" s="15">
        <f>IFERROR(IF(G666="","",IF(INDEX(Accounts!$P$2:$P$11,$F666)="static",INDEX(Accounts!$Q$2:$Q$11,$F666)-INDEX(Accounts!$R$2:$R$11,$F666),IF(INDEX(Accounts!$S$2:$S$11,$F666)="NONE",G666-INDEX(Accounts!$R$2:$R$11,$F666),MIN(G666-INDEX(Accounts!$R$2:$R$11,$F666),INDEX(Accounts!$Q$2:$Q$11,$F666)+INDEX(Accounts!$S$2:$S$11,$F666))))),"")</f>
        <v/>
      </c>
      <c r="I666" s="16">
        <f>IF(AND($A666="",$B666="",$C666="",$D666="",$E666=""),"",IF(OR($A666="",$F666=""),"UNKNOWN_ACCOUNT",IF(OR($B666="",$C666=""),"INCOMPLETE",IFERROR(IF(OR(NOT(ISNUMBER($B666)),NOT(ISNUMBER($C666)),IF(C666="",FALSE,IF(ISNUMBER(C666),OR(C666&lt;=0,C666&gt;100000000,ROUND(C666*100,6)&lt;&gt;INT(ROUND(C666*100,6))),TRUE)),IF(D666="",FALSE,IF(ISNUMBER(D666),OR(D666&lt;=0,D666&gt;100000000,ROUND(D666*100,6)&lt;&gt;INT(ROUND(D666*100,6))),TRUE)),IF(E666="",FALSE,IF(ISNUMBER(E666),OR(E666&lt;=0,E666&gt;100000000,ROUND(E666*100,6)&lt;&gt;INT(ROUND(E666*100,6))),TRUE)),AND($D666&lt;&gt;"",$D666&lt;MAX($C666,$E666)),AND($E666&lt;&gt;"",$E666&gt;MIN($C666,IF($D666="",$C666,$D666))),COUNTIFS($A$2:$A$1001,$A666,$B$2:$B$1001,$B666)&gt;1),"INVALID",IFERROR(IF(IF(INDEX(Accounts!$T$2:$T$11,$F666),ROUND(IF($E666="",$C666,MIN($C666,$E666))-(H666),6)&lt;=0,ROUND(IF($E666="",$C666,MIN($C666,$E666))-(H666),6)&lt;0),"BREACHED","OK"),"INCOMPLETE")),"INVALID"))))</f>
        <v/>
      </c>
      <c r="J666" s="33">
        <f>IF(OR(I666="OK",I666="BREACHED"),-INT(ROUND(-(H666)*100,6))/100,I666)</f>
        <v/>
      </c>
    </row>
    <row r="667" ht="18" customHeight="1">
      <c r="A667" s="9" t="n"/>
      <c r="B667" s="32" t="n"/>
      <c r="C667" s="12" t="n"/>
      <c r="D667" s="12" t="n"/>
      <c r="E667" s="12" t="n"/>
      <c r="F667" s="15">
        <f>IFERROR(MATCH($A667,Accounts!$A$2:$A$11,0),"")</f>
        <v/>
      </c>
      <c r="G667" s="14">
        <f>IFERROR(IF(OR($A667="",$F667=""),"",IF(INDEX(Accounts!$P$2:$P$11,$F667)="static",INDEX(Accounts!$Q$2:$Q$11,$F667),IF(INDEX(Accounts!$P$2:$P$11,$F667)="eod_trailing",MAX(INDEX(Accounts!$Q$2:$Q$11,$F667),_xlfn.MAXIFS($C$2:$C$1001,$A$2:$A$1001,$A667,$B$2:$B$1001,"&lt;"&amp;$B667)),MAX(INDEX(Accounts!$Q$2:$Q$11,$F667),_xlfn.MAXIFS($C$2:$C$1001,$A$2:$A$1001,$A667,$B$2:$B$1001,"&lt;"&amp;$B667),_xlfn.MAXIFS($D$2:$D$1001,$A$2:$A$1001,$A667,$B$2:$B$1001,"&lt;="&amp;$B667),$C667)))),"")</f>
        <v/>
      </c>
      <c r="H667" s="15">
        <f>IFERROR(IF(G667="","",IF(INDEX(Accounts!$P$2:$P$11,$F667)="static",INDEX(Accounts!$Q$2:$Q$11,$F667)-INDEX(Accounts!$R$2:$R$11,$F667),IF(INDEX(Accounts!$S$2:$S$11,$F667)="NONE",G667-INDEX(Accounts!$R$2:$R$11,$F667),MIN(G667-INDEX(Accounts!$R$2:$R$11,$F667),INDEX(Accounts!$Q$2:$Q$11,$F667)+INDEX(Accounts!$S$2:$S$11,$F667))))),"")</f>
        <v/>
      </c>
      <c r="I667" s="16">
        <f>IF(AND($A667="",$B667="",$C667="",$D667="",$E667=""),"",IF(OR($A667="",$F667=""),"UNKNOWN_ACCOUNT",IF(OR($B667="",$C667=""),"INCOMPLETE",IFERROR(IF(OR(NOT(ISNUMBER($B667)),NOT(ISNUMBER($C667)),IF(C667="",FALSE,IF(ISNUMBER(C667),OR(C667&lt;=0,C667&gt;100000000,ROUND(C667*100,6)&lt;&gt;INT(ROUND(C667*100,6))),TRUE)),IF(D667="",FALSE,IF(ISNUMBER(D667),OR(D667&lt;=0,D667&gt;100000000,ROUND(D667*100,6)&lt;&gt;INT(ROUND(D667*100,6))),TRUE)),IF(E667="",FALSE,IF(ISNUMBER(E667),OR(E667&lt;=0,E667&gt;100000000,ROUND(E667*100,6)&lt;&gt;INT(ROUND(E667*100,6))),TRUE)),AND($D667&lt;&gt;"",$D667&lt;MAX($C667,$E667)),AND($E667&lt;&gt;"",$E667&gt;MIN($C667,IF($D667="",$C667,$D667))),COUNTIFS($A$2:$A$1001,$A667,$B$2:$B$1001,$B667)&gt;1),"INVALID",IFERROR(IF(IF(INDEX(Accounts!$T$2:$T$11,$F667),ROUND(IF($E667="",$C667,MIN($C667,$E667))-(H667),6)&lt;=0,ROUND(IF($E667="",$C667,MIN($C667,$E667))-(H667),6)&lt;0),"BREACHED","OK"),"INCOMPLETE")),"INVALID"))))</f>
        <v/>
      </c>
      <c r="J667" s="33">
        <f>IF(OR(I667="OK",I667="BREACHED"),-INT(ROUND(-(H667)*100,6))/100,I667)</f>
        <v/>
      </c>
    </row>
    <row r="668" ht="18" customHeight="1">
      <c r="A668" s="9" t="n"/>
      <c r="B668" s="32" t="n"/>
      <c r="C668" s="12" t="n"/>
      <c r="D668" s="12" t="n"/>
      <c r="E668" s="12" t="n"/>
      <c r="F668" s="15">
        <f>IFERROR(MATCH($A668,Accounts!$A$2:$A$11,0),"")</f>
        <v/>
      </c>
      <c r="G668" s="14">
        <f>IFERROR(IF(OR($A668="",$F668=""),"",IF(INDEX(Accounts!$P$2:$P$11,$F668)="static",INDEX(Accounts!$Q$2:$Q$11,$F668),IF(INDEX(Accounts!$P$2:$P$11,$F668)="eod_trailing",MAX(INDEX(Accounts!$Q$2:$Q$11,$F668),_xlfn.MAXIFS($C$2:$C$1001,$A$2:$A$1001,$A668,$B$2:$B$1001,"&lt;"&amp;$B668)),MAX(INDEX(Accounts!$Q$2:$Q$11,$F668),_xlfn.MAXIFS($C$2:$C$1001,$A$2:$A$1001,$A668,$B$2:$B$1001,"&lt;"&amp;$B668),_xlfn.MAXIFS($D$2:$D$1001,$A$2:$A$1001,$A668,$B$2:$B$1001,"&lt;="&amp;$B668),$C668)))),"")</f>
        <v/>
      </c>
      <c r="H668" s="15">
        <f>IFERROR(IF(G668="","",IF(INDEX(Accounts!$P$2:$P$11,$F668)="static",INDEX(Accounts!$Q$2:$Q$11,$F668)-INDEX(Accounts!$R$2:$R$11,$F668),IF(INDEX(Accounts!$S$2:$S$11,$F668)="NONE",G668-INDEX(Accounts!$R$2:$R$11,$F668),MIN(G668-INDEX(Accounts!$R$2:$R$11,$F668),INDEX(Accounts!$Q$2:$Q$11,$F668)+INDEX(Accounts!$S$2:$S$11,$F668))))),"")</f>
        <v/>
      </c>
      <c r="I668" s="16">
        <f>IF(AND($A668="",$B668="",$C668="",$D668="",$E668=""),"",IF(OR($A668="",$F668=""),"UNKNOWN_ACCOUNT",IF(OR($B668="",$C668=""),"INCOMPLETE",IFERROR(IF(OR(NOT(ISNUMBER($B668)),NOT(ISNUMBER($C668)),IF(C668="",FALSE,IF(ISNUMBER(C668),OR(C668&lt;=0,C668&gt;100000000,ROUND(C668*100,6)&lt;&gt;INT(ROUND(C668*100,6))),TRUE)),IF(D668="",FALSE,IF(ISNUMBER(D668),OR(D668&lt;=0,D668&gt;100000000,ROUND(D668*100,6)&lt;&gt;INT(ROUND(D668*100,6))),TRUE)),IF(E668="",FALSE,IF(ISNUMBER(E668),OR(E668&lt;=0,E668&gt;100000000,ROUND(E668*100,6)&lt;&gt;INT(ROUND(E668*100,6))),TRUE)),AND($D668&lt;&gt;"",$D668&lt;MAX($C668,$E668)),AND($E668&lt;&gt;"",$E668&gt;MIN($C668,IF($D668="",$C668,$D668))),COUNTIFS($A$2:$A$1001,$A668,$B$2:$B$1001,$B668)&gt;1),"INVALID",IFERROR(IF(IF(INDEX(Accounts!$T$2:$T$11,$F668),ROUND(IF($E668="",$C668,MIN($C668,$E668))-(H668),6)&lt;=0,ROUND(IF($E668="",$C668,MIN($C668,$E668))-(H668),6)&lt;0),"BREACHED","OK"),"INCOMPLETE")),"INVALID"))))</f>
        <v/>
      </c>
      <c r="J668" s="33">
        <f>IF(OR(I668="OK",I668="BREACHED"),-INT(ROUND(-(H668)*100,6))/100,I668)</f>
        <v/>
      </c>
    </row>
    <row r="669" ht="18" customHeight="1">
      <c r="A669" s="9" t="n"/>
      <c r="B669" s="32" t="n"/>
      <c r="C669" s="12" t="n"/>
      <c r="D669" s="12" t="n"/>
      <c r="E669" s="12" t="n"/>
      <c r="F669" s="15">
        <f>IFERROR(MATCH($A669,Accounts!$A$2:$A$11,0),"")</f>
        <v/>
      </c>
      <c r="G669" s="14">
        <f>IFERROR(IF(OR($A669="",$F669=""),"",IF(INDEX(Accounts!$P$2:$P$11,$F669)="static",INDEX(Accounts!$Q$2:$Q$11,$F669),IF(INDEX(Accounts!$P$2:$P$11,$F669)="eod_trailing",MAX(INDEX(Accounts!$Q$2:$Q$11,$F669),_xlfn.MAXIFS($C$2:$C$1001,$A$2:$A$1001,$A669,$B$2:$B$1001,"&lt;"&amp;$B669)),MAX(INDEX(Accounts!$Q$2:$Q$11,$F669),_xlfn.MAXIFS($C$2:$C$1001,$A$2:$A$1001,$A669,$B$2:$B$1001,"&lt;"&amp;$B669),_xlfn.MAXIFS($D$2:$D$1001,$A$2:$A$1001,$A669,$B$2:$B$1001,"&lt;="&amp;$B669),$C669)))),"")</f>
        <v/>
      </c>
      <c r="H669" s="15">
        <f>IFERROR(IF(G669="","",IF(INDEX(Accounts!$P$2:$P$11,$F669)="static",INDEX(Accounts!$Q$2:$Q$11,$F669)-INDEX(Accounts!$R$2:$R$11,$F669),IF(INDEX(Accounts!$S$2:$S$11,$F669)="NONE",G669-INDEX(Accounts!$R$2:$R$11,$F669),MIN(G669-INDEX(Accounts!$R$2:$R$11,$F669),INDEX(Accounts!$Q$2:$Q$11,$F669)+INDEX(Accounts!$S$2:$S$11,$F669))))),"")</f>
        <v/>
      </c>
      <c r="I669" s="16">
        <f>IF(AND($A669="",$B669="",$C669="",$D669="",$E669=""),"",IF(OR($A669="",$F669=""),"UNKNOWN_ACCOUNT",IF(OR($B669="",$C669=""),"INCOMPLETE",IFERROR(IF(OR(NOT(ISNUMBER($B669)),NOT(ISNUMBER($C669)),IF(C669="",FALSE,IF(ISNUMBER(C669),OR(C669&lt;=0,C669&gt;100000000,ROUND(C669*100,6)&lt;&gt;INT(ROUND(C669*100,6))),TRUE)),IF(D669="",FALSE,IF(ISNUMBER(D669),OR(D669&lt;=0,D669&gt;100000000,ROUND(D669*100,6)&lt;&gt;INT(ROUND(D669*100,6))),TRUE)),IF(E669="",FALSE,IF(ISNUMBER(E669),OR(E669&lt;=0,E669&gt;100000000,ROUND(E669*100,6)&lt;&gt;INT(ROUND(E669*100,6))),TRUE)),AND($D669&lt;&gt;"",$D669&lt;MAX($C669,$E669)),AND($E669&lt;&gt;"",$E669&gt;MIN($C669,IF($D669="",$C669,$D669))),COUNTIFS($A$2:$A$1001,$A669,$B$2:$B$1001,$B669)&gt;1),"INVALID",IFERROR(IF(IF(INDEX(Accounts!$T$2:$T$11,$F669),ROUND(IF($E669="",$C669,MIN($C669,$E669))-(H669),6)&lt;=0,ROUND(IF($E669="",$C669,MIN($C669,$E669))-(H669),6)&lt;0),"BREACHED","OK"),"INCOMPLETE")),"INVALID"))))</f>
        <v/>
      </c>
      <c r="J669" s="33">
        <f>IF(OR(I669="OK",I669="BREACHED"),-INT(ROUND(-(H669)*100,6))/100,I669)</f>
        <v/>
      </c>
    </row>
    <row r="670" ht="18" customHeight="1">
      <c r="A670" s="9" t="n"/>
      <c r="B670" s="32" t="n"/>
      <c r="C670" s="12" t="n"/>
      <c r="D670" s="12" t="n"/>
      <c r="E670" s="12" t="n"/>
      <c r="F670" s="15">
        <f>IFERROR(MATCH($A670,Accounts!$A$2:$A$11,0),"")</f>
        <v/>
      </c>
      <c r="G670" s="14">
        <f>IFERROR(IF(OR($A670="",$F670=""),"",IF(INDEX(Accounts!$P$2:$P$11,$F670)="static",INDEX(Accounts!$Q$2:$Q$11,$F670),IF(INDEX(Accounts!$P$2:$P$11,$F670)="eod_trailing",MAX(INDEX(Accounts!$Q$2:$Q$11,$F670),_xlfn.MAXIFS($C$2:$C$1001,$A$2:$A$1001,$A670,$B$2:$B$1001,"&lt;"&amp;$B670)),MAX(INDEX(Accounts!$Q$2:$Q$11,$F670),_xlfn.MAXIFS($C$2:$C$1001,$A$2:$A$1001,$A670,$B$2:$B$1001,"&lt;"&amp;$B670),_xlfn.MAXIFS($D$2:$D$1001,$A$2:$A$1001,$A670,$B$2:$B$1001,"&lt;="&amp;$B670),$C670)))),"")</f>
        <v/>
      </c>
      <c r="H670" s="15">
        <f>IFERROR(IF(G670="","",IF(INDEX(Accounts!$P$2:$P$11,$F670)="static",INDEX(Accounts!$Q$2:$Q$11,$F670)-INDEX(Accounts!$R$2:$R$11,$F670),IF(INDEX(Accounts!$S$2:$S$11,$F670)="NONE",G670-INDEX(Accounts!$R$2:$R$11,$F670),MIN(G670-INDEX(Accounts!$R$2:$R$11,$F670),INDEX(Accounts!$Q$2:$Q$11,$F670)+INDEX(Accounts!$S$2:$S$11,$F670))))),"")</f>
        <v/>
      </c>
      <c r="I670" s="16">
        <f>IF(AND($A670="",$B670="",$C670="",$D670="",$E670=""),"",IF(OR($A670="",$F670=""),"UNKNOWN_ACCOUNT",IF(OR($B670="",$C670=""),"INCOMPLETE",IFERROR(IF(OR(NOT(ISNUMBER($B670)),NOT(ISNUMBER($C670)),IF(C670="",FALSE,IF(ISNUMBER(C670),OR(C670&lt;=0,C670&gt;100000000,ROUND(C670*100,6)&lt;&gt;INT(ROUND(C670*100,6))),TRUE)),IF(D670="",FALSE,IF(ISNUMBER(D670),OR(D670&lt;=0,D670&gt;100000000,ROUND(D670*100,6)&lt;&gt;INT(ROUND(D670*100,6))),TRUE)),IF(E670="",FALSE,IF(ISNUMBER(E670),OR(E670&lt;=0,E670&gt;100000000,ROUND(E670*100,6)&lt;&gt;INT(ROUND(E670*100,6))),TRUE)),AND($D670&lt;&gt;"",$D670&lt;MAX($C670,$E670)),AND($E670&lt;&gt;"",$E670&gt;MIN($C670,IF($D670="",$C670,$D670))),COUNTIFS($A$2:$A$1001,$A670,$B$2:$B$1001,$B670)&gt;1),"INVALID",IFERROR(IF(IF(INDEX(Accounts!$T$2:$T$11,$F670),ROUND(IF($E670="",$C670,MIN($C670,$E670))-(H670),6)&lt;=0,ROUND(IF($E670="",$C670,MIN($C670,$E670))-(H670),6)&lt;0),"BREACHED","OK"),"INCOMPLETE")),"INVALID"))))</f>
        <v/>
      </c>
      <c r="J670" s="33">
        <f>IF(OR(I670="OK",I670="BREACHED"),-INT(ROUND(-(H670)*100,6))/100,I670)</f>
        <v/>
      </c>
    </row>
    <row r="671" ht="18" customHeight="1">
      <c r="A671" s="9" t="n"/>
      <c r="B671" s="32" t="n"/>
      <c r="C671" s="12" t="n"/>
      <c r="D671" s="12" t="n"/>
      <c r="E671" s="12" t="n"/>
      <c r="F671" s="15">
        <f>IFERROR(MATCH($A671,Accounts!$A$2:$A$11,0),"")</f>
        <v/>
      </c>
      <c r="G671" s="14">
        <f>IFERROR(IF(OR($A671="",$F671=""),"",IF(INDEX(Accounts!$P$2:$P$11,$F671)="static",INDEX(Accounts!$Q$2:$Q$11,$F671),IF(INDEX(Accounts!$P$2:$P$11,$F671)="eod_trailing",MAX(INDEX(Accounts!$Q$2:$Q$11,$F671),_xlfn.MAXIFS($C$2:$C$1001,$A$2:$A$1001,$A671,$B$2:$B$1001,"&lt;"&amp;$B671)),MAX(INDEX(Accounts!$Q$2:$Q$11,$F671),_xlfn.MAXIFS($C$2:$C$1001,$A$2:$A$1001,$A671,$B$2:$B$1001,"&lt;"&amp;$B671),_xlfn.MAXIFS($D$2:$D$1001,$A$2:$A$1001,$A671,$B$2:$B$1001,"&lt;="&amp;$B671),$C671)))),"")</f>
        <v/>
      </c>
      <c r="H671" s="15">
        <f>IFERROR(IF(G671="","",IF(INDEX(Accounts!$P$2:$P$11,$F671)="static",INDEX(Accounts!$Q$2:$Q$11,$F671)-INDEX(Accounts!$R$2:$R$11,$F671),IF(INDEX(Accounts!$S$2:$S$11,$F671)="NONE",G671-INDEX(Accounts!$R$2:$R$11,$F671),MIN(G671-INDEX(Accounts!$R$2:$R$11,$F671),INDEX(Accounts!$Q$2:$Q$11,$F671)+INDEX(Accounts!$S$2:$S$11,$F671))))),"")</f>
        <v/>
      </c>
      <c r="I671" s="16">
        <f>IF(AND($A671="",$B671="",$C671="",$D671="",$E671=""),"",IF(OR($A671="",$F671=""),"UNKNOWN_ACCOUNT",IF(OR($B671="",$C671=""),"INCOMPLETE",IFERROR(IF(OR(NOT(ISNUMBER($B671)),NOT(ISNUMBER($C671)),IF(C671="",FALSE,IF(ISNUMBER(C671),OR(C671&lt;=0,C671&gt;100000000,ROUND(C671*100,6)&lt;&gt;INT(ROUND(C671*100,6))),TRUE)),IF(D671="",FALSE,IF(ISNUMBER(D671),OR(D671&lt;=0,D671&gt;100000000,ROUND(D671*100,6)&lt;&gt;INT(ROUND(D671*100,6))),TRUE)),IF(E671="",FALSE,IF(ISNUMBER(E671),OR(E671&lt;=0,E671&gt;100000000,ROUND(E671*100,6)&lt;&gt;INT(ROUND(E671*100,6))),TRUE)),AND($D671&lt;&gt;"",$D671&lt;MAX($C671,$E671)),AND($E671&lt;&gt;"",$E671&gt;MIN($C671,IF($D671="",$C671,$D671))),COUNTIFS($A$2:$A$1001,$A671,$B$2:$B$1001,$B671)&gt;1),"INVALID",IFERROR(IF(IF(INDEX(Accounts!$T$2:$T$11,$F671),ROUND(IF($E671="",$C671,MIN($C671,$E671))-(H671),6)&lt;=0,ROUND(IF($E671="",$C671,MIN($C671,$E671))-(H671),6)&lt;0),"BREACHED","OK"),"INCOMPLETE")),"INVALID"))))</f>
        <v/>
      </c>
      <c r="J671" s="33">
        <f>IF(OR(I671="OK",I671="BREACHED"),-INT(ROUND(-(H671)*100,6))/100,I671)</f>
        <v/>
      </c>
    </row>
    <row r="672" ht="18" customHeight="1">
      <c r="A672" s="9" t="n"/>
      <c r="B672" s="32" t="n"/>
      <c r="C672" s="12" t="n"/>
      <c r="D672" s="12" t="n"/>
      <c r="E672" s="12" t="n"/>
      <c r="F672" s="15">
        <f>IFERROR(MATCH($A672,Accounts!$A$2:$A$11,0),"")</f>
        <v/>
      </c>
      <c r="G672" s="14">
        <f>IFERROR(IF(OR($A672="",$F672=""),"",IF(INDEX(Accounts!$P$2:$P$11,$F672)="static",INDEX(Accounts!$Q$2:$Q$11,$F672),IF(INDEX(Accounts!$P$2:$P$11,$F672)="eod_trailing",MAX(INDEX(Accounts!$Q$2:$Q$11,$F672),_xlfn.MAXIFS($C$2:$C$1001,$A$2:$A$1001,$A672,$B$2:$B$1001,"&lt;"&amp;$B672)),MAX(INDEX(Accounts!$Q$2:$Q$11,$F672),_xlfn.MAXIFS($C$2:$C$1001,$A$2:$A$1001,$A672,$B$2:$B$1001,"&lt;"&amp;$B672),_xlfn.MAXIFS($D$2:$D$1001,$A$2:$A$1001,$A672,$B$2:$B$1001,"&lt;="&amp;$B672),$C672)))),"")</f>
        <v/>
      </c>
      <c r="H672" s="15">
        <f>IFERROR(IF(G672="","",IF(INDEX(Accounts!$P$2:$P$11,$F672)="static",INDEX(Accounts!$Q$2:$Q$11,$F672)-INDEX(Accounts!$R$2:$R$11,$F672),IF(INDEX(Accounts!$S$2:$S$11,$F672)="NONE",G672-INDEX(Accounts!$R$2:$R$11,$F672),MIN(G672-INDEX(Accounts!$R$2:$R$11,$F672),INDEX(Accounts!$Q$2:$Q$11,$F672)+INDEX(Accounts!$S$2:$S$11,$F672))))),"")</f>
        <v/>
      </c>
      <c r="I672" s="16">
        <f>IF(AND($A672="",$B672="",$C672="",$D672="",$E672=""),"",IF(OR($A672="",$F672=""),"UNKNOWN_ACCOUNT",IF(OR($B672="",$C672=""),"INCOMPLETE",IFERROR(IF(OR(NOT(ISNUMBER($B672)),NOT(ISNUMBER($C672)),IF(C672="",FALSE,IF(ISNUMBER(C672),OR(C672&lt;=0,C672&gt;100000000,ROUND(C672*100,6)&lt;&gt;INT(ROUND(C672*100,6))),TRUE)),IF(D672="",FALSE,IF(ISNUMBER(D672),OR(D672&lt;=0,D672&gt;100000000,ROUND(D672*100,6)&lt;&gt;INT(ROUND(D672*100,6))),TRUE)),IF(E672="",FALSE,IF(ISNUMBER(E672),OR(E672&lt;=0,E672&gt;100000000,ROUND(E672*100,6)&lt;&gt;INT(ROUND(E672*100,6))),TRUE)),AND($D672&lt;&gt;"",$D672&lt;MAX($C672,$E672)),AND($E672&lt;&gt;"",$E672&gt;MIN($C672,IF($D672="",$C672,$D672))),COUNTIFS($A$2:$A$1001,$A672,$B$2:$B$1001,$B672)&gt;1),"INVALID",IFERROR(IF(IF(INDEX(Accounts!$T$2:$T$11,$F672),ROUND(IF($E672="",$C672,MIN($C672,$E672))-(H672),6)&lt;=0,ROUND(IF($E672="",$C672,MIN($C672,$E672))-(H672),6)&lt;0),"BREACHED","OK"),"INCOMPLETE")),"INVALID"))))</f>
        <v/>
      </c>
      <c r="J672" s="33">
        <f>IF(OR(I672="OK",I672="BREACHED"),-INT(ROUND(-(H672)*100,6))/100,I672)</f>
        <v/>
      </c>
    </row>
    <row r="673" ht="18" customHeight="1">
      <c r="A673" s="9" t="n"/>
      <c r="B673" s="32" t="n"/>
      <c r="C673" s="12" t="n"/>
      <c r="D673" s="12" t="n"/>
      <c r="E673" s="12" t="n"/>
      <c r="F673" s="15">
        <f>IFERROR(MATCH($A673,Accounts!$A$2:$A$11,0),"")</f>
        <v/>
      </c>
      <c r="G673" s="14">
        <f>IFERROR(IF(OR($A673="",$F673=""),"",IF(INDEX(Accounts!$P$2:$P$11,$F673)="static",INDEX(Accounts!$Q$2:$Q$11,$F673),IF(INDEX(Accounts!$P$2:$P$11,$F673)="eod_trailing",MAX(INDEX(Accounts!$Q$2:$Q$11,$F673),_xlfn.MAXIFS($C$2:$C$1001,$A$2:$A$1001,$A673,$B$2:$B$1001,"&lt;"&amp;$B673)),MAX(INDEX(Accounts!$Q$2:$Q$11,$F673),_xlfn.MAXIFS($C$2:$C$1001,$A$2:$A$1001,$A673,$B$2:$B$1001,"&lt;"&amp;$B673),_xlfn.MAXIFS($D$2:$D$1001,$A$2:$A$1001,$A673,$B$2:$B$1001,"&lt;="&amp;$B673),$C673)))),"")</f>
        <v/>
      </c>
      <c r="H673" s="15">
        <f>IFERROR(IF(G673="","",IF(INDEX(Accounts!$P$2:$P$11,$F673)="static",INDEX(Accounts!$Q$2:$Q$11,$F673)-INDEX(Accounts!$R$2:$R$11,$F673),IF(INDEX(Accounts!$S$2:$S$11,$F673)="NONE",G673-INDEX(Accounts!$R$2:$R$11,$F673),MIN(G673-INDEX(Accounts!$R$2:$R$11,$F673),INDEX(Accounts!$Q$2:$Q$11,$F673)+INDEX(Accounts!$S$2:$S$11,$F673))))),"")</f>
        <v/>
      </c>
      <c r="I673" s="16">
        <f>IF(AND($A673="",$B673="",$C673="",$D673="",$E673=""),"",IF(OR($A673="",$F673=""),"UNKNOWN_ACCOUNT",IF(OR($B673="",$C673=""),"INCOMPLETE",IFERROR(IF(OR(NOT(ISNUMBER($B673)),NOT(ISNUMBER($C673)),IF(C673="",FALSE,IF(ISNUMBER(C673),OR(C673&lt;=0,C673&gt;100000000,ROUND(C673*100,6)&lt;&gt;INT(ROUND(C673*100,6))),TRUE)),IF(D673="",FALSE,IF(ISNUMBER(D673),OR(D673&lt;=0,D673&gt;100000000,ROUND(D673*100,6)&lt;&gt;INT(ROUND(D673*100,6))),TRUE)),IF(E673="",FALSE,IF(ISNUMBER(E673),OR(E673&lt;=0,E673&gt;100000000,ROUND(E673*100,6)&lt;&gt;INT(ROUND(E673*100,6))),TRUE)),AND($D673&lt;&gt;"",$D673&lt;MAX($C673,$E673)),AND($E673&lt;&gt;"",$E673&gt;MIN($C673,IF($D673="",$C673,$D673))),COUNTIFS($A$2:$A$1001,$A673,$B$2:$B$1001,$B673)&gt;1),"INVALID",IFERROR(IF(IF(INDEX(Accounts!$T$2:$T$11,$F673),ROUND(IF($E673="",$C673,MIN($C673,$E673))-(H673),6)&lt;=0,ROUND(IF($E673="",$C673,MIN($C673,$E673))-(H673),6)&lt;0),"BREACHED","OK"),"INCOMPLETE")),"INVALID"))))</f>
        <v/>
      </c>
      <c r="J673" s="33">
        <f>IF(OR(I673="OK",I673="BREACHED"),-INT(ROUND(-(H673)*100,6))/100,I673)</f>
        <v/>
      </c>
    </row>
    <row r="674" ht="18" customHeight="1">
      <c r="A674" s="9" t="n"/>
      <c r="B674" s="32" t="n"/>
      <c r="C674" s="12" t="n"/>
      <c r="D674" s="12" t="n"/>
      <c r="E674" s="12" t="n"/>
      <c r="F674" s="15">
        <f>IFERROR(MATCH($A674,Accounts!$A$2:$A$11,0),"")</f>
        <v/>
      </c>
      <c r="G674" s="14">
        <f>IFERROR(IF(OR($A674="",$F674=""),"",IF(INDEX(Accounts!$P$2:$P$11,$F674)="static",INDEX(Accounts!$Q$2:$Q$11,$F674),IF(INDEX(Accounts!$P$2:$P$11,$F674)="eod_trailing",MAX(INDEX(Accounts!$Q$2:$Q$11,$F674),_xlfn.MAXIFS($C$2:$C$1001,$A$2:$A$1001,$A674,$B$2:$B$1001,"&lt;"&amp;$B674)),MAX(INDEX(Accounts!$Q$2:$Q$11,$F674),_xlfn.MAXIFS($C$2:$C$1001,$A$2:$A$1001,$A674,$B$2:$B$1001,"&lt;"&amp;$B674),_xlfn.MAXIFS($D$2:$D$1001,$A$2:$A$1001,$A674,$B$2:$B$1001,"&lt;="&amp;$B674),$C674)))),"")</f>
        <v/>
      </c>
      <c r="H674" s="15">
        <f>IFERROR(IF(G674="","",IF(INDEX(Accounts!$P$2:$P$11,$F674)="static",INDEX(Accounts!$Q$2:$Q$11,$F674)-INDEX(Accounts!$R$2:$R$11,$F674),IF(INDEX(Accounts!$S$2:$S$11,$F674)="NONE",G674-INDEX(Accounts!$R$2:$R$11,$F674),MIN(G674-INDEX(Accounts!$R$2:$R$11,$F674),INDEX(Accounts!$Q$2:$Q$11,$F674)+INDEX(Accounts!$S$2:$S$11,$F674))))),"")</f>
        <v/>
      </c>
      <c r="I674" s="16">
        <f>IF(AND($A674="",$B674="",$C674="",$D674="",$E674=""),"",IF(OR($A674="",$F674=""),"UNKNOWN_ACCOUNT",IF(OR($B674="",$C674=""),"INCOMPLETE",IFERROR(IF(OR(NOT(ISNUMBER($B674)),NOT(ISNUMBER($C674)),IF(C674="",FALSE,IF(ISNUMBER(C674),OR(C674&lt;=0,C674&gt;100000000,ROUND(C674*100,6)&lt;&gt;INT(ROUND(C674*100,6))),TRUE)),IF(D674="",FALSE,IF(ISNUMBER(D674),OR(D674&lt;=0,D674&gt;100000000,ROUND(D674*100,6)&lt;&gt;INT(ROUND(D674*100,6))),TRUE)),IF(E674="",FALSE,IF(ISNUMBER(E674),OR(E674&lt;=0,E674&gt;100000000,ROUND(E674*100,6)&lt;&gt;INT(ROUND(E674*100,6))),TRUE)),AND($D674&lt;&gt;"",$D674&lt;MAX($C674,$E674)),AND($E674&lt;&gt;"",$E674&gt;MIN($C674,IF($D674="",$C674,$D674))),COUNTIFS($A$2:$A$1001,$A674,$B$2:$B$1001,$B674)&gt;1),"INVALID",IFERROR(IF(IF(INDEX(Accounts!$T$2:$T$11,$F674),ROUND(IF($E674="",$C674,MIN($C674,$E674))-(H674),6)&lt;=0,ROUND(IF($E674="",$C674,MIN($C674,$E674))-(H674),6)&lt;0),"BREACHED","OK"),"INCOMPLETE")),"INVALID"))))</f>
        <v/>
      </c>
      <c r="J674" s="33">
        <f>IF(OR(I674="OK",I674="BREACHED"),-INT(ROUND(-(H674)*100,6))/100,I674)</f>
        <v/>
      </c>
    </row>
    <row r="675" ht="18" customHeight="1">
      <c r="A675" s="9" t="n"/>
      <c r="B675" s="32" t="n"/>
      <c r="C675" s="12" t="n"/>
      <c r="D675" s="12" t="n"/>
      <c r="E675" s="12" t="n"/>
      <c r="F675" s="15">
        <f>IFERROR(MATCH($A675,Accounts!$A$2:$A$11,0),"")</f>
        <v/>
      </c>
      <c r="G675" s="14">
        <f>IFERROR(IF(OR($A675="",$F675=""),"",IF(INDEX(Accounts!$P$2:$P$11,$F675)="static",INDEX(Accounts!$Q$2:$Q$11,$F675),IF(INDEX(Accounts!$P$2:$P$11,$F675)="eod_trailing",MAX(INDEX(Accounts!$Q$2:$Q$11,$F675),_xlfn.MAXIFS($C$2:$C$1001,$A$2:$A$1001,$A675,$B$2:$B$1001,"&lt;"&amp;$B675)),MAX(INDEX(Accounts!$Q$2:$Q$11,$F675),_xlfn.MAXIFS($C$2:$C$1001,$A$2:$A$1001,$A675,$B$2:$B$1001,"&lt;"&amp;$B675),_xlfn.MAXIFS($D$2:$D$1001,$A$2:$A$1001,$A675,$B$2:$B$1001,"&lt;="&amp;$B675),$C675)))),"")</f>
        <v/>
      </c>
      <c r="H675" s="15">
        <f>IFERROR(IF(G675="","",IF(INDEX(Accounts!$P$2:$P$11,$F675)="static",INDEX(Accounts!$Q$2:$Q$11,$F675)-INDEX(Accounts!$R$2:$R$11,$F675),IF(INDEX(Accounts!$S$2:$S$11,$F675)="NONE",G675-INDEX(Accounts!$R$2:$R$11,$F675),MIN(G675-INDEX(Accounts!$R$2:$R$11,$F675),INDEX(Accounts!$Q$2:$Q$11,$F675)+INDEX(Accounts!$S$2:$S$11,$F675))))),"")</f>
        <v/>
      </c>
      <c r="I675" s="16">
        <f>IF(AND($A675="",$B675="",$C675="",$D675="",$E675=""),"",IF(OR($A675="",$F675=""),"UNKNOWN_ACCOUNT",IF(OR($B675="",$C675=""),"INCOMPLETE",IFERROR(IF(OR(NOT(ISNUMBER($B675)),NOT(ISNUMBER($C675)),IF(C675="",FALSE,IF(ISNUMBER(C675),OR(C675&lt;=0,C675&gt;100000000,ROUND(C675*100,6)&lt;&gt;INT(ROUND(C675*100,6))),TRUE)),IF(D675="",FALSE,IF(ISNUMBER(D675),OR(D675&lt;=0,D675&gt;100000000,ROUND(D675*100,6)&lt;&gt;INT(ROUND(D675*100,6))),TRUE)),IF(E675="",FALSE,IF(ISNUMBER(E675),OR(E675&lt;=0,E675&gt;100000000,ROUND(E675*100,6)&lt;&gt;INT(ROUND(E675*100,6))),TRUE)),AND($D675&lt;&gt;"",$D675&lt;MAX($C675,$E675)),AND($E675&lt;&gt;"",$E675&gt;MIN($C675,IF($D675="",$C675,$D675))),COUNTIFS($A$2:$A$1001,$A675,$B$2:$B$1001,$B675)&gt;1),"INVALID",IFERROR(IF(IF(INDEX(Accounts!$T$2:$T$11,$F675),ROUND(IF($E675="",$C675,MIN($C675,$E675))-(H675),6)&lt;=0,ROUND(IF($E675="",$C675,MIN($C675,$E675))-(H675),6)&lt;0),"BREACHED","OK"),"INCOMPLETE")),"INVALID"))))</f>
        <v/>
      </c>
      <c r="J675" s="33">
        <f>IF(OR(I675="OK",I675="BREACHED"),-INT(ROUND(-(H675)*100,6))/100,I675)</f>
        <v/>
      </c>
    </row>
    <row r="676" ht="18" customHeight="1">
      <c r="A676" s="9" t="n"/>
      <c r="B676" s="32" t="n"/>
      <c r="C676" s="12" t="n"/>
      <c r="D676" s="12" t="n"/>
      <c r="E676" s="12" t="n"/>
      <c r="F676" s="15">
        <f>IFERROR(MATCH($A676,Accounts!$A$2:$A$11,0),"")</f>
        <v/>
      </c>
      <c r="G676" s="14">
        <f>IFERROR(IF(OR($A676="",$F676=""),"",IF(INDEX(Accounts!$P$2:$P$11,$F676)="static",INDEX(Accounts!$Q$2:$Q$11,$F676),IF(INDEX(Accounts!$P$2:$P$11,$F676)="eod_trailing",MAX(INDEX(Accounts!$Q$2:$Q$11,$F676),_xlfn.MAXIFS($C$2:$C$1001,$A$2:$A$1001,$A676,$B$2:$B$1001,"&lt;"&amp;$B676)),MAX(INDEX(Accounts!$Q$2:$Q$11,$F676),_xlfn.MAXIFS($C$2:$C$1001,$A$2:$A$1001,$A676,$B$2:$B$1001,"&lt;"&amp;$B676),_xlfn.MAXIFS($D$2:$D$1001,$A$2:$A$1001,$A676,$B$2:$B$1001,"&lt;="&amp;$B676),$C676)))),"")</f>
        <v/>
      </c>
      <c r="H676" s="15">
        <f>IFERROR(IF(G676="","",IF(INDEX(Accounts!$P$2:$P$11,$F676)="static",INDEX(Accounts!$Q$2:$Q$11,$F676)-INDEX(Accounts!$R$2:$R$11,$F676),IF(INDEX(Accounts!$S$2:$S$11,$F676)="NONE",G676-INDEX(Accounts!$R$2:$R$11,$F676),MIN(G676-INDEX(Accounts!$R$2:$R$11,$F676),INDEX(Accounts!$Q$2:$Q$11,$F676)+INDEX(Accounts!$S$2:$S$11,$F676))))),"")</f>
        <v/>
      </c>
      <c r="I676" s="16">
        <f>IF(AND($A676="",$B676="",$C676="",$D676="",$E676=""),"",IF(OR($A676="",$F676=""),"UNKNOWN_ACCOUNT",IF(OR($B676="",$C676=""),"INCOMPLETE",IFERROR(IF(OR(NOT(ISNUMBER($B676)),NOT(ISNUMBER($C676)),IF(C676="",FALSE,IF(ISNUMBER(C676),OR(C676&lt;=0,C676&gt;100000000,ROUND(C676*100,6)&lt;&gt;INT(ROUND(C676*100,6))),TRUE)),IF(D676="",FALSE,IF(ISNUMBER(D676),OR(D676&lt;=0,D676&gt;100000000,ROUND(D676*100,6)&lt;&gt;INT(ROUND(D676*100,6))),TRUE)),IF(E676="",FALSE,IF(ISNUMBER(E676),OR(E676&lt;=0,E676&gt;100000000,ROUND(E676*100,6)&lt;&gt;INT(ROUND(E676*100,6))),TRUE)),AND($D676&lt;&gt;"",$D676&lt;MAX($C676,$E676)),AND($E676&lt;&gt;"",$E676&gt;MIN($C676,IF($D676="",$C676,$D676))),COUNTIFS($A$2:$A$1001,$A676,$B$2:$B$1001,$B676)&gt;1),"INVALID",IFERROR(IF(IF(INDEX(Accounts!$T$2:$T$11,$F676),ROUND(IF($E676="",$C676,MIN($C676,$E676))-(H676),6)&lt;=0,ROUND(IF($E676="",$C676,MIN($C676,$E676))-(H676),6)&lt;0),"BREACHED","OK"),"INCOMPLETE")),"INVALID"))))</f>
        <v/>
      </c>
      <c r="J676" s="33">
        <f>IF(OR(I676="OK",I676="BREACHED"),-INT(ROUND(-(H676)*100,6))/100,I676)</f>
        <v/>
      </c>
    </row>
    <row r="677" ht="18" customHeight="1">
      <c r="A677" s="9" t="n"/>
      <c r="B677" s="32" t="n"/>
      <c r="C677" s="12" t="n"/>
      <c r="D677" s="12" t="n"/>
      <c r="E677" s="12" t="n"/>
      <c r="F677" s="15">
        <f>IFERROR(MATCH($A677,Accounts!$A$2:$A$11,0),"")</f>
        <v/>
      </c>
      <c r="G677" s="14">
        <f>IFERROR(IF(OR($A677="",$F677=""),"",IF(INDEX(Accounts!$P$2:$P$11,$F677)="static",INDEX(Accounts!$Q$2:$Q$11,$F677),IF(INDEX(Accounts!$P$2:$P$11,$F677)="eod_trailing",MAX(INDEX(Accounts!$Q$2:$Q$11,$F677),_xlfn.MAXIFS($C$2:$C$1001,$A$2:$A$1001,$A677,$B$2:$B$1001,"&lt;"&amp;$B677)),MAX(INDEX(Accounts!$Q$2:$Q$11,$F677),_xlfn.MAXIFS($C$2:$C$1001,$A$2:$A$1001,$A677,$B$2:$B$1001,"&lt;"&amp;$B677),_xlfn.MAXIFS($D$2:$D$1001,$A$2:$A$1001,$A677,$B$2:$B$1001,"&lt;="&amp;$B677),$C677)))),"")</f>
        <v/>
      </c>
      <c r="H677" s="15">
        <f>IFERROR(IF(G677="","",IF(INDEX(Accounts!$P$2:$P$11,$F677)="static",INDEX(Accounts!$Q$2:$Q$11,$F677)-INDEX(Accounts!$R$2:$R$11,$F677),IF(INDEX(Accounts!$S$2:$S$11,$F677)="NONE",G677-INDEX(Accounts!$R$2:$R$11,$F677),MIN(G677-INDEX(Accounts!$R$2:$R$11,$F677),INDEX(Accounts!$Q$2:$Q$11,$F677)+INDEX(Accounts!$S$2:$S$11,$F677))))),"")</f>
        <v/>
      </c>
      <c r="I677" s="16">
        <f>IF(AND($A677="",$B677="",$C677="",$D677="",$E677=""),"",IF(OR($A677="",$F677=""),"UNKNOWN_ACCOUNT",IF(OR($B677="",$C677=""),"INCOMPLETE",IFERROR(IF(OR(NOT(ISNUMBER($B677)),NOT(ISNUMBER($C677)),IF(C677="",FALSE,IF(ISNUMBER(C677),OR(C677&lt;=0,C677&gt;100000000,ROUND(C677*100,6)&lt;&gt;INT(ROUND(C677*100,6))),TRUE)),IF(D677="",FALSE,IF(ISNUMBER(D677),OR(D677&lt;=0,D677&gt;100000000,ROUND(D677*100,6)&lt;&gt;INT(ROUND(D677*100,6))),TRUE)),IF(E677="",FALSE,IF(ISNUMBER(E677),OR(E677&lt;=0,E677&gt;100000000,ROUND(E677*100,6)&lt;&gt;INT(ROUND(E677*100,6))),TRUE)),AND($D677&lt;&gt;"",$D677&lt;MAX($C677,$E677)),AND($E677&lt;&gt;"",$E677&gt;MIN($C677,IF($D677="",$C677,$D677))),COUNTIFS($A$2:$A$1001,$A677,$B$2:$B$1001,$B677)&gt;1),"INVALID",IFERROR(IF(IF(INDEX(Accounts!$T$2:$T$11,$F677),ROUND(IF($E677="",$C677,MIN($C677,$E677))-(H677),6)&lt;=0,ROUND(IF($E677="",$C677,MIN($C677,$E677))-(H677),6)&lt;0),"BREACHED","OK"),"INCOMPLETE")),"INVALID"))))</f>
        <v/>
      </c>
      <c r="J677" s="33">
        <f>IF(OR(I677="OK",I677="BREACHED"),-INT(ROUND(-(H677)*100,6))/100,I677)</f>
        <v/>
      </c>
    </row>
    <row r="678" ht="18" customHeight="1">
      <c r="A678" s="9" t="n"/>
      <c r="B678" s="32" t="n"/>
      <c r="C678" s="12" t="n"/>
      <c r="D678" s="12" t="n"/>
      <c r="E678" s="12" t="n"/>
      <c r="F678" s="15">
        <f>IFERROR(MATCH($A678,Accounts!$A$2:$A$11,0),"")</f>
        <v/>
      </c>
      <c r="G678" s="14">
        <f>IFERROR(IF(OR($A678="",$F678=""),"",IF(INDEX(Accounts!$P$2:$P$11,$F678)="static",INDEX(Accounts!$Q$2:$Q$11,$F678),IF(INDEX(Accounts!$P$2:$P$11,$F678)="eod_trailing",MAX(INDEX(Accounts!$Q$2:$Q$11,$F678),_xlfn.MAXIFS($C$2:$C$1001,$A$2:$A$1001,$A678,$B$2:$B$1001,"&lt;"&amp;$B678)),MAX(INDEX(Accounts!$Q$2:$Q$11,$F678),_xlfn.MAXIFS($C$2:$C$1001,$A$2:$A$1001,$A678,$B$2:$B$1001,"&lt;"&amp;$B678),_xlfn.MAXIFS($D$2:$D$1001,$A$2:$A$1001,$A678,$B$2:$B$1001,"&lt;="&amp;$B678),$C678)))),"")</f>
        <v/>
      </c>
      <c r="H678" s="15">
        <f>IFERROR(IF(G678="","",IF(INDEX(Accounts!$P$2:$P$11,$F678)="static",INDEX(Accounts!$Q$2:$Q$11,$F678)-INDEX(Accounts!$R$2:$R$11,$F678),IF(INDEX(Accounts!$S$2:$S$11,$F678)="NONE",G678-INDEX(Accounts!$R$2:$R$11,$F678),MIN(G678-INDEX(Accounts!$R$2:$R$11,$F678),INDEX(Accounts!$Q$2:$Q$11,$F678)+INDEX(Accounts!$S$2:$S$11,$F678))))),"")</f>
        <v/>
      </c>
      <c r="I678" s="16">
        <f>IF(AND($A678="",$B678="",$C678="",$D678="",$E678=""),"",IF(OR($A678="",$F678=""),"UNKNOWN_ACCOUNT",IF(OR($B678="",$C678=""),"INCOMPLETE",IFERROR(IF(OR(NOT(ISNUMBER($B678)),NOT(ISNUMBER($C678)),IF(C678="",FALSE,IF(ISNUMBER(C678),OR(C678&lt;=0,C678&gt;100000000,ROUND(C678*100,6)&lt;&gt;INT(ROUND(C678*100,6))),TRUE)),IF(D678="",FALSE,IF(ISNUMBER(D678),OR(D678&lt;=0,D678&gt;100000000,ROUND(D678*100,6)&lt;&gt;INT(ROUND(D678*100,6))),TRUE)),IF(E678="",FALSE,IF(ISNUMBER(E678),OR(E678&lt;=0,E678&gt;100000000,ROUND(E678*100,6)&lt;&gt;INT(ROUND(E678*100,6))),TRUE)),AND($D678&lt;&gt;"",$D678&lt;MAX($C678,$E678)),AND($E678&lt;&gt;"",$E678&gt;MIN($C678,IF($D678="",$C678,$D678))),COUNTIFS($A$2:$A$1001,$A678,$B$2:$B$1001,$B678)&gt;1),"INVALID",IFERROR(IF(IF(INDEX(Accounts!$T$2:$T$11,$F678),ROUND(IF($E678="",$C678,MIN($C678,$E678))-(H678),6)&lt;=0,ROUND(IF($E678="",$C678,MIN($C678,$E678))-(H678),6)&lt;0),"BREACHED","OK"),"INCOMPLETE")),"INVALID"))))</f>
        <v/>
      </c>
      <c r="J678" s="33">
        <f>IF(OR(I678="OK",I678="BREACHED"),-INT(ROUND(-(H678)*100,6))/100,I678)</f>
        <v/>
      </c>
    </row>
    <row r="679" ht="18" customHeight="1">
      <c r="A679" s="9" t="n"/>
      <c r="B679" s="32" t="n"/>
      <c r="C679" s="12" t="n"/>
      <c r="D679" s="12" t="n"/>
      <c r="E679" s="12" t="n"/>
      <c r="F679" s="15">
        <f>IFERROR(MATCH($A679,Accounts!$A$2:$A$11,0),"")</f>
        <v/>
      </c>
      <c r="G679" s="14">
        <f>IFERROR(IF(OR($A679="",$F679=""),"",IF(INDEX(Accounts!$P$2:$P$11,$F679)="static",INDEX(Accounts!$Q$2:$Q$11,$F679),IF(INDEX(Accounts!$P$2:$P$11,$F679)="eod_trailing",MAX(INDEX(Accounts!$Q$2:$Q$11,$F679),_xlfn.MAXIFS($C$2:$C$1001,$A$2:$A$1001,$A679,$B$2:$B$1001,"&lt;"&amp;$B679)),MAX(INDEX(Accounts!$Q$2:$Q$11,$F679),_xlfn.MAXIFS($C$2:$C$1001,$A$2:$A$1001,$A679,$B$2:$B$1001,"&lt;"&amp;$B679),_xlfn.MAXIFS($D$2:$D$1001,$A$2:$A$1001,$A679,$B$2:$B$1001,"&lt;="&amp;$B679),$C679)))),"")</f>
        <v/>
      </c>
      <c r="H679" s="15">
        <f>IFERROR(IF(G679="","",IF(INDEX(Accounts!$P$2:$P$11,$F679)="static",INDEX(Accounts!$Q$2:$Q$11,$F679)-INDEX(Accounts!$R$2:$R$11,$F679),IF(INDEX(Accounts!$S$2:$S$11,$F679)="NONE",G679-INDEX(Accounts!$R$2:$R$11,$F679),MIN(G679-INDEX(Accounts!$R$2:$R$11,$F679),INDEX(Accounts!$Q$2:$Q$11,$F679)+INDEX(Accounts!$S$2:$S$11,$F679))))),"")</f>
        <v/>
      </c>
      <c r="I679" s="16">
        <f>IF(AND($A679="",$B679="",$C679="",$D679="",$E679=""),"",IF(OR($A679="",$F679=""),"UNKNOWN_ACCOUNT",IF(OR($B679="",$C679=""),"INCOMPLETE",IFERROR(IF(OR(NOT(ISNUMBER($B679)),NOT(ISNUMBER($C679)),IF(C679="",FALSE,IF(ISNUMBER(C679),OR(C679&lt;=0,C679&gt;100000000,ROUND(C679*100,6)&lt;&gt;INT(ROUND(C679*100,6))),TRUE)),IF(D679="",FALSE,IF(ISNUMBER(D679),OR(D679&lt;=0,D679&gt;100000000,ROUND(D679*100,6)&lt;&gt;INT(ROUND(D679*100,6))),TRUE)),IF(E679="",FALSE,IF(ISNUMBER(E679),OR(E679&lt;=0,E679&gt;100000000,ROUND(E679*100,6)&lt;&gt;INT(ROUND(E679*100,6))),TRUE)),AND($D679&lt;&gt;"",$D679&lt;MAX($C679,$E679)),AND($E679&lt;&gt;"",$E679&gt;MIN($C679,IF($D679="",$C679,$D679))),COUNTIFS($A$2:$A$1001,$A679,$B$2:$B$1001,$B679)&gt;1),"INVALID",IFERROR(IF(IF(INDEX(Accounts!$T$2:$T$11,$F679),ROUND(IF($E679="",$C679,MIN($C679,$E679))-(H679),6)&lt;=0,ROUND(IF($E679="",$C679,MIN($C679,$E679))-(H679),6)&lt;0),"BREACHED","OK"),"INCOMPLETE")),"INVALID"))))</f>
        <v/>
      </c>
      <c r="J679" s="33">
        <f>IF(OR(I679="OK",I679="BREACHED"),-INT(ROUND(-(H679)*100,6))/100,I679)</f>
        <v/>
      </c>
    </row>
    <row r="680" ht="18" customHeight="1">
      <c r="A680" s="9" t="n"/>
      <c r="B680" s="32" t="n"/>
      <c r="C680" s="12" t="n"/>
      <c r="D680" s="12" t="n"/>
      <c r="E680" s="12" t="n"/>
      <c r="F680" s="15">
        <f>IFERROR(MATCH($A680,Accounts!$A$2:$A$11,0),"")</f>
        <v/>
      </c>
      <c r="G680" s="14">
        <f>IFERROR(IF(OR($A680="",$F680=""),"",IF(INDEX(Accounts!$P$2:$P$11,$F680)="static",INDEX(Accounts!$Q$2:$Q$11,$F680),IF(INDEX(Accounts!$P$2:$P$11,$F680)="eod_trailing",MAX(INDEX(Accounts!$Q$2:$Q$11,$F680),_xlfn.MAXIFS($C$2:$C$1001,$A$2:$A$1001,$A680,$B$2:$B$1001,"&lt;"&amp;$B680)),MAX(INDEX(Accounts!$Q$2:$Q$11,$F680),_xlfn.MAXIFS($C$2:$C$1001,$A$2:$A$1001,$A680,$B$2:$B$1001,"&lt;"&amp;$B680),_xlfn.MAXIFS($D$2:$D$1001,$A$2:$A$1001,$A680,$B$2:$B$1001,"&lt;="&amp;$B680),$C680)))),"")</f>
        <v/>
      </c>
      <c r="H680" s="15">
        <f>IFERROR(IF(G680="","",IF(INDEX(Accounts!$P$2:$P$11,$F680)="static",INDEX(Accounts!$Q$2:$Q$11,$F680)-INDEX(Accounts!$R$2:$R$11,$F680),IF(INDEX(Accounts!$S$2:$S$11,$F680)="NONE",G680-INDEX(Accounts!$R$2:$R$11,$F680),MIN(G680-INDEX(Accounts!$R$2:$R$11,$F680),INDEX(Accounts!$Q$2:$Q$11,$F680)+INDEX(Accounts!$S$2:$S$11,$F680))))),"")</f>
        <v/>
      </c>
      <c r="I680" s="16">
        <f>IF(AND($A680="",$B680="",$C680="",$D680="",$E680=""),"",IF(OR($A680="",$F680=""),"UNKNOWN_ACCOUNT",IF(OR($B680="",$C680=""),"INCOMPLETE",IFERROR(IF(OR(NOT(ISNUMBER($B680)),NOT(ISNUMBER($C680)),IF(C680="",FALSE,IF(ISNUMBER(C680),OR(C680&lt;=0,C680&gt;100000000,ROUND(C680*100,6)&lt;&gt;INT(ROUND(C680*100,6))),TRUE)),IF(D680="",FALSE,IF(ISNUMBER(D680),OR(D680&lt;=0,D680&gt;100000000,ROUND(D680*100,6)&lt;&gt;INT(ROUND(D680*100,6))),TRUE)),IF(E680="",FALSE,IF(ISNUMBER(E680),OR(E680&lt;=0,E680&gt;100000000,ROUND(E680*100,6)&lt;&gt;INT(ROUND(E680*100,6))),TRUE)),AND($D680&lt;&gt;"",$D680&lt;MAX($C680,$E680)),AND($E680&lt;&gt;"",$E680&gt;MIN($C680,IF($D680="",$C680,$D680))),COUNTIFS($A$2:$A$1001,$A680,$B$2:$B$1001,$B680)&gt;1),"INVALID",IFERROR(IF(IF(INDEX(Accounts!$T$2:$T$11,$F680),ROUND(IF($E680="",$C680,MIN($C680,$E680))-(H680),6)&lt;=0,ROUND(IF($E680="",$C680,MIN($C680,$E680))-(H680),6)&lt;0),"BREACHED","OK"),"INCOMPLETE")),"INVALID"))))</f>
        <v/>
      </c>
      <c r="J680" s="33">
        <f>IF(OR(I680="OK",I680="BREACHED"),-INT(ROUND(-(H680)*100,6))/100,I680)</f>
        <v/>
      </c>
    </row>
    <row r="681" ht="18" customHeight="1">
      <c r="A681" s="9" t="n"/>
      <c r="B681" s="32" t="n"/>
      <c r="C681" s="12" t="n"/>
      <c r="D681" s="12" t="n"/>
      <c r="E681" s="12" t="n"/>
      <c r="F681" s="15">
        <f>IFERROR(MATCH($A681,Accounts!$A$2:$A$11,0),"")</f>
        <v/>
      </c>
      <c r="G681" s="14">
        <f>IFERROR(IF(OR($A681="",$F681=""),"",IF(INDEX(Accounts!$P$2:$P$11,$F681)="static",INDEX(Accounts!$Q$2:$Q$11,$F681),IF(INDEX(Accounts!$P$2:$P$11,$F681)="eod_trailing",MAX(INDEX(Accounts!$Q$2:$Q$11,$F681),_xlfn.MAXIFS($C$2:$C$1001,$A$2:$A$1001,$A681,$B$2:$B$1001,"&lt;"&amp;$B681)),MAX(INDEX(Accounts!$Q$2:$Q$11,$F681),_xlfn.MAXIFS($C$2:$C$1001,$A$2:$A$1001,$A681,$B$2:$B$1001,"&lt;"&amp;$B681),_xlfn.MAXIFS($D$2:$D$1001,$A$2:$A$1001,$A681,$B$2:$B$1001,"&lt;="&amp;$B681),$C681)))),"")</f>
        <v/>
      </c>
      <c r="H681" s="15">
        <f>IFERROR(IF(G681="","",IF(INDEX(Accounts!$P$2:$P$11,$F681)="static",INDEX(Accounts!$Q$2:$Q$11,$F681)-INDEX(Accounts!$R$2:$R$11,$F681),IF(INDEX(Accounts!$S$2:$S$11,$F681)="NONE",G681-INDEX(Accounts!$R$2:$R$11,$F681),MIN(G681-INDEX(Accounts!$R$2:$R$11,$F681),INDEX(Accounts!$Q$2:$Q$11,$F681)+INDEX(Accounts!$S$2:$S$11,$F681))))),"")</f>
        <v/>
      </c>
      <c r="I681" s="16">
        <f>IF(AND($A681="",$B681="",$C681="",$D681="",$E681=""),"",IF(OR($A681="",$F681=""),"UNKNOWN_ACCOUNT",IF(OR($B681="",$C681=""),"INCOMPLETE",IFERROR(IF(OR(NOT(ISNUMBER($B681)),NOT(ISNUMBER($C681)),IF(C681="",FALSE,IF(ISNUMBER(C681),OR(C681&lt;=0,C681&gt;100000000,ROUND(C681*100,6)&lt;&gt;INT(ROUND(C681*100,6))),TRUE)),IF(D681="",FALSE,IF(ISNUMBER(D681),OR(D681&lt;=0,D681&gt;100000000,ROUND(D681*100,6)&lt;&gt;INT(ROUND(D681*100,6))),TRUE)),IF(E681="",FALSE,IF(ISNUMBER(E681),OR(E681&lt;=0,E681&gt;100000000,ROUND(E681*100,6)&lt;&gt;INT(ROUND(E681*100,6))),TRUE)),AND($D681&lt;&gt;"",$D681&lt;MAX($C681,$E681)),AND($E681&lt;&gt;"",$E681&gt;MIN($C681,IF($D681="",$C681,$D681))),COUNTIFS($A$2:$A$1001,$A681,$B$2:$B$1001,$B681)&gt;1),"INVALID",IFERROR(IF(IF(INDEX(Accounts!$T$2:$T$11,$F681),ROUND(IF($E681="",$C681,MIN($C681,$E681))-(H681),6)&lt;=0,ROUND(IF($E681="",$C681,MIN($C681,$E681))-(H681),6)&lt;0),"BREACHED","OK"),"INCOMPLETE")),"INVALID"))))</f>
        <v/>
      </c>
      <c r="J681" s="33">
        <f>IF(OR(I681="OK",I681="BREACHED"),-INT(ROUND(-(H681)*100,6))/100,I681)</f>
        <v/>
      </c>
    </row>
    <row r="682" ht="18" customHeight="1">
      <c r="A682" s="9" t="n"/>
      <c r="B682" s="32" t="n"/>
      <c r="C682" s="12" t="n"/>
      <c r="D682" s="12" t="n"/>
      <c r="E682" s="12" t="n"/>
      <c r="F682" s="15">
        <f>IFERROR(MATCH($A682,Accounts!$A$2:$A$11,0),"")</f>
        <v/>
      </c>
      <c r="G682" s="14">
        <f>IFERROR(IF(OR($A682="",$F682=""),"",IF(INDEX(Accounts!$P$2:$P$11,$F682)="static",INDEX(Accounts!$Q$2:$Q$11,$F682),IF(INDEX(Accounts!$P$2:$P$11,$F682)="eod_trailing",MAX(INDEX(Accounts!$Q$2:$Q$11,$F682),_xlfn.MAXIFS($C$2:$C$1001,$A$2:$A$1001,$A682,$B$2:$B$1001,"&lt;"&amp;$B682)),MAX(INDEX(Accounts!$Q$2:$Q$11,$F682),_xlfn.MAXIFS($C$2:$C$1001,$A$2:$A$1001,$A682,$B$2:$B$1001,"&lt;"&amp;$B682),_xlfn.MAXIFS($D$2:$D$1001,$A$2:$A$1001,$A682,$B$2:$B$1001,"&lt;="&amp;$B682),$C682)))),"")</f>
        <v/>
      </c>
      <c r="H682" s="15">
        <f>IFERROR(IF(G682="","",IF(INDEX(Accounts!$P$2:$P$11,$F682)="static",INDEX(Accounts!$Q$2:$Q$11,$F682)-INDEX(Accounts!$R$2:$R$11,$F682),IF(INDEX(Accounts!$S$2:$S$11,$F682)="NONE",G682-INDEX(Accounts!$R$2:$R$11,$F682),MIN(G682-INDEX(Accounts!$R$2:$R$11,$F682),INDEX(Accounts!$Q$2:$Q$11,$F682)+INDEX(Accounts!$S$2:$S$11,$F682))))),"")</f>
        <v/>
      </c>
      <c r="I682" s="16">
        <f>IF(AND($A682="",$B682="",$C682="",$D682="",$E682=""),"",IF(OR($A682="",$F682=""),"UNKNOWN_ACCOUNT",IF(OR($B682="",$C682=""),"INCOMPLETE",IFERROR(IF(OR(NOT(ISNUMBER($B682)),NOT(ISNUMBER($C682)),IF(C682="",FALSE,IF(ISNUMBER(C682),OR(C682&lt;=0,C682&gt;100000000,ROUND(C682*100,6)&lt;&gt;INT(ROUND(C682*100,6))),TRUE)),IF(D682="",FALSE,IF(ISNUMBER(D682),OR(D682&lt;=0,D682&gt;100000000,ROUND(D682*100,6)&lt;&gt;INT(ROUND(D682*100,6))),TRUE)),IF(E682="",FALSE,IF(ISNUMBER(E682),OR(E682&lt;=0,E682&gt;100000000,ROUND(E682*100,6)&lt;&gt;INT(ROUND(E682*100,6))),TRUE)),AND($D682&lt;&gt;"",$D682&lt;MAX($C682,$E682)),AND($E682&lt;&gt;"",$E682&gt;MIN($C682,IF($D682="",$C682,$D682))),COUNTIFS($A$2:$A$1001,$A682,$B$2:$B$1001,$B682)&gt;1),"INVALID",IFERROR(IF(IF(INDEX(Accounts!$T$2:$T$11,$F682),ROUND(IF($E682="",$C682,MIN($C682,$E682))-(H682),6)&lt;=0,ROUND(IF($E682="",$C682,MIN($C682,$E682))-(H682),6)&lt;0),"BREACHED","OK"),"INCOMPLETE")),"INVALID"))))</f>
        <v/>
      </c>
      <c r="J682" s="33">
        <f>IF(OR(I682="OK",I682="BREACHED"),-INT(ROUND(-(H682)*100,6))/100,I682)</f>
        <v/>
      </c>
    </row>
    <row r="683" ht="18" customHeight="1">
      <c r="A683" s="9" t="n"/>
      <c r="B683" s="32" t="n"/>
      <c r="C683" s="12" t="n"/>
      <c r="D683" s="12" t="n"/>
      <c r="E683" s="12" t="n"/>
      <c r="F683" s="15">
        <f>IFERROR(MATCH($A683,Accounts!$A$2:$A$11,0),"")</f>
        <v/>
      </c>
      <c r="G683" s="14">
        <f>IFERROR(IF(OR($A683="",$F683=""),"",IF(INDEX(Accounts!$P$2:$P$11,$F683)="static",INDEX(Accounts!$Q$2:$Q$11,$F683),IF(INDEX(Accounts!$P$2:$P$11,$F683)="eod_trailing",MAX(INDEX(Accounts!$Q$2:$Q$11,$F683),_xlfn.MAXIFS($C$2:$C$1001,$A$2:$A$1001,$A683,$B$2:$B$1001,"&lt;"&amp;$B683)),MAX(INDEX(Accounts!$Q$2:$Q$11,$F683),_xlfn.MAXIFS($C$2:$C$1001,$A$2:$A$1001,$A683,$B$2:$B$1001,"&lt;"&amp;$B683),_xlfn.MAXIFS($D$2:$D$1001,$A$2:$A$1001,$A683,$B$2:$B$1001,"&lt;="&amp;$B683),$C683)))),"")</f>
        <v/>
      </c>
      <c r="H683" s="15">
        <f>IFERROR(IF(G683="","",IF(INDEX(Accounts!$P$2:$P$11,$F683)="static",INDEX(Accounts!$Q$2:$Q$11,$F683)-INDEX(Accounts!$R$2:$R$11,$F683),IF(INDEX(Accounts!$S$2:$S$11,$F683)="NONE",G683-INDEX(Accounts!$R$2:$R$11,$F683),MIN(G683-INDEX(Accounts!$R$2:$R$11,$F683),INDEX(Accounts!$Q$2:$Q$11,$F683)+INDEX(Accounts!$S$2:$S$11,$F683))))),"")</f>
        <v/>
      </c>
      <c r="I683" s="16">
        <f>IF(AND($A683="",$B683="",$C683="",$D683="",$E683=""),"",IF(OR($A683="",$F683=""),"UNKNOWN_ACCOUNT",IF(OR($B683="",$C683=""),"INCOMPLETE",IFERROR(IF(OR(NOT(ISNUMBER($B683)),NOT(ISNUMBER($C683)),IF(C683="",FALSE,IF(ISNUMBER(C683),OR(C683&lt;=0,C683&gt;100000000,ROUND(C683*100,6)&lt;&gt;INT(ROUND(C683*100,6))),TRUE)),IF(D683="",FALSE,IF(ISNUMBER(D683),OR(D683&lt;=0,D683&gt;100000000,ROUND(D683*100,6)&lt;&gt;INT(ROUND(D683*100,6))),TRUE)),IF(E683="",FALSE,IF(ISNUMBER(E683),OR(E683&lt;=0,E683&gt;100000000,ROUND(E683*100,6)&lt;&gt;INT(ROUND(E683*100,6))),TRUE)),AND($D683&lt;&gt;"",$D683&lt;MAX($C683,$E683)),AND($E683&lt;&gt;"",$E683&gt;MIN($C683,IF($D683="",$C683,$D683))),COUNTIFS($A$2:$A$1001,$A683,$B$2:$B$1001,$B683)&gt;1),"INVALID",IFERROR(IF(IF(INDEX(Accounts!$T$2:$T$11,$F683),ROUND(IF($E683="",$C683,MIN($C683,$E683))-(H683),6)&lt;=0,ROUND(IF($E683="",$C683,MIN($C683,$E683))-(H683),6)&lt;0),"BREACHED","OK"),"INCOMPLETE")),"INVALID"))))</f>
        <v/>
      </c>
      <c r="J683" s="33">
        <f>IF(OR(I683="OK",I683="BREACHED"),-INT(ROUND(-(H683)*100,6))/100,I683)</f>
        <v/>
      </c>
    </row>
    <row r="684" ht="18" customHeight="1">
      <c r="A684" s="9" t="n"/>
      <c r="B684" s="32" t="n"/>
      <c r="C684" s="12" t="n"/>
      <c r="D684" s="12" t="n"/>
      <c r="E684" s="12" t="n"/>
      <c r="F684" s="15">
        <f>IFERROR(MATCH($A684,Accounts!$A$2:$A$11,0),"")</f>
        <v/>
      </c>
      <c r="G684" s="14">
        <f>IFERROR(IF(OR($A684="",$F684=""),"",IF(INDEX(Accounts!$P$2:$P$11,$F684)="static",INDEX(Accounts!$Q$2:$Q$11,$F684),IF(INDEX(Accounts!$P$2:$P$11,$F684)="eod_trailing",MAX(INDEX(Accounts!$Q$2:$Q$11,$F684),_xlfn.MAXIFS($C$2:$C$1001,$A$2:$A$1001,$A684,$B$2:$B$1001,"&lt;"&amp;$B684)),MAX(INDEX(Accounts!$Q$2:$Q$11,$F684),_xlfn.MAXIFS($C$2:$C$1001,$A$2:$A$1001,$A684,$B$2:$B$1001,"&lt;"&amp;$B684),_xlfn.MAXIFS($D$2:$D$1001,$A$2:$A$1001,$A684,$B$2:$B$1001,"&lt;="&amp;$B684),$C684)))),"")</f>
        <v/>
      </c>
      <c r="H684" s="15">
        <f>IFERROR(IF(G684="","",IF(INDEX(Accounts!$P$2:$P$11,$F684)="static",INDEX(Accounts!$Q$2:$Q$11,$F684)-INDEX(Accounts!$R$2:$R$11,$F684),IF(INDEX(Accounts!$S$2:$S$11,$F684)="NONE",G684-INDEX(Accounts!$R$2:$R$11,$F684),MIN(G684-INDEX(Accounts!$R$2:$R$11,$F684),INDEX(Accounts!$Q$2:$Q$11,$F684)+INDEX(Accounts!$S$2:$S$11,$F684))))),"")</f>
        <v/>
      </c>
      <c r="I684" s="16">
        <f>IF(AND($A684="",$B684="",$C684="",$D684="",$E684=""),"",IF(OR($A684="",$F684=""),"UNKNOWN_ACCOUNT",IF(OR($B684="",$C684=""),"INCOMPLETE",IFERROR(IF(OR(NOT(ISNUMBER($B684)),NOT(ISNUMBER($C684)),IF(C684="",FALSE,IF(ISNUMBER(C684),OR(C684&lt;=0,C684&gt;100000000,ROUND(C684*100,6)&lt;&gt;INT(ROUND(C684*100,6))),TRUE)),IF(D684="",FALSE,IF(ISNUMBER(D684),OR(D684&lt;=0,D684&gt;100000000,ROUND(D684*100,6)&lt;&gt;INT(ROUND(D684*100,6))),TRUE)),IF(E684="",FALSE,IF(ISNUMBER(E684),OR(E684&lt;=0,E684&gt;100000000,ROUND(E684*100,6)&lt;&gt;INT(ROUND(E684*100,6))),TRUE)),AND($D684&lt;&gt;"",$D684&lt;MAX($C684,$E684)),AND($E684&lt;&gt;"",$E684&gt;MIN($C684,IF($D684="",$C684,$D684))),COUNTIFS($A$2:$A$1001,$A684,$B$2:$B$1001,$B684)&gt;1),"INVALID",IFERROR(IF(IF(INDEX(Accounts!$T$2:$T$11,$F684),ROUND(IF($E684="",$C684,MIN($C684,$E684))-(H684),6)&lt;=0,ROUND(IF($E684="",$C684,MIN($C684,$E684))-(H684),6)&lt;0),"BREACHED","OK"),"INCOMPLETE")),"INVALID"))))</f>
        <v/>
      </c>
      <c r="J684" s="33">
        <f>IF(OR(I684="OK",I684="BREACHED"),-INT(ROUND(-(H684)*100,6))/100,I684)</f>
        <v/>
      </c>
    </row>
    <row r="685" ht="18" customHeight="1">
      <c r="A685" s="9" t="n"/>
      <c r="B685" s="32" t="n"/>
      <c r="C685" s="12" t="n"/>
      <c r="D685" s="12" t="n"/>
      <c r="E685" s="12" t="n"/>
      <c r="F685" s="15">
        <f>IFERROR(MATCH($A685,Accounts!$A$2:$A$11,0),"")</f>
        <v/>
      </c>
      <c r="G685" s="14">
        <f>IFERROR(IF(OR($A685="",$F685=""),"",IF(INDEX(Accounts!$P$2:$P$11,$F685)="static",INDEX(Accounts!$Q$2:$Q$11,$F685),IF(INDEX(Accounts!$P$2:$P$11,$F685)="eod_trailing",MAX(INDEX(Accounts!$Q$2:$Q$11,$F685),_xlfn.MAXIFS($C$2:$C$1001,$A$2:$A$1001,$A685,$B$2:$B$1001,"&lt;"&amp;$B685)),MAX(INDEX(Accounts!$Q$2:$Q$11,$F685),_xlfn.MAXIFS($C$2:$C$1001,$A$2:$A$1001,$A685,$B$2:$B$1001,"&lt;"&amp;$B685),_xlfn.MAXIFS($D$2:$D$1001,$A$2:$A$1001,$A685,$B$2:$B$1001,"&lt;="&amp;$B685),$C685)))),"")</f>
        <v/>
      </c>
      <c r="H685" s="15">
        <f>IFERROR(IF(G685="","",IF(INDEX(Accounts!$P$2:$P$11,$F685)="static",INDEX(Accounts!$Q$2:$Q$11,$F685)-INDEX(Accounts!$R$2:$R$11,$F685),IF(INDEX(Accounts!$S$2:$S$11,$F685)="NONE",G685-INDEX(Accounts!$R$2:$R$11,$F685),MIN(G685-INDEX(Accounts!$R$2:$R$11,$F685),INDEX(Accounts!$Q$2:$Q$11,$F685)+INDEX(Accounts!$S$2:$S$11,$F685))))),"")</f>
        <v/>
      </c>
      <c r="I685" s="16">
        <f>IF(AND($A685="",$B685="",$C685="",$D685="",$E685=""),"",IF(OR($A685="",$F685=""),"UNKNOWN_ACCOUNT",IF(OR($B685="",$C685=""),"INCOMPLETE",IFERROR(IF(OR(NOT(ISNUMBER($B685)),NOT(ISNUMBER($C685)),IF(C685="",FALSE,IF(ISNUMBER(C685),OR(C685&lt;=0,C685&gt;100000000,ROUND(C685*100,6)&lt;&gt;INT(ROUND(C685*100,6))),TRUE)),IF(D685="",FALSE,IF(ISNUMBER(D685),OR(D685&lt;=0,D685&gt;100000000,ROUND(D685*100,6)&lt;&gt;INT(ROUND(D685*100,6))),TRUE)),IF(E685="",FALSE,IF(ISNUMBER(E685),OR(E685&lt;=0,E685&gt;100000000,ROUND(E685*100,6)&lt;&gt;INT(ROUND(E685*100,6))),TRUE)),AND($D685&lt;&gt;"",$D685&lt;MAX($C685,$E685)),AND($E685&lt;&gt;"",$E685&gt;MIN($C685,IF($D685="",$C685,$D685))),COUNTIFS($A$2:$A$1001,$A685,$B$2:$B$1001,$B685)&gt;1),"INVALID",IFERROR(IF(IF(INDEX(Accounts!$T$2:$T$11,$F685),ROUND(IF($E685="",$C685,MIN($C685,$E685))-(H685),6)&lt;=0,ROUND(IF($E685="",$C685,MIN($C685,$E685))-(H685),6)&lt;0),"BREACHED","OK"),"INCOMPLETE")),"INVALID"))))</f>
        <v/>
      </c>
      <c r="J685" s="33">
        <f>IF(OR(I685="OK",I685="BREACHED"),-INT(ROUND(-(H685)*100,6))/100,I685)</f>
        <v/>
      </c>
    </row>
    <row r="686" ht="18" customHeight="1">
      <c r="A686" s="9" t="n"/>
      <c r="B686" s="32" t="n"/>
      <c r="C686" s="12" t="n"/>
      <c r="D686" s="12" t="n"/>
      <c r="E686" s="12" t="n"/>
      <c r="F686" s="15">
        <f>IFERROR(MATCH($A686,Accounts!$A$2:$A$11,0),"")</f>
        <v/>
      </c>
      <c r="G686" s="14">
        <f>IFERROR(IF(OR($A686="",$F686=""),"",IF(INDEX(Accounts!$P$2:$P$11,$F686)="static",INDEX(Accounts!$Q$2:$Q$11,$F686),IF(INDEX(Accounts!$P$2:$P$11,$F686)="eod_trailing",MAX(INDEX(Accounts!$Q$2:$Q$11,$F686),_xlfn.MAXIFS($C$2:$C$1001,$A$2:$A$1001,$A686,$B$2:$B$1001,"&lt;"&amp;$B686)),MAX(INDEX(Accounts!$Q$2:$Q$11,$F686),_xlfn.MAXIFS($C$2:$C$1001,$A$2:$A$1001,$A686,$B$2:$B$1001,"&lt;"&amp;$B686),_xlfn.MAXIFS($D$2:$D$1001,$A$2:$A$1001,$A686,$B$2:$B$1001,"&lt;="&amp;$B686),$C686)))),"")</f>
        <v/>
      </c>
      <c r="H686" s="15">
        <f>IFERROR(IF(G686="","",IF(INDEX(Accounts!$P$2:$P$11,$F686)="static",INDEX(Accounts!$Q$2:$Q$11,$F686)-INDEX(Accounts!$R$2:$R$11,$F686),IF(INDEX(Accounts!$S$2:$S$11,$F686)="NONE",G686-INDEX(Accounts!$R$2:$R$11,$F686),MIN(G686-INDEX(Accounts!$R$2:$R$11,$F686),INDEX(Accounts!$Q$2:$Q$11,$F686)+INDEX(Accounts!$S$2:$S$11,$F686))))),"")</f>
        <v/>
      </c>
      <c r="I686" s="16">
        <f>IF(AND($A686="",$B686="",$C686="",$D686="",$E686=""),"",IF(OR($A686="",$F686=""),"UNKNOWN_ACCOUNT",IF(OR($B686="",$C686=""),"INCOMPLETE",IFERROR(IF(OR(NOT(ISNUMBER($B686)),NOT(ISNUMBER($C686)),IF(C686="",FALSE,IF(ISNUMBER(C686),OR(C686&lt;=0,C686&gt;100000000,ROUND(C686*100,6)&lt;&gt;INT(ROUND(C686*100,6))),TRUE)),IF(D686="",FALSE,IF(ISNUMBER(D686),OR(D686&lt;=0,D686&gt;100000000,ROUND(D686*100,6)&lt;&gt;INT(ROUND(D686*100,6))),TRUE)),IF(E686="",FALSE,IF(ISNUMBER(E686),OR(E686&lt;=0,E686&gt;100000000,ROUND(E686*100,6)&lt;&gt;INT(ROUND(E686*100,6))),TRUE)),AND($D686&lt;&gt;"",$D686&lt;MAX($C686,$E686)),AND($E686&lt;&gt;"",$E686&gt;MIN($C686,IF($D686="",$C686,$D686))),COUNTIFS($A$2:$A$1001,$A686,$B$2:$B$1001,$B686)&gt;1),"INVALID",IFERROR(IF(IF(INDEX(Accounts!$T$2:$T$11,$F686),ROUND(IF($E686="",$C686,MIN($C686,$E686))-(H686),6)&lt;=0,ROUND(IF($E686="",$C686,MIN($C686,$E686))-(H686),6)&lt;0),"BREACHED","OK"),"INCOMPLETE")),"INVALID"))))</f>
        <v/>
      </c>
      <c r="J686" s="33">
        <f>IF(OR(I686="OK",I686="BREACHED"),-INT(ROUND(-(H686)*100,6))/100,I686)</f>
        <v/>
      </c>
    </row>
    <row r="687" ht="18" customHeight="1">
      <c r="A687" s="9" t="n"/>
      <c r="B687" s="32" t="n"/>
      <c r="C687" s="12" t="n"/>
      <c r="D687" s="12" t="n"/>
      <c r="E687" s="12" t="n"/>
      <c r="F687" s="15">
        <f>IFERROR(MATCH($A687,Accounts!$A$2:$A$11,0),"")</f>
        <v/>
      </c>
      <c r="G687" s="14">
        <f>IFERROR(IF(OR($A687="",$F687=""),"",IF(INDEX(Accounts!$P$2:$P$11,$F687)="static",INDEX(Accounts!$Q$2:$Q$11,$F687),IF(INDEX(Accounts!$P$2:$P$11,$F687)="eod_trailing",MAX(INDEX(Accounts!$Q$2:$Q$11,$F687),_xlfn.MAXIFS($C$2:$C$1001,$A$2:$A$1001,$A687,$B$2:$B$1001,"&lt;"&amp;$B687)),MAX(INDEX(Accounts!$Q$2:$Q$11,$F687),_xlfn.MAXIFS($C$2:$C$1001,$A$2:$A$1001,$A687,$B$2:$B$1001,"&lt;"&amp;$B687),_xlfn.MAXIFS($D$2:$D$1001,$A$2:$A$1001,$A687,$B$2:$B$1001,"&lt;="&amp;$B687),$C687)))),"")</f>
        <v/>
      </c>
      <c r="H687" s="15">
        <f>IFERROR(IF(G687="","",IF(INDEX(Accounts!$P$2:$P$11,$F687)="static",INDEX(Accounts!$Q$2:$Q$11,$F687)-INDEX(Accounts!$R$2:$R$11,$F687),IF(INDEX(Accounts!$S$2:$S$11,$F687)="NONE",G687-INDEX(Accounts!$R$2:$R$11,$F687),MIN(G687-INDEX(Accounts!$R$2:$R$11,$F687),INDEX(Accounts!$Q$2:$Q$11,$F687)+INDEX(Accounts!$S$2:$S$11,$F687))))),"")</f>
        <v/>
      </c>
      <c r="I687" s="16">
        <f>IF(AND($A687="",$B687="",$C687="",$D687="",$E687=""),"",IF(OR($A687="",$F687=""),"UNKNOWN_ACCOUNT",IF(OR($B687="",$C687=""),"INCOMPLETE",IFERROR(IF(OR(NOT(ISNUMBER($B687)),NOT(ISNUMBER($C687)),IF(C687="",FALSE,IF(ISNUMBER(C687),OR(C687&lt;=0,C687&gt;100000000,ROUND(C687*100,6)&lt;&gt;INT(ROUND(C687*100,6))),TRUE)),IF(D687="",FALSE,IF(ISNUMBER(D687),OR(D687&lt;=0,D687&gt;100000000,ROUND(D687*100,6)&lt;&gt;INT(ROUND(D687*100,6))),TRUE)),IF(E687="",FALSE,IF(ISNUMBER(E687),OR(E687&lt;=0,E687&gt;100000000,ROUND(E687*100,6)&lt;&gt;INT(ROUND(E687*100,6))),TRUE)),AND($D687&lt;&gt;"",$D687&lt;MAX($C687,$E687)),AND($E687&lt;&gt;"",$E687&gt;MIN($C687,IF($D687="",$C687,$D687))),COUNTIFS($A$2:$A$1001,$A687,$B$2:$B$1001,$B687)&gt;1),"INVALID",IFERROR(IF(IF(INDEX(Accounts!$T$2:$T$11,$F687),ROUND(IF($E687="",$C687,MIN($C687,$E687))-(H687),6)&lt;=0,ROUND(IF($E687="",$C687,MIN($C687,$E687))-(H687),6)&lt;0),"BREACHED","OK"),"INCOMPLETE")),"INVALID"))))</f>
        <v/>
      </c>
      <c r="J687" s="33">
        <f>IF(OR(I687="OK",I687="BREACHED"),-INT(ROUND(-(H687)*100,6))/100,I687)</f>
        <v/>
      </c>
    </row>
    <row r="688" ht="18" customHeight="1">
      <c r="A688" s="9" t="n"/>
      <c r="B688" s="32" t="n"/>
      <c r="C688" s="12" t="n"/>
      <c r="D688" s="12" t="n"/>
      <c r="E688" s="12" t="n"/>
      <c r="F688" s="15">
        <f>IFERROR(MATCH($A688,Accounts!$A$2:$A$11,0),"")</f>
        <v/>
      </c>
      <c r="G688" s="14">
        <f>IFERROR(IF(OR($A688="",$F688=""),"",IF(INDEX(Accounts!$P$2:$P$11,$F688)="static",INDEX(Accounts!$Q$2:$Q$11,$F688),IF(INDEX(Accounts!$P$2:$P$11,$F688)="eod_trailing",MAX(INDEX(Accounts!$Q$2:$Q$11,$F688),_xlfn.MAXIFS($C$2:$C$1001,$A$2:$A$1001,$A688,$B$2:$B$1001,"&lt;"&amp;$B688)),MAX(INDEX(Accounts!$Q$2:$Q$11,$F688),_xlfn.MAXIFS($C$2:$C$1001,$A$2:$A$1001,$A688,$B$2:$B$1001,"&lt;"&amp;$B688),_xlfn.MAXIFS($D$2:$D$1001,$A$2:$A$1001,$A688,$B$2:$B$1001,"&lt;="&amp;$B688),$C688)))),"")</f>
        <v/>
      </c>
      <c r="H688" s="15">
        <f>IFERROR(IF(G688="","",IF(INDEX(Accounts!$P$2:$P$11,$F688)="static",INDEX(Accounts!$Q$2:$Q$11,$F688)-INDEX(Accounts!$R$2:$R$11,$F688),IF(INDEX(Accounts!$S$2:$S$11,$F688)="NONE",G688-INDEX(Accounts!$R$2:$R$11,$F688),MIN(G688-INDEX(Accounts!$R$2:$R$11,$F688),INDEX(Accounts!$Q$2:$Q$11,$F688)+INDEX(Accounts!$S$2:$S$11,$F688))))),"")</f>
        <v/>
      </c>
      <c r="I688" s="16">
        <f>IF(AND($A688="",$B688="",$C688="",$D688="",$E688=""),"",IF(OR($A688="",$F688=""),"UNKNOWN_ACCOUNT",IF(OR($B688="",$C688=""),"INCOMPLETE",IFERROR(IF(OR(NOT(ISNUMBER($B688)),NOT(ISNUMBER($C688)),IF(C688="",FALSE,IF(ISNUMBER(C688),OR(C688&lt;=0,C688&gt;100000000,ROUND(C688*100,6)&lt;&gt;INT(ROUND(C688*100,6))),TRUE)),IF(D688="",FALSE,IF(ISNUMBER(D688),OR(D688&lt;=0,D688&gt;100000000,ROUND(D688*100,6)&lt;&gt;INT(ROUND(D688*100,6))),TRUE)),IF(E688="",FALSE,IF(ISNUMBER(E688),OR(E688&lt;=0,E688&gt;100000000,ROUND(E688*100,6)&lt;&gt;INT(ROUND(E688*100,6))),TRUE)),AND($D688&lt;&gt;"",$D688&lt;MAX($C688,$E688)),AND($E688&lt;&gt;"",$E688&gt;MIN($C688,IF($D688="",$C688,$D688))),COUNTIFS($A$2:$A$1001,$A688,$B$2:$B$1001,$B688)&gt;1),"INVALID",IFERROR(IF(IF(INDEX(Accounts!$T$2:$T$11,$F688),ROUND(IF($E688="",$C688,MIN($C688,$E688))-(H688),6)&lt;=0,ROUND(IF($E688="",$C688,MIN($C688,$E688))-(H688),6)&lt;0),"BREACHED","OK"),"INCOMPLETE")),"INVALID"))))</f>
        <v/>
      </c>
      <c r="J688" s="33">
        <f>IF(OR(I688="OK",I688="BREACHED"),-INT(ROUND(-(H688)*100,6))/100,I688)</f>
        <v/>
      </c>
    </row>
    <row r="689" ht="18" customHeight="1">
      <c r="A689" s="9" t="n"/>
      <c r="B689" s="32" t="n"/>
      <c r="C689" s="12" t="n"/>
      <c r="D689" s="12" t="n"/>
      <c r="E689" s="12" t="n"/>
      <c r="F689" s="15">
        <f>IFERROR(MATCH($A689,Accounts!$A$2:$A$11,0),"")</f>
        <v/>
      </c>
      <c r="G689" s="14">
        <f>IFERROR(IF(OR($A689="",$F689=""),"",IF(INDEX(Accounts!$P$2:$P$11,$F689)="static",INDEX(Accounts!$Q$2:$Q$11,$F689),IF(INDEX(Accounts!$P$2:$P$11,$F689)="eod_trailing",MAX(INDEX(Accounts!$Q$2:$Q$11,$F689),_xlfn.MAXIFS($C$2:$C$1001,$A$2:$A$1001,$A689,$B$2:$B$1001,"&lt;"&amp;$B689)),MAX(INDEX(Accounts!$Q$2:$Q$11,$F689),_xlfn.MAXIFS($C$2:$C$1001,$A$2:$A$1001,$A689,$B$2:$B$1001,"&lt;"&amp;$B689),_xlfn.MAXIFS($D$2:$D$1001,$A$2:$A$1001,$A689,$B$2:$B$1001,"&lt;="&amp;$B689),$C689)))),"")</f>
        <v/>
      </c>
      <c r="H689" s="15">
        <f>IFERROR(IF(G689="","",IF(INDEX(Accounts!$P$2:$P$11,$F689)="static",INDEX(Accounts!$Q$2:$Q$11,$F689)-INDEX(Accounts!$R$2:$R$11,$F689),IF(INDEX(Accounts!$S$2:$S$11,$F689)="NONE",G689-INDEX(Accounts!$R$2:$R$11,$F689),MIN(G689-INDEX(Accounts!$R$2:$R$11,$F689),INDEX(Accounts!$Q$2:$Q$11,$F689)+INDEX(Accounts!$S$2:$S$11,$F689))))),"")</f>
        <v/>
      </c>
      <c r="I689" s="16">
        <f>IF(AND($A689="",$B689="",$C689="",$D689="",$E689=""),"",IF(OR($A689="",$F689=""),"UNKNOWN_ACCOUNT",IF(OR($B689="",$C689=""),"INCOMPLETE",IFERROR(IF(OR(NOT(ISNUMBER($B689)),NOT(ISNUMBER($C689)),IF(C689="",FALSE,IF(ISNUMBER(C689),OR(C689&lt;=0,C689&gt;100000000,ROUND(C689*100,6)&lt;&gt;INT(ROUND(C689*100,6))),TRUE)),IF(D689="",FALSE,IF(ISNUMBER(D689),OR(D689&lt;=0,D689&gt;100000000,ROUND(D689*100,6)&lt;&gt;INT(ROUND(D689*100,6))),TRUE)),IF(E689="",FALSE,IF(ISNUMBER(E689),OR(E689&lt;=0,E689&gt;100000000,ROUND(E689*100,6)&lt;&gt;INT(ROUND(E689*100,6))),TRUE)),AND($D689&lt;&gt;"",$D689&lt;MAX($C689,$E689)),AND($E689&lt;&gt;"",$E689&gt;MIN($C689,IF($D689="",$C689,$D689))),COUNTIFS($A$2:$A$1001,$A689,$B$2:$B$1001,$B689)&gt;1),"INVALID",IFERROR(IF(IF(INDEX(Accounts!$T$2:$T$11,$F689),ROUND(IF($E689="",$C689,MIN($C689,$E689))-(H689),6)&lt;=0,ROUND(IF($E689="",$C689,MIN($C689,$E689))-(H689),6)&lt;0),"BREACHED","OK"),"INCOMPLETE")),"INVALID"))))</f>
        <v/>
      </c>
      <c r="J689" s="33">
        <f>IF(OR(I689="OK",I689="BREACHED"),-INT(ROUND(-(H689)*100,6))/100,I689)</f>
        <v/>
      </c>
    </row>
    <row r="690" ht="18" customHeight="1">
      <c r="A690" s="9" t="n"/>
      <c r="B690" s="32" t="n"/>
      <c r="C690" s="12" t="n"/>
      <c r="D690" s="12" t="n"/>
      <c r="E690" s="12" t="n"/>
      <c r="F690" s="15">
        <f>IFERROR(MATCH($A690,Accounts!$A$2:$A$11,0),"")</f>
        <v/>
      </c>
      <c r="G690" s="14">
        <f>IFERROR(IF(OR($A690="",$F690=""),"",IF(INDEX(Accounts!$P$2:$P$11,$F690)="static",INDEX(Accounts!$Q$2:$Q$11,$F690),IF(INDEX(Accounts!$P$2:$P$11,$F690)="eod_trailing",MAX(INDEX(Accounts!$Q$2:$Q$11,$F690),_xlfn.MAXIFS($C$2:$C$1001,$A$2:$A$1001,$A690,$B$2:$B$1001,"&lt;"&amp;$B690)),MAX(INDEX(Accounts!$Q$2:$Q$11,$F690),_xlfn.MAXIFS($C$2:$C$1001,$A$2:$A$1001,$A690,$B$2:$B$1001,"&lt;"&amp;$B690),_xlfn.MAXIFS($D$2:$D$1001,$A$2:$A$1001,$A690,$B$2:$B$1001,"&lt;="&amp;$B690),$C690)))),"")</f>
        <v/>
      </c>
      <c r="H690" s="15">
        <f>IFERROR(IF(G690="","",IF(INDEX(Accounts!$P$2:$P$11,$F690)="static",INDEX(Accounts!$Q$2:$Q$11,$F690)-INDEX(Accounts!$R$2:$R$11,$F690),IF(INDEX(Accounts!$S$2:$S$11,$F690)="NONE",G690-INDEX(Accounts!$R$2:$R$11,$F690),MIN(G690-INDEX(Accounts!$R$2:$R$11,$F690),INDEX(Accounts!$Q$2:$Q$11,$F690)+INDEX(Accounts!$S$2:$S$11,$F690))))),"")</f>
        <v/>
      </c>
      <c r="I690" s="16">
        <f>IF(AND($A690="",$B690="",$C690="",$D690="",$E690=""),"",IF(OR($A690="",$F690=""),"UNKNOWN_ACCOUNT",IF(OR($B690="",$C690=""),"INCOMPLETE",IFERROR(IF(OR(NOT(ISNUMBER($B690)),NOT(ISNUMBER($C690)),IF(C690="",FALSE,IF(ISNUMBER(C690),OR(C690&lt;=0,C690&gt;100000000,ROUND(C690*100,6)&lt;&gt;INT(ROUND(C690*100,6))),TRUE)),IF(D690="",FALSE,IF(ISNUMBER(D690),OR(D690&lt;=0,D690&gt;100000000,ROUND(D690*100,6)&lt;&gt;INT(ROUND(D690*100,6))),TRUE)),IF(E690="",FALSE,IF(ISNUMBER(E690),OR(E690&lt;=0,E690&gt;100000000,ROUND(E690*100,6)&lt;&gt;INT(ROUND(E690*100,6))),TRUE)),AND($D690&lt;&gt;"",$D690&lt;MAX($C690,$E690)),AND($E690&lt;&gt;"",$E690&gt;MIN($C690,IF($D690="",$C690,$D690))),COUNTIFS($A$2:$A$1001,$A690,$B$2:$B$1001,$B690)&gt;1),"INVALID",IFERROR(IF(IF(INDEX(Accounts!$T$2:$T$11,$F690),ROUND(IF($E690="",$C690,MIN($C690,$E690))-(H690),6)&lt;=0,ROUND(IF($E690="",$C690,MIN($C690,$E690))-(H690),6)&lt;0),"BREACHED","OK"),"INCOMPLETE")),"INVALID"))))</f>
        <v/>
      </c>
      <c r="J690" s="33">
        <f>IF(OR(I690="OK",I690="BREACHED"),-INT(ROUND(-(H690)*100,6))/100,I690)</f>
        <v/>
      </c>
    </row>
    <row r="691" ht="18" customHeight="1">
      <c r="A691" s="9" t="n"/>
      <c r="B691" s="32" t="n"/>
      <c r="C691" s="12" t="n"/>
      <c r="D691" s="12" t="n"/>
      <c r="E691" s="12" t="n"/>
      <c r="F691" s="15">
        <f>IFERROR(MATCH($A691,Accounts!$A$2:$A$11,0),"")</f>
        <v/>
      </c>
      <c r="G691" s="14">
        <f>IFERROR(IF(OR($A691="",$F691=""),"",IF(INDEX(Accounts!$P$2:$P$11,$F691)="static",INDEX(Accounts!$Q$2:$Q$11,$F691),IF(INDEX(Accounts!$P$2:$P$11,$F691)="eod_trailing",MAX(INDEX(Accounts!$Q$2:$Q$11,$F691),_xlfn.MAXIFS($C$2:$C$1001,$A$2:$A$1001,$A691,$B$2:$B$1001,"&lt;"&amp;$B691)),MAX(INDEX(Accounts!$Q$2:$Q$11,$F691),_xlfn.MAXIFS($C$2:$C$1001,$A$2:$A$1001,$A691,$B$2:$B$1001,"&lt;"&amp;$B691),_xlfn.MAXIFS($D$2:$D$1001,$A$2:$A$1001,$A691,$B$2:$B$1001,"&lt;="&amp;$B691),$C691)))),"")</f>
        <v/>
      </c>
      <c r="H691" s="15">
        <f>IFERROR(IF(G691="","",IF(INDEX(Accounts!$P$2:$P$11,$F691)="static",INDEX(Accounts!$Q$2:$Q$11,$F691)-INDEX(Accounts!$R$2:$R$11,$F691),IF(INDEX(Accounts!$S$2:$S$11,$F691)="NONE",G691-INDEX(Accounts!$R$2:$R$11,$F691),MIN(G691-INDEX(Accounts!$R$2:$R$11,$F691),INDEX(Accounts!$Q$2:$Q$11,$F691)+INDEX(Accounts!$S$2:$S$11,$F691))))),"")</f>
        <v/>
      </c>
      <c r="I691" s="16">
        <f>IF(AND($A691="",$B691="",$C691="",$D691="",$E691=""),"",IF(OR($A691="",$F691=""),"UNKNOWN_ACCOUNT",IF(OR($B691="",$C691=""),"INCOMPLETE",IFERROR(IF(OR(NOT(ISNUMBER($B691)),NOT(ISNUMBER($C691)),IF(C691="",FALSE,IF(ISNUMBER(C691),OR(C691&lt;=0,C691&gt;100000000,ROUND(C691*100,6)&lt;&gt;INT(ROUND(C691*100,6))),TRUE)),IF(D691="",FALSE,IF(ISNUMBER(D691),OR(D691&lt;=0,D691&gt;100000000,ROUND(D691*100,6)&lt;&gt;INT(ROUND(D691*100,6))),TRUE)),IF(E691="",FALSE,IF(ISNUMBER(E691),OR(E691&lt;=0,E691&gt;100000000,ROUND(E691*100,6)&lt;&gt;INT(ROUND(E691*100,6))),TRUE)),AND($D691&lt;&gt;"",$D691&lt;MAX($C691,$E691)),AND($E691&lt;&gt;"",$E691&gt;MIN($C691,IF($D691="",$C691,$D691))),COUNTIFS($A$2:$A$1001,$A691,$B$2:$B$1001,$B691)&gt;1),"INVALID",IFERROR(IF(IF(INDEX(Accounts!$T$2:$T$11,$F691),ROUND(IF($E691="",$C691,MIN($C691,$E691))-(H691),6)&lt;=0,ROUND(IF($E691="",$C691,MIN($C691,$E691))-(H691),6)&lt;0),"BREACHED","OK"),"INCOMPLETE")),"INVALID"))))</f>
        <v/>
      </c>
      <c r="J691" s="33">
        <f>IF(OR(I691="OK",I691="BREACHED"),-INT(ROUND(-(H691)*100,6))/100,I691)</f>
        <v/>
      </c>
    </row>
    <row r="692" ht="18" customHeight="1">
      <c r="A692" s="9" t="n"/>
      <c r="B692" s="32" t="n"/>
      <c r="C692" s="12" t="n"/>
      <c r="D692" s="12" t="n"/>
      <c r="E692" s="12" t="n"/>
      <c r="F692" s="15">
        <f>IFERROR(MATCH($A692,Accounts!$A$2:$A$11,0),"")</f>
        <v/>
      </c>
      <c r="G692" s="14">
        <f>IFERROR(IF(OR($A692="",$F692=""),"",IF(INDEX(Accounts!$P$2:$P$11,$F692)="static",INDEX(Accounts!$Q$2:$Q$11,$F692),IF(INDEX(Accounts!$P$2:$P$11,$F692)="eod_trailing",MAX(INDEX(Accounts!$Q$2:$Q$11,$F692),_xlfn.MAXIFS($C$2:$C$1001,$A$2:$A$1001,$A692,$B$2:$B$1001,"&lt;"&amp;$B692)),MAX(INDEX(Accounts!$Q$2:$Q$11,$F692),_xlfn.MAXIFS($C$2:$C$1001,$A$2:$A$1001,$A692,$B$2:$B$1001,"&lt;"&amp;$B692),_xlfn.MAXIFS($D$2:$D$1001,$A$2:$A$1001,$A692,$B$2:$B$1001,"&lt;="&amp;$B692),$C692)))),"")</f>
        <v/>
      </c>
      <c r="H692" s="15">
        <f>IFERROR(IF(G692="","",IF(INDEX(Accounts!$P$2:$P$11,$F692)="static",INDEX(Accounts!$Q$2:$Q$11,$F692)-INDEX(Accounts!$R$2:$R$11,$F692),IF(INDEX(Accounts!$S$2:$S$11,$F692)="NONE",G692-INDEX(Accounts!$R$2:$R$11,$F692),MIN(G692-INDEX(Accounts!$R$2:$R$11,$F692),INDEX(Accounts!$Q$2:$Q$11,$F692)+INDEX(Accounts!$S$2:$S$11,$F692))))),"")</f>
        <v/>
      </c>
      <c r="I692" s="16">
        <f>IF(AND($A692="",$B692="",$C692="",$D692="",$E692=""),"",IF(OR($A692="",$F692=""),"UNKNOWN_ACCOUNT",IF(OR($B692="",$C692=""),"INCOMPLETE",IFERROR(IF(OR(NOT(ISNUMBER($B692)),NOT(ISNUMBER($C692)),IF(C692="",FALSE,IF(ISNUMBER(C692),OR(C692&lt;=0,C692&gt;100000000,ROUND(C692*100,6)&lt;&gt;INT(ROUND(C692*100,6))),TRUE)),IF(D692="",FALSE,IF(ISNUMBER(D692),OR(D692&lt;=0,D692&gt;100000000,ROUND(D692*100,6)&lt;&gt;INT(ROUND(D692*100,6))),TRUE)),IF(E692="",FALSE,IF(ISNUMBER(E692),OR(E692&lt;=0,E692&gt;100000000,ROUND(E692*100,6)&lt;&gt;INT(ROUND(E692*100,6))),TRUE)),AND($D692&lt;&gt;"",$D692&lt;MAX($C692,$E692)),AND($E692&lt;&gt;"",$E692&gt;MIN($C692,IF($D692="",$C692,$D692))),COUNTIFS($A$2:$A$1001,$A692,$B$2:$B$1001,$B692)&gt;1),"INVALID",IFERROR(IF(IF(INDEX(Accounts!$T$2:$T$11,$F692),ROUND(IF($E692="",$C692,MIN($C692,$E692))-(H692),6)&lt;=0,ROUND(IF($E692="",$C692,MIN($C692,$E692))-(H692),6)&lt;0),"BREACHED","OK"),"INCOMPLETE")),"INVALID"))))</f>
        <v/>
      </c>
      <c r="J692" s="33">
        <f>IF(OR(I692="OK",I692="BREACHED"),-INT(ROUND(-(H692)*100,6))/100,I692)</f>
        <v/>
      </c>
    </row>
    <row r="693" ht="18" customHeight="1">
      <c r="A693" s="9" t="n"/>
      <c r="B693" s="32" t="n"/>
      <c r="C693" s="12" t="n"/>
      <c r="D693" s="12" t="n"/>
      <c r="E693" s="12" t="n"/>
      <c r="F693" s="15">
        <f>IFERROR(MATCH($A693,Accounts!$A$2:$A$11,0),"")</f>
        <v/>
      </c>
      <c r="G693" s="14">
        <f>IFERROR(IF(OR($A693="",$F693=""),"",IF(INDEX(Accounts!$P$2:$P$11,$F693)="static",INDEX(Accounts!$Q$2:$Q$11,$F693),IF(INDEX(Accounts!$P$2:$P$11,$F693)="eod_trailing",MAX(INDEX(Accounts!$Q$2:$Q$11,$F693),_xlfn.MAXIFS($C$2:$C$1001,$A$2:$A$1001,$A693,$B$2:$B$1001,"&lt;"&amp;$B693)),MAX(INDEX(Accounts!$Q$2:$Q$11,$F693),_xlfn.MAXIFS($C$2:$C$1001,$A$2:$A$1001,$A693,$B$2:$B$1001,"&lt;"&amp;$B693),_xlfn.MAXIFS($D$2:$D$1001,$A$2:$A$1001,$A693,$B$2:$B$1001,"&lt;="&amp;$B693),$C693)))),"")</f>
        <v/>
      </c>
      <c r="H693" s="15">
        <f>IFERROR(IF(G693="","",IF(INDEX(Accounts!$P$2:$P$11,$F693)="static",INDEX(Accounts!$Q$2:$Q$11,$F693)-INDEX(Accounts!$R$2:$R$11,$F693),IF(INDEX(Accounts!$S$2:$S$11,$F693)="NONE",G693-INDEX(Accounts!$R$2:$R$11,$F693),MIN(G693-INDEX(Accounts!$R$2:$R$11,$F693),INDEX(Accounts!$Q$2:$Q$11,$F693)+INDEX(Accounts!$S$2:$S$11,$F693))))),"")</f>
        <v/>
      </c>
      <c r="I693" s="16">
        <f>IF(AND($A693="",$B693="",$C693="",$D693="",$E693=""),"",IF(OR($A693="",$F693=""),"UNKNOWN_ACCOUNT",IF(OR($B693="",$C693=""),"INCOMPLETE",IFERROR(IF(OR(NOT(ISNUMBER($B693)),NOT(ISNUMBER($C693)),IF(C693="",FALSE,IF(ISNUMBER(C693),OR(C693&lt;=0,C693&gt;100000000,ROUND(C693*100,6)&lt;&gt;INT(ROUND(C693*100,6))),TRUE)),IF(D693="",FALSE,IF(ISNUMBER(D693),OR(D693&lt;=0,D693&gt;100000000,ROUND(D693*100,6)&lt;&gt;INT(ROUND(D693*100,6))),TRUE)),IF(E693="",FALSE,IF(ISNUMBER(E693),OR(E693&lt;=0,E693&gt;100000000,ROUND(E693*100,6)&lt;&gt;INT(ROUND(E693*100,6))),TRUE)),AND($D693&lt;&gt;"",$D693&lt;MAX($C693,$E693)),AND($E693&lt;&gt;"",$E693&gt;MIN($C693,IF($D693="",$C693,$D693))),COUNTIFS($A$2:$A$1001,$A693,$B$2:$B$1001,$B693)&gt;1),"INVALID",IFERROR(IF(IF(INDEX(Accounts!$T$2:$T$11,$F693),ROUND(IF($E693="",$C693,MIN($C693,$E693))-(H693),6)&lt;=0,ROUND(IF($E693="",$C693,MIN($C693,$E693))-(H693),6)&lt;0),"BREACHED","OK"),"INCOMPLETE")),"INVALID"))))</f>
        <v/>
      </c>
      <c r="J693" s="33">
        <f>IF(OR(I693="OK",I693="BREACHED"),-INT(ROUND(-(H693)*100,6))/100,I693)</f>
        <v/>
      </c>
    </row>
    <row r="694" ht="18" customHeight="1">
      <c r="A694" s="9" t="n"/>
      <c r="B694" s="32" t="n"/>
      <c r="C694" s="12" t="n"/>
      <c r="D694" s="12" t="n"/>
      <c r="E694" s="12" t="n"/>
      <c r="F694" s="15">
        <f>IFERROR(MATCH($A694,Accounts!$A$2:$A$11,0),"")</f>
        <v/>
      </c>
      <c r="G694" s="14">
        <f>IFERROR(IF(OR($A694="",$F694=""),"",IF(INDEX(Accounts!$P$2:$P$11,$F694)="static",INDEX(Accounts!$Q$2:$Q$11,$F694),IF(INDEX(Accounts!$P$2:$P$11,$F694)="eod_trailing",MAX(INDEX(Accounts!$Q$2:$Q$11,$F694),_xlfn.MAXIFS($C$2:$C$1001,$A$2:$A$1001,$A694,$B$2:$B$1001,"&lt;"&amp;$B694)),MAX(INDEX(Accounts!$Q$2:$Q$11,$F694),_xlfn.MAXIFS($C$2:$C$1001,$A$2:$A$1001,$A694,$B$2:$B$1001,"&lt;"&amp;$B694),_xlfn.MAXIFS($D$2:$D$1001,$A$2:$A$1001,$A694,$B$2:$B$1001,"&lt;="&amp;$B694),$C694)))),"")</f>
        <v/>
      </c>
      <c r="H694" s="15">
        <f>IFERROR(IF(G694="","",IF(INDEX(Accounts!$P$2:$P$11,$F694)="static",INDEX(Accounts!$Q$2:$Q$11,$F694)-INDEX(Accounts!$R$2:$R$11,$F694),IF(INDEX(Accounts!$S$2:$S$11,$F694)="NONE",G694-INDEX(Accounts!$R$2:$R$11,$F694),MIN(G694-INDEX(Accounts!$R$2:$R$11,$F694),INDEX(Accounts!$Q$2:$Q$11,$F694)+INDEX(Accounts!$S$2:$S$11,$F694))))),"")</f>
        <v/>
      </c>
      <c r="I694" s="16">
        <f>IF(AND($A694="",$B694="",$C694="",$D694="",$E694=""),"",IF(OR($A694="",$F694=""),"UNKNOWN_ACCOUNT",IF(OR($B694="",$C694=""),"INCOMPLETE",IFERROR(IF(OR(NOT(ISNUMBER($B694)),NOT(ISNUMBER($C694)),IF(C694="",FALSE,IF(ISNUMBER(C694),OR(C694&lt;=0,C694&gt;100000000,ROUND(C694*100,6)&lt;&gt;INT(ROUND(C694*100,6))),TRUE)),IF(D694="",FALSE,IF(ISNUMBER(D694),OR(D694&lt;=0,D694&gt;100000000,ROUND(D694*100,6)&lt;&gt;INT(ROUND(D694*100,6))),TRUE)),IF(E694="",FALSE,IF(ISNUMBER(E694),OR(E694&lt;=0,E694&gt;100000000,ROUND(E694*100,6)&lt;&gt;INT(ROUND(E694*100,6))),TRUE)),AND($D694&lt;&gt;"",$D694&lt;MAX($C694,$E694)),AND($E694&lt;&gt;"",$E694&gt;MIN($C694,IF($D694="",$C694,$D694))),COUNTIFS($A$2:$A$1001,$A694,$B$2:$B$1001,$B694)&gt;1),"INVALID",IFERROR(IF(IF(INDEX(Accounts!$T$2:$T$11,$F694),ROUND(IF($E694="",$C694,MIN($C694,$E694))-(H694),6)&lt;=0,ROUND(IF($E694="",$C694,MIN($C694,$E694))-(H694),6)&lt;0),"BREACHED","OK"),"INCOMPLETE")),"INVALID"))))</f>
        <v/>
      </c>
      <c r="J694" s="33">
        <f>IF(OR(I694="OK",I694="BREACHED"),-INT(ROUND(-(H694)*100,6))/100,I694)</f>
        <v/>
      </c>
    </row>
    <row r="695" ht="18" customHeight="1">
      <c r="A695" s="9" t="n"/>
      <c r="B695" s="32" t="n"/>
      <c r="C695" s="12" t="n"/>
      <c r="D695" s="12" t="n"/>
      <c r="E695" s="12" t="n"/>
      <c r="F695" s="15">
        <f>IFERROR(MATCH($A695,Accounts!$A$2:$A$11,0),"")</f>
        <v/>
      </c>
      <c r="G695" s="14">
        <f>IFERROR(IF(OR($A695="",$F695=""),"",IF(INDEX(Accounts!$P$2:$P$11,$F695)="static",INDEX(Accounts!$Q$2:$Q$11,$F695),IF(INDEX(Accounts!$P$2:$P$11,$F695)="eod_trailing",MAX(INDEX(Accounts!$Q$2:$Q$11,$F695),_xlfn.MAXIFS($C$2:$C$1001,$A$2:$A$1001,$A695,$B$2:$B$1001,"&lt;"&amp;$B695)),MAX(INDEX(Accounts!$Q$2:$Q$11,$F695),_xlfn.MAXIFS($C$2:$C$1001,$A$2:$A$1001,$A695,$B$2:$B$1001,"&lt;"&amp;$B695),_xlfn.MAXIFS($D$2:$D$1001,$A$2:$A$1001,$A695,$B$2:$B$1001,"&lt;="&amp;$B695),$C695)))),"")</f>
        <v/>
      </c>
      <c r="H695" s="15">
        <f>IFERROR(IF(G695="","",IF(INDEX(Accounts!$P$2:$P$11,$F695)="static",INDEX(Accounts!$Q$2:$Q$11,$F695)-INDEX(Accounts!$R$2:$R$11,$F695),IF(INDEX(Accounts!$S$2:$S$11,$F695)="NONE",G695-INDEX(Accounts!$R$2:$R$11,$F695),MIN(G695-INDEX(Accounts!$R$2:$R$11,$F695),INDEX(Accounts!$Q$2:$Q$11,$F695)+INDEX(Accounts!$S$2:$S$11,$F695))))),"")</f>
        <v/>
      </c>
      <c r="I695" s="16">
        <f>IF(AND($A695="",$B695="",$C695="",$D695="",$E695=""),"",IF(OR($A695="",$F695=""),"UNKNOWN_ACCOUNT",IF(OR($B695="",$C695=""),"INCOMPLETE",IFERROR(IF(OR(NOT(ISNUMBER($B695)),NOT(ISNUMBER($C695)),IF(C695="",FALSE,IF(ISNUMBER(C695),OR(C695&lt;=0,C695&gt;100000000,ROUND(C695*100,6)&lt;&gt;INT(ROUND(C695*100,6))),TRUE)),IF(D695="",FALSE,IF(ISNUMBER(D695),OR(D695&lt;=0,D695&gt;100000000,ROUND(D695*100,6)&lt;&gt;INT(ROUND(D695*100,6))),TRUE)),IF(E695="",FALSE,IF(ISNUMBER(E695),OR(E695&lt;=0,E695&gt;100000000,ROUND(E695*100,6)&lt;&gt;INT(ROUND(E695*100,6))),TRUE)),AND($D695&lt;&gt;"",$D695&lt;MAX($C695,$E695)),AND($E695&lt;&gt;"",$E695&gt;MIN($C695,IF($D695="",$C695,$D695))),COUNTIFS($A$2:$A$1001,$A695,$B$2:$B$1001,$B695)&gt;1),"INVALID",IFERROR(IF(IF(INDEX(Accounts!$T$2:$T$11,$F695),ROUND(IF($E695="",$C695,MIN($C695,$E695))-(H695),6)&lt;=0,ROUND(IF($E695="",$C695,MIN($C695,$E695))-(H695),6)&lt;0),"BREACHED","OK"),"INCOMPLETE")),"INVALID"))))</f>
        <v/>
      </c>
      <c r="J695" s="33">
        <f>IF(OR(I695="OK",I695="BREACHED"),-INT(ROUND(-(H695)*100,6))/100,I695)</f>
        <v/>
      </c>
    </row>
    <row r="696" ht="18" customHeight="1">
      <c r="A696" s="9" t="n"/>
      <c r="B696" s="32" t="n"/>
      <c r="C696" s="12" t="n"/>
      <c r="D696" s="12" t="n"/>
      <c r="E696" s="12" t="n"/>
      <c r="F696" s="15">
        <f>IFERROR(MATCH($A696,Accounts!$A$2:$A$11,0),"")</f>
        <v/>
      </c>
      <c r="G696" s="14">
        <f>IFERROR(IF(OR($A696="",$F696=""),"",IF(INDEX(Accounts!$P$2:$P$11,$F696)="static",INDEX(Accounts!$Q$2:$Q$11,$F696),IF(INDEX(Accounts!$P$2:$P$11,$F696)="eod_trailing",MAX(INDEX(Accounts!$Q$2:$Q$11,$F696),_xlfn.MAXIFS($C$2:$C$1001,$A$2:$A$1001,$A696,$B$2:$B$1001,"&lt;"&amp;$B696)),MAX(INDEX(Accounts!$Q$2:$Q$11,$F696),_xlfn.MAXIFS($C$2:$C$1001,$A$2:$A$1001,$A696,$B$2:$B$1001,"&lt;"&amp;$B696),_xlfn.MAXIFS($D$2:$D$1001,$A$2:$A$1001,$A696,$B$2:$B$1001,"&lt;="&amp;$B696),$C696)))),"")</f>
        <v/>
      </c>
      <c r="H696" s="15">
        <f>IFERROR(IF(G696="","",IF(INDEX(Accounts!$P$2:$P$11,$F696)="static",INDEX(Accounts!$Q$2:$Q$11,$F696)-INDEX(Accounts!$R$2:$R$11,$F696),IF(INDEX(Accounts!$S$2:$S$11,$F696)="NONE",G696-INDEX(Accounts!$R$2:$R$11,$F696),MIN(G696-INDEX(Accounts!$R$2:$R$11,$F696),INDEX(Accounts!$Q$2:$Q$11,$F696)+INDEX(Accounts!$S$2:$S$11,$F696))))),"")</f>
        <v/>
      </c>
      <c r="I696" s="16">
        <f>IF(AND($A696="",$B696="",$C696="",$D696="",$E696=""),"",IF(OR($A696="",$F696=""),"UNKNOWN_ACCOUNT",IF(OR($B696="",$C696=""),"INCOMPLETE",IFERROR(IF(OR(NOT(ISNUMBER($B696)),NOT(ISNUMBER($C696)),IF(C696="",FALSE,IF(ISNUMBER(C696),OR(C696&lt;=0,C696&gt;100000000,ROUND(C696*100,6)&lt;&gt;INT(ROUND(C696*100,6))),TRUE)),IF(D696="",FALSE,IF(ISNUMBER(D696),OR(D696&lt;=0,D696&gt;100000000,ROUND(D696*100,6)&lt;&gt;INT(ROUND(D696*100,6))),TRUE)),IF(E696="",FALSE,IF(ISNUMBER(E696),OR(E696&lt;=0,E696&gt;100000000,ROUND(E696*100,6)&lt;&gt;INT(ROUND(E696*100,6))),TRUE)),AND($D696&lt;&gt;"",$D696&lt;MAX($C696,$E696)),AND($E696&lt;&gt;"",$E696&gt;MIN($C696,IF($D696="",$C696,$D696))),COUNTIFS($A$2:$A$1001,$A696,$B$2:$B$1001,$B696)&gt;1),"INVALID",IFERROR(IF(IF(INDEX(Accounts!$T$2:$T$11,$F696),ROUND(IF($E696="",$C696,MIN($C696,$E696))-(H696),6)&lt;=0,ROUND(IF($E696="",$C696,MIN($C696,$E696))-(H696),6)&lt;0),"BREACHED","OK"),"INCOMPLETE")),"INVALID"))))</f>
        <v/>
      </c>
      <c r="J696" s="33">
        <f>IF(OR(I696="OK",I696="BREACHED"),-INT(ROUND(-(H696)*100,6))/100,I696)</f>
        <v/>
      </c>
    </row>
    <row r="697" ht="18" customHeight="1">
      <c r="A697" s="9" t="n"/>
      <c r="B697" s="32" t="n"/>
      <c r="C697" s="12" t="n"/>
      <c r="D697" s="12" t="n"/>
      <c r="E697" s="12" t="n"/>
      <c r="F697" s="15">
        <f>IFERROR(MATCH($A697,Accounts!$A$2:$A$11,0),"")</f>
        <v/>
      </c>
      <c r="G697" s="14">
        <f>IFERROR(IF(OR($A697="",$F697=""),"",IF(INDEX(Accounts!$P$2:$P$11,$F697)="static",INDEX(Accounts!$Q$2:$Q$11,$F697),IF(INDEX(Accounts!$P$2:$P$11,$F697)="eod_trailing",MAX(INDEX(Accounts!$Q$2:$Q$11,$F697),_xlfn.MAXIFS($C$2:$C$1001,$A$2:$A$1001,$A697,$B$2:$B$1001,"&lt;"&amp;$B697)),MAX(INDEX(Accounts!$Q$2:$Q$11,$F697),_xlfn.MAXIFS($C$2:$C$1001,$A$2:$A$1001,$A697,$B$2:$B$1001,"&lt;"&amp;$B697),_xlfn.MAXIFS($D$2:$D$1001,$A$2:$A$1001,$A697,$B$2:$B$1001,"&lt;="&amp;$B697),$C697)))),"")</f>
        <v/>
      </c>
      <c r="H697" s="15">
        <f>IFERROR(IF(G697="","",IF(INDEX(Accounts!$P$2:$P$11,$F697)="static",INDEX(Accounts!$Q$2:$Q$11,$F697)-INDEX(Accounts!$R$2:$R$11,$F697),IF(INDEX(Accounts!$S$2:$S$11,$F697)="NONE",G697-INDEX(Accounts!$R$2:$R$11,$F697),MIN(G697-INDEX(Accounts!$R$2:$R$11,$F697),INDEX(Accounts!$Q$2:$Q$11,$F697)+INDEX(Accounts!$S$2:$S$11,$F697))))),"")</f>
        <v/>
      </c>
      <c r="I697" s="16">
        <f>IF(AND($A697="",$B697="",$C697="",$D697="",$E697=""),"",IF(OR($A697="",$F697=""),"UNKNOWN_ACCOUNT",IF(OR($B697="",$C697=""),"INCOMPLETE",IFERROR(IF(OR(NOT(ISNUMBER($B697)),NOT(ISNUMBER($C697)),IF(C697="",FALSE,IF(ISNUMBER(C697),OR(C697&lt;=0,C697&gt;100000000,ROUND(C697*100,6)&lt;&gt;INT(ROUND(C697*100,6))),TRUE)),IF(D697="",FALSE,IF(ISNUMBER(D697),OR(D697&lt;=0,D697&gt;100000000,ROUND(D697*100,6)&lt;&gt;INT(ROUND(D697*100,6))),TRUE)),IF(E697="",FALSE,IF(ISNUMBER(E697),OR(E697&lt;=0,E697&gt;100000000,ROUND(E697*100,6)&lt;&gt;INT(ROUND(E697*100,6))),TRUE)),AND($D697&lt;&gt;"",$D697&lt;MAX($C697,$E697)),AND($E697&lt;&gt;"",$E697&gt;MIN($C697,IF($D697="",$C697,$D697))),COUNTIFS($A$2:$A$1001,$A697,$B$2:$B$1001,$B697)&gt;1),"INVALID",IFERROR(IF(IF(INDEX(Accounts!$T$2:$T$11,$F697),ROUND(IF($E697="",$C697,MIN($C697,$E697))-(H697),6)&lt;=0,ROUND(IF($E697="",$C697,MIN($C697,$E697))-(H697),6)&lt;0),"BREACHED","OK"),"INCOMPLETE")),"INVALID"))))</f>
        <v/>
      </c>
      <c r="J697" s="33">
        <f>IF(OR(I697="OK",I697="BREACHED"),-INT(ROUND(-(H697)*100,6))/100,I697)</f>
        <v/>
      </c>
    </row>
    <row r="698" ht="18" customHeight="1">
      <c r="A698" s="9" t="n"/>
      <c r="B698" s="32" t="n"/>
      <c r="C698" s="12" t="n"/>
      <c r="D698" s="12" t="n"/>
      <c r="E698" s="12" t="n"/>
      <c r="F698" s="15">
        <f>IFERROR(MATCH($A698,Accounts!$A$2:$A$11,0),"")</f>
        <v/>
      </c>
      <c r="G698" s="14">
        <f>IFERROR(IF(OR($A698="",$F698=""),"",IF(INDEX(Accounts!$P$2:$P$11,$F698)="static",INDEX(Accounts!$Q$2:$Q$11,$F698),IF(INDEX(Accounts!$P$2:$P$11,$F698)="eod_trailing",MAX(INDEX(Accounts!$Q$2:$Q$11,$F698),_xlfn.MAXIFS($C$2:$C$1001,$A$2:$A$1001,$A698,$B$2:$B$1001,"&lt;"&amp;$B698)),MAX(INDEX(Accounts!$Q$2:$Q$11,$F698),_xlfn.MAXIFS($C$2:$C$1001,$A$2:$A$1001,$A698,$B$2:$B$1001,"&lt;"&amp;$B698),_xlfn.MAXIFS($D$2:$D$1001,$A$2:$A$1001,$A698,$B$2:$B$1001,"&lt;="&amp;$B698),$C698)))),"")</f>
        <v/>
      </c>
      <c r="H698" s="15">
        <f>IFERROR(IF(G698="","",IF(INDEX(Accounts!$P$2:$P$11,$F698)="static",INDEX(Accounts!$Q$2:$Q$11,$F698)-INDEX(Accounts!$R$2:$R$11,$F698),IF(INDEX(Accounts!$S$2:$S$11,$F698)="NONE",G698-INDEX(Accounts!$R$2:$R$11,$F698),MIN(G698-INDEX(Accounts!$R$2:$R$11,$F698),INDEX(Accounts!$Q$2:$Q$11,$F698)+INDEX(Accounts!$S$2:$S$11,$F698))))),"")</f>
        <v/>
      </c>
      <c r="I698" s="16">
        <f>IF(AND($A698="",$B698="",$C698="",$D698="",$E698=""),"",IF(OR($A698="",$F698=""),"UNKNOWN_ACCOUNT",IF(OR($B698="",$C698=""),"INCOMPLETE",IFERROR(IF(OR(NOT(ISNUMBER($B698)),NOT(ISNUMBER($C698)),IF(C698="",FALSE,IF(ISNUMBER(C698),OR(C698&lt;=0,C698&gt;100000000,ROUND(C698*100,6)&lt;&gt;INT(ROUND(C698*100,6))),TRUE)),IF(D698="",FALSE,IF(ISNUMBER(D698),OR(D698&lt;=0,D698&gt;100000000,ROUND(D698*100,6)&lt;&gt;INT(ROUND(D698*100,6))),TRUE)),IF(E698="",FALSE,IF(ISNUMBER(E698),OR(E698&lt;=0,E698&gt;100000000,ROUND(E698*100,6)&lt;&gt;INT(ROUND(E698*100,6))),TRUE)),AND($D698&lt;&gt;"",$D698&lt;MAX($C698,$E698)),AND($E698&lt;&gt;"",$E698&gt;MIN($C698,IF($D698="",$C698,$D698))),COUNTIFS($A$2:$A$1001,$A698,$B$2:$B$1001,$B698)&gt;1),"INVALID",IFERROR(IF(IF(INDEX(Accounts!$T$2:$T$11,$F698),ROUND(IF($E698="",$C698,MIN($C698,$E698))-(H698),6)&lt;=0,ROUND(IF($E698="",$C698,MIN($C698,$E698))-(H698),6)&lt;0),"BREACHED","OK"),"INCOMPLETE")),"INVALID"))))</f>
        <v/>
      </c>
      <c r="J698" s="33">
        <f>IF(OR(I698="OK",I698="BREACHED"),-INT(ROUND(-(H698)*100,6))/100,I698)</f>
        <v/>
      </c>
    </row>
    <row r="699" ht="18" customHeight="1">
      <c r="A699" s="9" t="n"/>
      <c r="B699" s="32" t="n"/>
      <c r="C699" s="12" t="n"/>
      <c r="D699" s="12" t="n"/>
      <c r="E699" s="12" t="n"/>
      <c r="F699" s="15">
        <f>IFERROR(MATCH($A699,Accounts!$A$2:$A$11,0),"")</f>
        <v/>
      </c>
      <c r="G699" s="14">
        <f>IFERROR(IF(OR($A699="",$F699=""),"",IF(INDEX(Accounts!$P$2:$P$11,$F699)="static",INDEX(Accounts!$Q$2:$Q$11,$F699),IF(INDEX(Accounts!$P$2:$P$11,$F699)="eod_trailing",MAX(INDEX(Accounts!$Q$2:$Q$11,$F699),_xlfn.MAXIFS($C$2:$C$1001,$A$2:$A$1001,$A699,$B$2:$B$1001,"&lt;"&amp;$B699)),MAX(INDEX(Accounts!$Q$2:$Q$11,$F699),_xlfn.MAXIFS($C$2:$C$1001,$A$2:$A$1001,$A699,$B$2:$B$1001,"&lt;"&amp;$B699),_xlfn.MAXIFS($D$2:$D$1001,$A$2:$A$1001,$A699,$B$2:$B$1001,"&lt;="&amp;$B699),$C699)))),"")</f>
        <v/>
      </c>
      <c r="H699" s="15">
        <f>IFERROR(IF(G699="","",IF(INDEX(Accounts!$P$2:$P$11,$F699)="static",INDEX(Accounts!$Q$2:$Q$11,$F699)-INDEX(Accounts!$R$2:$R$11,$F699),IF(INDEX(Accounts!$S$2:$S$11,$F699)="NONE",G699-INDEX(Accounts!$R$2:$R$11,$F699),MIN(G699-INDEX(Accounts!$R$2:$R$11,$F699),INDEX(Accounts!$Q$2:$Q$11,$F699)+INDEX(Accounts!$S$2:$S$11,$F699))))),"")</f>
        <v/>
      </c>
      <c r="I699" s="16">
        <f>IF(AND($A699="",$B699="",$C699="",$D699="",$E699=""),"",IF(OR($A699="",$F699=""),"UNKNOWN_ACCOUNT",IF(OR($B699="",$C699=""),"INCOMPLETE",IFERROR(IF(OR(NOT(ISNUMBER($B699)),NOT(ISNUMBER($C699)),IF(C699="",FALSE,IF(ISNUMBER(C699),OR(C699&lt;=0,C699&gt;100000000,ROUND(C699*100,6)&lt;&gt;INT(ROUND(C699*100,6))),TRUE)),IF(D699="",FALSE,IF(ISNUMBER(D699),OR(D699&lt;=0,D699&gt;100000000,ROUND(D699*100,6)&lt;&gt;INT(ROUND(D699*100,6))),TRUE)),IF(E699="",FALSE,IF(ISNUMBER(E699),OR(E699&lt;=0,E699&gt;100000000,ROUND(E699*100,6)&lt;&gt;INT(ROUND(E699*100,6))),TRUE)),AND($D699&lt;&gt;"",$D699&lt;MAX($C699,$E699)),AND($E699&lt;&gt;"",$E699&gt;MIN($C699,IF($D699="",$C699,$D699))),COUNTIFS($A$2:$A$1001,$A699,$B$2:$B$1001,$B699)&gt;1),"INVALID",IFERROR(IF(IF(INDEX(Accounts!$T$2:$T$11,$F699),ROUND(IF($E699="",$C699,MIN($C699,$E699))-(H699),6)&lt;=0,ROUND(IF($E699="",$C699,MIN($C699,$E699))-(H699),6)&lt;0),"BREACHED","OK"),"INCOMPLETE")),"INVALID"))))</f>
        <v/>
      </c>
      <c r="J699" s="33">
        <f>IF(OR(I699="OK",I699="BREACHED"),-INT(ROUND(-(H699)*100,6))/100,I699)</f>
        <v/>
      </c>
    </row>
    <row r="700" ht="18" customHeight="1">
      <c r="A700" s="9" t="n"/>
      <c r="B700" s="32" t="n"/>
      <c r="C700" s="12" t="n"/>
      <c r="D700" s="12" t="n"/>
      <c r="E700" s="12" t="n"/>
      <c r="F700" s="15">
        <f>IFERROR(MATCH($A700,Accounts!$A$2:$A$11,0),"")</f>
        <v/>
      </c>
      <c r="G700" s="14">
        <f>IFERROR(IF(OR($A700="",$F700=""),"",IF(INDEX(Accounts!$P$2:$P$11,$F700)="static",INDEX(Accounts!$Q$2:$Q$11,$F700),IF(INDEX(Accounts!$P$2:$P$11,$F700)="eod_trailing",MAX(INDEX(Accounts!$Q$2:$Q$11,$F700),_xlfn.MAXIFS($C$2:$C$1001,$A$2:$A$1001,$A700,$B$2:$B$1001,"&lt;"&amp;$B700)),MAX(INDEX(Accounts!$Q$2:$Q$11,$F700),_xlfn.MAXIFS($C$2:$C$1001,$A$2:$A$1001,$A700,$B$2:$B$1001,"&lt;"&amp;$B700),_xlfn.MAXIFS($D$2:$D$1001,$A$2:$A$1001,$A700,$B$2:$B$1001,"&lt;="&amp;$B700),$C700)))),"")</f>
        <v/>
      </c>
      <c r="H700" s="15">
        <f>IFERROR(IF(G700="","",IF(INDEX(Accounts!$P$2:$P$11,$F700)="static",INDEX(Accounts!$Q$2:$Q$11,$F700)-INDEX(Accounts!$R$2:$R$11,$F700),IF(INDEX(Accounts!$S$2:$S$11,$F700)="NONE",G700-INDEX(Accounts!$R$2:$R$11,$F700),MIN(G700-INDEX(Accounts!$R$2:$R$11,$F700),INDEX(Accounts!$Q$2:$Q$11,$F700)+INDEX(Accounts!$S$2:$S$11,$F700))))),"")</f>
        <v/>
      </c>
      <c r="I700" s="16">
        <f>IF(AND($A700="",$B700="",$C700="",$D700="",$E700=""),"",IF(OR($A700="",$F700=""),"UNKNOWN_ACCOUNT",IF(OR($B700="",$C700=""),"INCOMPLETE",IFERROR(IF(OR(NOT(ISNUMBER($B700)),NOT(ISNUMBER($C700)),IF(C700="",FALSE,IF(ISNUMBER(C700),OR(C700&lt;=0,C700&gt;100000000,ROUND(C700*100,6)&lt;&gt;INT(ROUND(C700*100,6))),TRUE)),IF(D700="",FALSE,IF(ISNUMBER(D700),OR(D700&lt;=0,D700&gt;100000000,ROUND(D700*100,6)&lt;&gt;INT(ROUND(D700*100,6))),TRUE)),IF(E700="",FALSE,IF(ISNUMBER(E700),OR(E700&lt;=0,E700&gt;100000000,ROUND(E700*100,6)&lt;&gt;INT(ROUND(E700*100,6))),TRUE)),AND($D700&lt;&gt;"",$D700&lt;MAX($C700,$E700)),AND($E700&lt;&gt;"",$E700&gt;MIN($C700,IF($D700="",$C700,$D700))),COUNTIFS($A$2:$A$1001,$A700,$B$2:$B$1001,$B700)&gt;1),"INVALID",IFERROR(IF(IF(INDEX(Accounts!$T$2:$T$11,$F700),ROUND(IF($E700="",$C700,MIN($C700,$E700))-(H700),6)&lt;=0,ROUND(IF($E700="",$C700,MIN($C700,$E700))-(H700),6)&lt;0),"BREACHED","OK"),"INCOMPLETE")),"INVALID"))))</f>
        <v/>
      </c>
      <c r="J700" s="33">
        <f>IF(OR(I700="OK",I700="BREACHED"),-INT(ROUND(-(H700)*100,6))/100,I700)</f>
        <v/>
      </c>
    </row>
    <row r="701" ht="18" customHeight="1">
      <c r="A701" s="9" t="n"/>
      <c r="B701" s="32" t="n"/>
      <c r="C701" s="12" t="n"/>
      <c r="D701" s="12" t="n"/>
      <c r="E701" s="12" t="n"/>
      <c r="F701" s="15">
        <f>IFERROR(MATCH($A701,Accounts!$A$2:$A$11,0),"")</f>
        <v/>
      </c>
      <c r="G701" s="14">
        <f>IFERROR(IF(OR($A701="",$F701=""),"",IF(INDEX(Accounts!$P$2:$P$11,$F701)="static",INDEX(Accounts!$Q$2:$Q$11,$F701),IF(INDEX(Accounts!$P$2:$P$11,$F701)="eod_trailing",MAX(INDEX(Accounts!$Q$2:$Q$11,$F701),_xlfn.MAXIFS($C$2:$C$1001,$A$2:$A$1001,$A701,$B$2:$B$1001,"&lt;"&amp;$B701)),MAX(INDEX(Accounts!$Q$2:$Q$11,$F701),_xlfn.MAXIFS($C$2:$C$1001,$A$2:$A$1001,$A701,$B$2:$B$1001,"&lt;"&amp;$B701),_xlfn.MAXIFS($D$2:$D$1001,$A$2:$A$1001,$A701,$B$2:$B$1001,"&lt;="&amp;$B701),$C701)))),"")</f>
        <v/>
      </c>
      <c r="H701" s="15">
        <f>IFERROR(IF(G701="","",IF(INDEX(Accounts!$P$2:$P$11,$F701)="static",INDEX(Accounts!$Q$2:$Q$11,$F701)-INDEX(Accounts!$R$2:$R$11,$F701),IF(INDEX(Accounts!$S$2:$S$11,$F701)="NONE",G701-INDEX(Accounts!$R$2:$R$11,$F701),MIN(G701-INDEX(Accounts!$R$2:$R$11,$F701),INDEX(Accounts!$Q$2:$Q$11,$F701)+INDEX(Accounts!$S$2:$S$11,$F701))))),"")</f>
        <v/>
      </c>
      <c r="I701" s="16">
        <f>IF(AND($A701="",$B701="",$C701="",$D701="",$E701=""),"",IF(OR($A701="",$F701=""),"UNKNOWN_ACCOUNT",IF(OR($B701="",$C701=""),"INCOMPLETE",IFERROR(IF(OR(NOT(ISNUMBER($B701)),NOT(ISNUMBER($C701)),IF(C701="",FALSE,IF(ISNUMBER(C701),OR(C701&lt;=0,C701&gt;100000000,ROUND(C701*100,6)&lt;&gt;INT(ROUND(C701*100,6))),TRUE)),IF(D701="",FALSE,IF(ISNUMBER(D701),OR(D701&lt;=0,D701&gt;100000000,ROUND(D701*100,6)&lt;&gt;INT(ROUND(D701*100,6))),TRUE)),IF(E701="",FALSE,IF(ISNUMBER(E701),OR(E701&lt;=0,E701&gt;100000000,ROUND(E701*100,6)&lt;&gt;INT(ROUND(E701*100,6))),TRUE)),AND($D701&lt;&gt;"",$D701&lt;MAX($C701,$E701)),AND($E701&lt;&gt;"",$E701&gt;MIN($C701,IF($D701="",$C701,$D701))),COUNTIFS($A$2:$A$1001,$A701,$B$2:$B$1001,$B701)&gt;1),"INVALID",IFERROR(IF(IF(INDEX(Accounts!$T$2:$T$11,$F701),ROUND(IF($E701="",$C701,MIN($C701,$E701))-(H701),6)&lt;=0,ROUND(IF($E701="",$C701,MIN($C701,$E701))-(H701),6)&lt;0),"BREACHED","OK"),"INCOMPLETE")),"INVALID"))))</f>
        <v/>
      </c>
      <c r="J701" s="33">
        <f>IF(OR(I701="OK",I701="BREACHED"),-INT(ROUND(-(H701)*100,6))/100,I701)</f>
        <v/>
      </c>
    </row>
    <row r="702" ht="18" customHeight="1">
      <c r="A702" s="9" t="n"/>
      <c r="B702" s="32" t="n"/>
      <c r="C702" s="12" t="n"/>
      <c r="D702" s="12" t="n"/>
      <c r="E702" s="12" t="n"/>
      <c r="F702" s="15">
        <f>IFERROR(MATCH($A702,Accounts!$A$2:$A$11,0),"")</f>
        <v/>
      </c>
      <c r="G702" s="14">
        <f>IFERROR(IF(OR($A702="",$F702=""),"",IF(INDEX(Accounts!$P$2:$P$11,$F702)="static",INDEX(Accounts!$Q$2:$Q$11,$F702),IF(INDEX(Accounts!$P$2:$P$11,$F702)="eod_trailing",MAX(INDEX(Accounts!$Q$2:$Q$11,$F702),_xlfn.MAXIFS($C$2:$C$1001,$A$2:$A$1001,$A702,$B$2:$B$1001,"&lt;"&amp;$B702)),MAX(INDEX(Accounts!$Q$2:$Q$11,$F702),_xlfn.MAXIFS($C$2:$C$1001,$A$2:$A$1001,$A702,$B$2:$B$1001,"&lt;"&amp;$B702),_xlfn.MAXIFS($D$2:$D$1001,$A$2:$A$1001,$A702,$B$2:$B$1001,"&lt;="&amp;$B702),$C702)))),"")</f>
        <v/>
      </c>
      <c r="H702" s="15">
        <f>IFERROR(IF(G702="","",IF(INDEX(Accounts!$P$2:$P$11,$F702)="static",INDEX(Accounts!$Q$2:$Q$11,$F702)-INDEX(Accounts!$R$2:$R$11,$F702),IF(INDEX(Accounts!$S$2:$S$11,$F702)="NONE",G702-INDEX(Accounts!$R$2:$R$11,$F702),MIN(G702-INDEX(Accounts!$R$2:$R$11,$F702),INDEX(Accounts!$Q$2:$Q$11,$F702)+INDEX(Accounts!$S$2:$S$11,$F702))))),"")</f>
        <v/>
      </c>
      <c r="I702" s="16">
        <f>IF(AND($A702="",$B702="",$C702="",$D702="",$E702=""),"",IF(OR($A702="",$F702=""),"UNKNOWN_ACCOUNT",IF(OR($B702="",$C702=""),"INCOMPLETE",IFERROR(IF(OR(NOT(ISNUMBER($B702)),NOT(ISNUMBER($C702)),IF(C702="",FALSE,IF(ISNUMBER(C702),OR(C702&lt;=0,C702&gt;100000000,ROUND(C702*100,6)&lt;&gt;INT(ROUND(C702*100,6))),TRUE)),IF(D702="",FALSE,IF(ISNUMBER(D702),OR(D702&lt;=0,D702&gt;100000000,ROUND(D702*100,6)&lt;&gt;INT(ROUND(D702*100,6))),TRUE)),IF(E702="",FALSE,IF(ISNUMBER(E702),OR(E702&lt;=0,E702&gt;100000000,ROUND(E702*100,6)&lt;&gt;INT(ROUND(E702*100,6))),TRUE)),AND($D702&lt;&gt;"",$D702&lt;MAX($C702,$E702)),AND($E702&lt;&gt;"",$E702&gt;MIN($C702,IF($D702="",$C702,$D702))),COUNTIFS($A$2:$A$1001,$A702,$B$2:$B$1001,$B702)&gt;1),"INVALID",IFERROR(IF(IF(INDEX(Accounts!$T$2:$T$11,$F702),ROUND(IF($E702="",$C702,MIN($C702,$E702))-(H702),6)&lt;=0,ROUND(IF($E702="",$C702,MIN($C702,$E702))-(H702),6)&lt;0),"BREACHED","OK"),"INCOMPLETE")),"INVALID"))))</f>
        <v/>
      </c>
      <c r="J702" s="33">
        <f>IF(OR(I702="OK",I702="BREACHED"),-INT(ROUND(-(H702)*100,6))/100,I702)</f>
        <v/>
      </c>
    </row>
    <row r="703" ht="18" customHeight="1">
      <c r="A703" s="9" t="n"/>
      <c r="B703" s="32" t="n"/>
      <c r="C703" s="12" t="n"/>
      <c r="D703" s="12" t="n"/>
      <c r="E703" s="12" t="n"/>
      <c r="F703" s="15">
        <f>IFERROR(MATCH($A703,Accounts!$A$2:$A$11,0),"")</f>
        <v/>
      </c>
      <c r="G703" s="14">
        <f>IFERROR(IF(OR($A703="",$F703=""),"",IF(INDEX(Accounts!$P$2:$P$11,$F703)="static",INDEX(Accounts!$Q$2:$Q$11,$F703),IF(INDEX(Accounts!$P$2:$P$11,$F703)="eod_trailing",MAX(INDEX(Accounts!$Q$2:$Q$11,$F703),_xlfn.MAXIFS($C$2:$C$1001,$A$2:$A$1001,$A703,$B$2:$B$1001,"&lt;"&amp;$B703)),MAX(INDEX(Accounts!$Q$2:$Q$11,$F703),_xlfn.MAXIFS($C$2:$C$1001,$A$2:$A$1001,$A703,$B$2:$B$1001,"&lt;"&amp;$B703),_xlfn.MAXIFS($D$2:$D$1001,$A$2:$A$1001,$A703,$B$2:$B$1001,"&lt;="&amp;$B703),$C703)))),"")</f>
        <v/>
      </c>
      <c r="H703" s="15">
        <f>IFERROR(IF(G703="","",IF(INDEX(Accounts!$P$2:$P$11,$F703)="static",INDEX(Accounts!$Q$2:$Q$11,$F703)-INDEX(Accounts!$R$2:$R$11,$F703),IF(INDEX(Accounts!$S$2:$S$11,$F703)="NONE",G703-INDEX(Accounts!$R$2:$R$11,$F703),MIN(G703-INDEX(Accounts!$R$2:$R$11,$F703),INDEX(Accounts!$Q$2:$Q$11,$F703)+INDEX(Accounts!$S$2:$S$11,$F703))))),"")</f>
        <v/>
      </c>
      <c r="I703" s="16">
        <f>IF(AND($A703="",$B703="",$C703="",$D703="",$E703=""),"",IF(OR($A703="",$F703=""),"UNKNOWN_ACCOUNT",IF(OR($B703="",$C703=""),"INCOMPLETE",IFERROR(IF(OR(NOT(ISNUMBER($B703)),NOT(ISNUMBER($C703)),IF(C703="",FALSE,IF(ISNUMBER(C703),OR(C703&lt;=0,C703&gt;100000000,ROUND(C703*100,6)&lt;&gt;INT(ROUND(C703*100,6))),TRUE)),IF(D703="",FALSE,IF(ISNUMBER(D703),OR(D703&lt;=0,D703&gt;100000000,ROUND(D703*100,6)&lt;&gt;INT(ROUND(D703*100,6))),TRUE)),IF(E703="",FALSE,IF(ISNUMBER(E703),OR(E703&lt;=0,E703&gt;100000000,ROUND(E703*100,6)&lt;&gt;INT(ROUND(E703*100,6))),TRUE)),AND($D703&lt;&gt;"",$D703&lt;MAX($C703,$E703)),AND($E703&lt;&gt;"",$E703&gt;MIN($C703,IF($D703="",$C703,$D703))),COUNTIFS($A$2:$A$1001,$A703,$B$2:$B$1001,$B703)&gt;1),"INVALID",IFERROR(IF(IF(INDEX(Accounts!$T$2:$T$11,$F703),ROUND(IF($E703="",$C703,MIN($C703,$E703))-(H703),6)&lt;=0,ROUND(IF($E703="",$C703,MIN($C703,$E703))-(H703),6)&lt;0),"BREACHED","OK"),"INCOMPLETE")),"INVALID"))))</f>
        <v/>
      </c>
      <c r="J703" s="33">
        <f>IF(OR(I703="OK",I703="BREACHED"),-INT(ROUND(-(H703)*100,6))/100,I703)</f>
        <v/>
      </c>
    </row>
    <row r="704" ht="18" customHeight="1">
      <c r="A704" s="9" t="n"/>
      <c r="B704" s="32" t="n"/>
      <c r="C704" s="12" t="n"/>
      <c r="D704" s="12" t="n"/>
      <c r="E704" s="12" t="n"/>
      <c r="F704" s="15">
        <f>IFERROR(MATCH($A704,Accounts!$A$2:$A$11,0),"")</f>
        <v/>
      </c>
      <c r="G704" s="14">
        <f>IFERROR(IF(OR($A704="",$F704=""),"",IF(INDEX(Accounts!$P$2:$P$11,$F704)="static",INDEX(Accounts!$Q$2:$Q$11,$F704),IF(INDEX(Accounts!$P$2:$P$11,$F704)="eod_trailing",MAX(INDEX(Accounts!$Q$2:$Q$11,$F704),_xlfn.MAXIFS($C$2:$C$1001,$A$2:$A$1001,$A704,$B$2:$B$1001,"&lt;"&amp;$B704)),MAX(INDEX(Accounts!$Q$2:$Q$11,$F704),_xlfn.MAXIFS($C$2:$C$1001,$A$2:$A$1001,$A704,$B$2:$B$1001,"&lt;"&amp;$B704),_xlfn.MAXIFS($D$2:$D$1001,$A$2:$A$1001,$A704,$B$2:$B$1001,"&lt;="&amp;$B704),$C704)))),"")</f>
        <v/>
      </c>
      <c r="H704" s="15">
        <f>IFERROR(IF(G704="","",IF(INDEX(Accounts!$P$2:$P$11,$F704)="static",INDEX(Accounts!$Q$2:$Q$11,$F704)-INDEX(Accounts!$R$2:$R$11,$F704),IF(INDEX(Accounts!$S$2:$S$11,$F704)="NONE",G704-INDEX(Accounts!$R$2:$R$11,$F704),MIN(G704-INDEX(Accounts!$R$2:$R$11,$F704),INDEX(Accounts!$Q$2:$Q$11,$F704)+INDEX(Accounts!$S$2:$S$11,$F704))))),"")</f>
        <v/>
      </c>
      <c r="I704" s="16">
        <f>IF(AND($A704="",$B704="",$C704="",$D704="",$E704=""),"",IF(OR($A704="",$F704=""),"UNKNOWN_ACCOUNT",IF(OR($B704="",$C704=""),"INCOMPLETE",IFERROR(IF(OR(NOT(ISNUMBER($B704)),NOT(ISNUMBER($C704)),IF(C704="",FALSE,IF(ISNUMBER(C704),OR(C704&lt;=0,C704&gt;100000000,ROUND(C704*100,6)&lt;&gt;INT(ROUND(C704*100,6))),TRUE)),IF(D704="",FALSE,IF(ISNUMBER(D704),OR(D704&lt;=0,D704&gt;100000000,ROUND(D704*100,6)&lt;&gt;INT(ROUND(D704*100,6))),TRUE)),IF(E704="",FALSE,IF(ISNUMBER(E704),OR(E704&lt;=0,E704&gt;100000000,ROUND(E704*100,6)&lt;&gt;INT(ROUND(E704*100,6))),TRUE)),AND($D704&lt;&gt;"",$D704&lt;MAX($C704,$E704)),AND($E704&lt;&gt;"",$E704&gt;MIN($C704,IF($D704="",$C704,$D704))),COUNTIFS($A$2:$A$1001,$A704,$B$2:$B$1001,$B704)&gt;1),"INVALID",IFERROR(IF(IF(INDEX(Accounts!$T$2:$T$11,$F704),ROUND(IF($E704="",$C704,MIN($C704,$E704))-(H704),6)&lt;=0,ROUND(IF($E704="",$C704,MIN($C704,$E704))-(H704),6)&lt;0),"BREACHED","OK"),"INCOMPLETE")),"INVALID"))))</f>
        <v/>
      </c>
      <c r="J704" s="33">
        <f>IF(OR(I704="OK",I704="BREACHED"),-INT(ROUND(-(H704)*100,6))/100,I704)</f>
        <v/>
      </c>
    </row>
    <row r="705" ht="18" customHeight="1">
      <c r="A705" s="9" t="n"/>
      <c r="B705" s="32" t="n"/>
      <c r="C705" s="12" t="n"/>
      <c r="D705" s="12" t="n"/>
      <c r="E705" s="12" t="n"/>
      <c r="F705" s="15">
        <f>IFERROR(MATCH($A705,Accounts!$A$2:$A$11,0),"")</f>
        <v/>
      </c>
      <c r="G705" s="14">
        <f>IFERROR(IF(OR($A705="",$F705=""),"",IF(INDEX(Accounts!$P$2:$P$11,$F705)="static",INDEX(Accounts!$Q$2:$Q$11,$F705),IF(INDEX(Accounts!$P$2:$P$11,$F705)="eod_trailing",MAX(INDEX(Accounts!$Q$2:$Q$11,$F705),_xlfn.MAXIFS($C$2:$C$1001,$A$2:$A$1001,$A705,$B$2:$B$1001,"&lt;"&amp;$B705)),MAX(INDEX(Accounts!$Q$2:$Q$11,$F705),_xlfn.MAXIFS($C$2:$C$1001,$A$2:$A$1001,$A705,$B$2:$B$1001,"&lt;"&amp;$B705),_xlfn.MAXIFS($D$2:$D$1001,$A$2:$A$1001,$A705,$B$2:$B$1001,"&lt;="&amp;$B705),$C705)))),"")</f>
        <v/>
      </c>
      <c r="H705" s="15">
        <f>IFERROR(IF(G705="","",IF(INDEX(Accounts!$P$2:$P$11,$F705)="static",INDEX(Accounts!$Q$2:$Q$11,$F705)-INDEX(Accounts!$R$2:$R$11,$F705),IF(INDEX(Accounts!$S$2:$S$11,$F705)="NONE",G705-INDEX(Accounts!$R$2:$R$11,$F705),MIN(G705-INDEX(Accounts!$R$2:$R$11,$F705),INDEX(Accounts!$Q$2:$Q$11,$F705)+INDEX(Accounts!$S$2:$S$11,$F705))))),"")</f>
        <v/>
      </c>
      <c r="I705" s="16">
        <f>IF(AND($A705="",$B705="",$C705="",$D705="",$E705=""),"",IF(OR($A705="",$F705=""),"UNKNOWN_ACCOUNT",IF(OR($B705="",$C705=""),"INCOMPLETE",IFERROR(IF(OR(NOT(ISNUMBER($B705)),NOT(ISNUMBER($C705)),IF(C705="",FALSE,IF(ISNUMBER(C705),OR(C705&lt;=0,C705&gt;100000000,ROUND(C705*100,6)&lt;&gt;INT(ROUND(C705*100,6))),TRUE)),IF(D705="",FALSE,IF(ISNUMBER(D705),OR(D705&lt;=0,D705&gt;100000000,ROUND(D705*100,6)&lt;&gt;INT(ROUND(D705*100,6))),TRUE)),IF(E705="",FALSE,IF(ISNUMBER(E705),OR(E705&lt;=0,E705&gt;100000000,ROUND(E705*100,6)&lt;&gt;INT(ROUND(E705*100,6))),TRUE)),AND($D705&lt;&gt;"",$D705&lt;MAX($C705,$E705)),AND($E705&lt;&gt;"",$E705&gt;MIN($C705,IF($D705="",$C705,$D705))),COUNTIFS($A$2:$A$1001,$A705,$B$2:$B$1001,$B705)&gt;1),"INVALID",IFERROR(IF(IF(INDEX(Accounts!$T$2:$T$11,$F705),ROUND(IF($E705="",$C705,MIN($C705,$E705))-(H705),6)&lt;=0,ROUND(IF($E705="",$C705,MIN($C705,$E705))-(H705),6)&lt;0),"BREACHED","OK"),"INCOMPLETE")),"INVALID"))))</f>
        <v/>
      </c>
      <c r="J705" s="33">
        <f>IF(OR(I705="OK",I705="BREACHED"),-INT(ROUND(-(H705)*100,6))/100,I705)</f>
        <v/>
      </c>
    </row>
    <row r="706" ht="18" customHeight="1">
      <c r="A706" s="9" t="n"/>
      <c r="B706" s="32" t="n"/>
      <c r="C706" s="12" t="n"/>
      <c r="D706" s="12" t="n"/>
      <c r="E706" s="12" t="n"/>
      <c r="F706" s="15">
        <f>IFERROR(MATCH($A706,Accounts!$A$2:$A$11,0),"")</f>
        <v/>
      </c>
      <c r="G706" s="14">
        <f>IFERROR(IF(OR($A706="",$F706=""),"",IF(INDEX(Accounts!$P$2:$P$11,$F706)="static",INDEX(Accounts!$Q$2:$Q$11,$F706),IF(INDEX(Accounts!$P$2:$P$11,$F706)="eod_trailing",MAX(INDEX(Accounts!$Q$2:$Q$11,$F706),_xlfn.MAXIFS($C$2:$C$1001,$A$2:$A$1001,$A706,$B$2:$B$1001,"&lt;"&amp;$B706)),MAX(INDEX(Accounts!$Q$2:$Q$11,$F706),_xlfn.MAXIFS($C$2:$C$1001,$A$2:$A$1001,$A706,$B$2:$B$1001,"&lt;"&amp;$B706),_xlfn.MAXIFS($D$2:$D$1001,$A$2:$A$1001,$A706,$B$2:$B$1001,"&lt;="&amp;$B706),$C706)))),"")</f>
        <v/>
      </c>
      <c r="H706" s="15">
        <f>IFERROR(IF(G706="","",IF(INDEX(Accounts!$P$2:$P$11,$F706)="static",INDEX(Accounts!$Q$2:$Q$11,$F706)-INDEX(Accounts!$R$2:$R$11,$F706),IF(INDEX(Accounts!$S$2:$S$11,$F706)="NONE",G706-INDEX(Accounts!$R$2:$R$11,$F706),MIN(G706-INDEX(Accounts!$R$2:$R$11,$F706),INDEX(Accounts!$Q$2:$Q$11,$F706)+INDEX(Accounts!$S$2:$S$11,$F706))))),"")</f>
        <v/>
      </c>
      <c r="I706" s="16">
        <f>IF(AND($A706="",$B706="",$C706="",$D706="",$E706=""),"",IF(OR($A706="",$F706=""),"UNKNOWN_ACCOUNT",IF(OR($B706="",$C706=""),"INCOMPLETE",IFERROR(IF(OR(NOT(ISNUMBER($B706)),NOT(ISNUMBER($C706)),IF(C706="",FALSE,IF(ISNUMBER(C706),OR(C706&lt;=0,C706&gt;100000000,ROUND(C706*100,6)&lt;&gt;INT(ROUND(C706*100,6))),TRUE)),IF(D706="",FALSE,IF(ISNUMBER(D706),OR(D706&lt;=0,D706&gt;100000000,ROUND(D706*100,6)&lt;&gt;INT(ROUND(D706*100,6))),TRUE)),IF(E706="",FALSE,IF(ISNUMBER(E706),OR(E706&lt;=0,E706&gt;100000000,ROUND(E706*100,6)&lt;&gt;INT(ROUND(E706*100,6))),TRUE)),AND($D706&lt;&gt;"",$D706&lt;MAX($C706,$E706)),AND($E706&lt;&gt;"",$E706&gt;MIN($C706,IF($D706="",$C706,$D706))),COUNTIFS($A$2:$A$1001,$A706,$B$2:$B$1001,$B706)&gt;1),"INVALID",IFERROR(IF(IF(INDEX(Accounts!$T$2:$T$11,$F706),ROUND(IF($E706="",$C706,MIN($C706,$E706))-(H706),6)&lt;=0,ROUND(IF($E706="",$C706,MIN($C706,$E706))-(H706),6)&lt;0),"BREACHED","OK"),"INCOMPLETE")),"INVALID"))))</f>
        <v/>
      </c>
      <c r="J706" s="33">
        <f>IF(OR(I706="OK",I706="BREACHED"),-INT(ROUND(-(H706)*100,6))/100,I706)</f>
        <v/>
      </c>
    </row>
    <row r="707" ht="18" customHeight="1">
      <c r="A707" s="9" t="n"/>
      <c r="B707" s="32" t="n"/>
      <c r="C707" s="12" t="n"/>
      <c r="D707" s="12" t="n"/>
      <c r="E707" s="12" t="n"/>
      <c r="F707" s="15">
        <f>IFERROR(MATCH($A707,Accounts!$A$2:$A$11,0),"")</f>
        <v/>
      </c>
      <c r="G707" s="14">
        <f>IFERROR(IF(OR($A707="",$F707=""),"",IF(INDEX(Accounts!$P$2:$P$11,$F707)="static",INDEX(Accounts!$Q$2:$Q$11,$F707),IF(INDEX(Accounts!$P$2:$P$11,$F707)="eod_trailing",MAX(INDEX(Accounts!$Q$2:$Q$11,$F707),_xlfn.MAXIFS($C$2:$C$1001,$A$2:$A$1001,$A707,$B$2:$B$1001,"&lt;"&amp;$B707)),MAX(INDEX(Accounts!$Q$2:$Q$11,$F707),_xlfn.MAXIFS($C$2:$C$1001,$A$2:$A$1001,$A707,$B$2:$B$1001,"&lt;"&amp;$B707),_xlfn.MAXIFS($D$2:$D$1001,$A$2:$A$1001,$A707,$B$2:$B$1001,"&lt;="&amp;$B707),$C707)))),"")</f>
        <v/>
      </c>
      <c r="H707" s="15">
        <f>IFERROR(IF(G707="","",IF(INDEX(Accounts!$P$2:$P$11,$F707)="static",INDEX(Accounts!$Q$2:$Q$11,$F707)-INDEX(Accounts!$R$2:$R$11,$F707),IF(INDEX(Accounts!$S$2:$S$11,$F707)="NONE",G707-INDEX(Accounts!$R$2:$R$11,$F707),MIN(G707-INDEX(Accounts!$R$2:$R$11,$F707),INDEX(Accounts!$Q$2:$Q$11,$F707)+INDEX(Accounts!$S$2:$S$11,$F707))))),"")</f>
        <v/>
      </c>
      <c r="I707" s="16">
        <f>IF(AND($A707="",$B707="",$C707="",$D707="",$E707=""),"",IF(OR($A707="",$F707=""),"UNKNOWN_ACCOUNT",IF(OR($B707="",$C707=""),"INCOMPLETE",IFERROR(IF(OR(NOT(ISNUMBER($B707)),NOT(ISNUMBER($C707)),IF(C707="",FALSE,IF(ISNUMBER(C707),OR(C707&lt;=0,C707&gt;100000000,ROUND(C707*100,6)&lt;&gt;INT(ROUND(C707*100,6))),TRUE)),IF(D707="",FALSE,IF(ISNUMBER(D707),OR(D707&lt;=0,D707&gt;100000000,ROUND(D707*100,6)&lt;&gt;INT(ROUND(D707*100,6))),TRUE)),IF(E707="",FALSE,IF(ISNUMBER(E707),OR(E707&lt;=0,E707&gt;100000000,ROUND(E707*100,6)&lt;&gt;INT(ROUND(E707*100,6))),TRUE)),AND($D707&lt;&gt;"",$D707&lt;MAX($C707,$E707)),AND($E707&lt;&gt;"",$E707&gt;MIN($C707,IF($D707="",$C707,$D707))),COUNTIFS($A$2:$A$1001,$A707,$B$2:$B$1001,$B707)&gt;1),"INVALID",IFERROR(IF(IF(INDEX(Accounts!$T$2:$T$11,$F707),ROUND(IF($E707="",$C707,MIN($C707,$E707))-(H707),6)&lt;=0,ROUND(IF($E707="",$C707,MIN($C707,$E707))-(H707),6)&lt;0),"BREACHED","OK"),"INCOMPLETE")),"INVALID"))))</f>
        <v/>
      </c>
      <c r="J707" s="33">
        <f>IF(OR(I707="OK",I707="BREACHED"),-INT(ROUND(-(H707)*100,6))/100,I707)</f>
        <v/>
      </c>
    </row>
    <row r="708" ht="18" customHeight="1">
      <c r="A708" s="9" t="n"/>
      <c r="B708" s="32" t="n"/>
      <c r="C708" s="12" t="n"/>
      <c r="D708" s="12" t="n"/>
      <c r="E708" s="12" t="n"/>
      <c r="F708" s="15">
        <f>IFERROR(MATCH($A708,Accounts!$A$2:$A$11,0),"")</f>
        <v/>
      </c>
      <c r="G708" s="14">
        <f>IFERROR(IF(OR($A708="",$F708=""),"",IF(INDEX(Accounts!$P$2:$P$11,$F708)="static",INDEX(Accounts!$Q$2:$Q$11,$F708),IF(INDEX(Accounts!$P$2:$P$11,$F708)="eod_trailing",MAX(INDEX(Accounts!$Q$2:$Q$11,$F708),_xlfn.MAXIFS($C$2:$C$1001,$A$2:$A$1001,$A708,$B$2:$B$1001,"&lt;"&amp;$B708)),MAX(INDEX(Accounts!$Q$2:$Q$11,$F708),_xlfn.MAXIFS($C$2:$C$1001,$A$2:$A$1001,$A708,$B$2:$B$1001,"&lt;"&amp;$B708),_xlfn.MAXIFS($D$2:$D$1001,$A$2:$A$1001,$A708,$B$2:$B$1001,"&lt;="&amp;$B708),$C708)))),"")</f>
        <v/>
      </c>
      <c r="H708" s="15">
        <f>IFERROR(IF(G708="","",IF(INDEX(Accounts!$P$2:$P$11,$F708)="static",INDEX(Accounts!$Q$2:$Q$11,$F708)-INDEX(Accounts!$R$2:$R$11,$F708),IF(INDEX(Accounts!$S$2:$S$11,$F708)="NONE",G708-INDEX(Accounts!$R$2:$R$11,$F708),MIN(G708-INDEX(Accounts!$R$2:$R$11,$F708),INDEX(Accounts!$Q$2:$Q$11,$F708)+INDEX(Accounts!$S$2:$S$11,$F708))))),"")</f>
        <v/>
      </c>
      <c r="I708" s="16">
        <f>IF(AND($A708="",$B708="",$C708="",$D708="",$E708=""),"",IF(OR($A708="",$F708=""),"UNKNOWN_ACCOUNT",IF(OR($B708="",$C708=""),"INCOMPLETE",IFERROR(IF(OR(NOT(ISNUMBER($B708)),NOT(ISNUMBER($C708)),IF(C708="",FALSE,IF(ISNUMBER(C708),OR(C708&lt;=0,C708&gt;100000000,ROUND(C708*100,6)&lt;&gt;INT(ROUND(C708*100,6))),TRUE)),IF(D708="",FALSE,IF(ISNUMBER(D708),OR(D708&lt;=0,D708&gt;100000000,ROUND(D708*100,6)&lt;&gt;INT(ROUND(D708*100,6))),TRUE)),IF(E708="",FALSE,IF(ISNUMBER(E708),OR(E708&lt;=0,E708&gt;100000000,ROUND(E708*100,6)&lt;&gt;INT(ROUND(E708*100,6))),TRUE)),AND($D708&lt;&gt;"",$D708&lt;MAX($C708,$E708)),AND($E708&lt;&gt;"",$E708&gt;MIN($C708,IF($D708="",$C708,$D708))),COUNTIFS($A$2:$A$1001,$A708,$B$2:$B$1001,$B708)&gt;1),"INVALID",IFERROR(IF(IF(INDEX(Accounts!$T$2:$T$11,$F708),ROUND(IF($E708="",$C708,MIN($C708,$E708))-(H708),6)&lt;=0,ROUND(IF($E708="",$C708,MIN($C708,$E708))-(H708),6)&lt;0),"BREACHED","OK"),"INCOMPLETE")),"INVALID"))))</f>
        <v/>
      </c>
      <c r="J708" s="33">
        <f>IF(OR(I708="OK",I708="BREACHED"),-INT(ROUND(-(H708)*100,6))/100,I708)</f>
        <v/>
      </c>
    </row>
    <row r="709" ht="18" customHeight="1">
      <c r="A709" s="9" t="n"/>
      <c r="B709" s="32" t="n"/>
      <c r="C709" s="12" t="n"/>
      <c r="D709" s="12" t="n"/>
      <c r="E709" s="12" t="n"/>
      <c r="F709" s="15">
        <f>IFERROR(MATCH($A709,Accounts!$A$2:$A$11,0),"")</f>
        <v/>
      </c>
      <c r="G709" s="14">
        <f>IFERROR(IF(OR($A709="",$F709=""),"",IF(INDEX(Accounts!$P$2:$P$11,$F709)="static",INDEX(Accounts!$Q$2:$Q$11,$F709),IF(INDEX(Accounts!$P$2:$P$11,$F709)="eod_trailing",MAX(INDEX(Accounts!$Q$2:$Q$11,$F709),_xlfn.MAXIFS($C$2:$C$1001,$A$2:$A$1001,$A709,$B$2:$B$1001,"&lt;"&amp;$B709)),MAX(INDEX(Accounts!$Q$2:$Q$11,$F709),_xlfn.MAXIFS($C$2:$C$1001,$A$2:$A$1001,$A709,$B$2:$B$1001,"&lt;"&amp;$B709),_xlfn.MAXIFS($D$2:$D$1001,$A$2:$A$1001,$A709,$B$2:$B$1001,"&lt;="&amp;$B709),$C709)))),"")</f>
        <v/>
      </c>
      <c r="H709" s="15">
        <f>IFERROR(IF(G709="","",IF(INDEX(Accounts!$P$2:$P$11,$F709)="static",INDEX(Accounts!$Q$2:$Q$11,$F709)-INDEX(Accounts!$R$2:$R$11,$F709),IF(INDEX(Accounts!$S$2:$S$11,$F709)="NONE",G709-INDEX(Accounts!$R$2:$R$11,$F709),MIN(G709-INDEX(Accounts!$R$2:$R$11,$F709),INDEX(Accounts!$Q$2:$Q$11,$F709)+INDEX(Accounts!$S$2:$S$11,$F709))))),"")</f>
        <v/>
      </c>
      <c r="I709" s="16">
        <f>IF(AND($A709="",$B709="",$C709="",$D709="",$E709=""),"",IF(OR($A709="",$F709=""),"UNKNOWN_ACCOUNT",IF(OR($B709="",$C709=""),"INCOMPLETE",IFERROR(IF(OR(NOT(ISNUMBER($B709)),NOT(ISNUMBER($C709)),IF(C709="",FALSE,IF(ISNUMBER(C709),OR(C709&lt;=0,C709&gt;100000000,ROUND(C709*100,6)&lt;&gt;INT(ROUND(C709*100,6))),TRUE)),IF(D709="",FALSE,IF(ISNUMBER(D709),OR(D709&lt;=0,D709&gt;100000000,ROUND(D709*100,6)&lt;&gt;INT(ROUND(D709*100,6))),TRUE)),IF(E709="",FALSE,IF(ISNUMBER(E709),OR(E709&lt;=0,E709&gt;100000000,ROUND(E709*100,6)&lt;&gt;INT(ROUND(E709*100,6))),TRUE)),AND($D709&lt;&gt;"",$D709&lt;MAX($C709,$E709)),AND($E709&lt;&gt;"",$E709&gt;MIN($C709,IF($D709="",$C709,$D709))),COUNTIFS($A$2:$A$1001,$A709,$B$2:$B$1001,$B709)&gt;1),"INVALID",IFERROR(IF(IF(INDEX(Accounts!$T$2:$T$11,$F709),ROUND(IF($E709="",$C709,MIN($C709,$E709))-(H709),6)&lt;=0,ROUND(IF($E709="",$C709,MIN($C709,$E709))-(H709),6)&lt;0),"BREACHED","OK"),"INCOMPLETE")),"INVALID"))))</f>
        <v/>
      </c>
      <c r="J709" s="33">
        <f>IF(OR(I709="OK",I709="BREACHED"),-INT(ROUND(-(H709)*100,6))/100,I709)</f>
        <v/>
      </c>
    </row>
    <row r="710" ht="18" customHeight="1">
      <c r="A710" s="9" t="n"/>
      <c r="B710" s="32" t="n"/>
      <c r="C710" s="12" t="n"/>
      <c r="D710" s="12" t="n"/>
      <c r="E710" s="12" t="n"/>
      <c r="F710" s="15">
        <f>IFERROR(MATCH($A710,Accounts!$A$2:$A$11,0),"")</f>
        <v/>
      </c>
      <c r="G710" s="14">
        <f>IFERROR(IF(OR($A710="",$F710=""),"",IF(INDEX(Accounts!$P$2:$P$11,$F710)="static",INDEX(Accounts!$Q$2:$Q$11,$F710),IF(INDEX(Accounts!$P$2:$P$11,$F710)="eod_trailing",MAX(INDEX(Accounts!$Q$2:$Q$11,$F710),_xlfn.MAXIFS($C$2:$C$1001,$A$2:$A$1001,$A710,$B$2:$B$1001,"&lt;"&amp;$B710)),MAX(INDEX(Accounts!$Q$2:$Q$11,$F710),_xlfn.MAXIFS($C$2:$C$1001,$A$2:$A$1001,$A710,$B$2:$B$1001,"&lt;"&amp;$B710),_xlfn.MAXIFS($D$2:$D$1001,$A$2:$A$1001,$A710,$B$2:$B$1001,"&lt;="&amp;$B710),$C710)))),"")</f>
        <v/>
      </c>
      <c r="H710" s="15">
        <f>IFERROR(IF(G710="","",IF(INDEX(Accounts!$P$2:$P$11,$F710)="static",INDEX(Accounts!$Q$2:$Q$11,$F710)-INDEX(Accounts!$R$2:$R$11,$F710),IF(INDEX(Accounts!$S$2:$S$11,$F710)="NONE",G710-INDEX(Accounts!$R$2:$R$11,$F710),MIN(G710-INDEX(Accounts!$R$2:$R$11,$F710),INDEX(Accounts!$Q$2:$Q$11,$F710)+INDEX(Accounts!$S$2:$S$11,$F710))))),"")</f>
        <v/>
      </c>
      <c r="I710" s="16">
        <f>IF(AND($A710="",$B710="",$C710="",$D710="",$E710=""),"",IF(OR($A710="",$F710=""),"UNKNOWN_ACCOUNT",IF(OR($B710="",$C710=""),"INCOMPLETE",IFERROR(IF(OR(NOT(ISNUMBER($B710)),NOT(ISNUMBER($C710)),IF(C710="",FALSE,IF(ISNUMBER(C710),OR(C710&lt;=0,C710&gt;100000000,ROUND(C710*100,6)&lt;&gt;INT(ROUND(C710*100,6))),TRUE)),IF(D710="",FALSE,IF(ISNUMBER(D710),OR(D710&lt;=0,D710&gt;100000000,ROUND(D710*100,6)&lt;&gt;INT(ROUND(D710*100,6))),TRUE)),IF(E710="",FALSE,IF(ISNUMBER(E710),OR(E710&lt;=0,E710&gt;100000000,ROUND(E710*100,6)&lt;&gt;INT(ROUND(E710*100,6))),TRUE)),AND($D710&lt;&gt;"",$D710&lt;MAX($C710,$E710)),AND($E710&lt;&gt;"",$E710&gt;MIN($C710,IF($D710="",$C710,$D710))),COUNTIFS($A$2:$A$1001,$A710,$B$2:$B$1001,$B710)&gt;1),"INVALID",IFERROR(IF(IF(INDEX(Accounts!$T$2:$T$11,$F710),ROUND(IF($E710="",$C710,MIN($C710,$E710))-(H710),6)&lt;=0,ROUND(IF($E710="",$C710,MIN($C710,$E710))-(H710),6)&lt;0),"BREACHED","OK"),"INCOMPLETE")),"INVALID"))))</f>
        <v/>
      </c>
      <c r="J710" s="33">
        <f>IF(OR(I710="OK",I710="BREACHED"),-INT(ROUND(-(H710)*100,6))/100,I710)</f>
        <v/>
      </c>
    </row>
    <row r="711" ht="18" customHeight="1">
      <c r="A711" s="9" t="n"/>
      <c r="B711" s="32" t="n"/>
      <c r="C711" s="12" t="n"/>
      <c r="D711" s="12" t="n"/>
      <c r="E711" s="12" t="n"/>
      <c r="F711" s="15">
        <f>IFERROR(MATCH($A711,Accounts!$A$2:$A$11,0),"")</f>
        <v/>
      </c>
      <c r="G711" s="14">
        <f>IFERROR(IF(OR($A711="",$F711=""),"",IF(INDEX(Accounts!$P$2:$P$11,$F711)="static",INDEX(Accounts!$Q$2:$Q$11,$F711),IF(INDEX(Accounts!$P$2:$P$11,$F711)="eod_trailing",MAX(INDEX(Accounts!$Q$2:$Q$11,$F711),_xlfn.MAXIFS($C$2:$C$1001,$A$2:$A$1001,$A711,$B$2:$B$1001,"&lt;"&amp;$B711)),MAX(INDEX(Accounts!$Q$2:$Q$11,$F711),_xlfn.MAXIFS($C$2:$C$1001,$A$2:$A$1001,$A711,$B$2:$B$1001,"&lt;"&amp;$B711),_xlfn.MAXIFS($D$2:$D$1001,$A$2:$A$1001,$A711,$B$2:$B$1001,"&lt;="&amp;$B711),$C711)))),"")</f>
        <v/>
      </c>
      <c r="H711" s="15">
        <f>IFERROR(IF(G711="","",IF(INDEX(Accounts!$P$2:$P$11,$F711)="static",INDEX(Accounts!$Q$2:$Q$11,$F711)-INDEX(Accounts!$R$2:$R$11,$F711),IF(INDEX(Accounts!$S$2:$S$11,$F711)="NONE",G711-INDEX(Accounts!$R$2:$R$11,$F711),MIN(G711-INDEX(Accounts!$R$2:$R$11,$F711),INDEX(Accounts!$Q$2:$Q$11,$F711)+INDEX(Accounts!$S$2:$S$11,$F711))))),"")</f>
        <v/>
      </c>
      <c r="I711" s="16">
        <f>IF(AND($A711="",$B711="",$C711="",$D711="",$E711=""),"",IF(OR($A711="",$F711=""),"UNKNOWN_ACCOUNT",IF(OR($B711="",$C711=""),"INCOMPLETE",IFERROR(IF(OR(NOT(ISNUMBER($B711)),NOT(ISNUMBER($C711)),IF(C711="",FALSE,IF(ISNUMBER(C711),OR(C711&lt;=0,C711&gt;100000000,ROUND(C711*100,6)&lt;&gt;INT(ROUND(C711*100,6))),TRUE)),IF(D711="",FALSE,IF(ISNUMBER(D711),OR(D711&lt;=0,D711&gt;100000000,ROUND(D711*100,6)&lt;&gt;INT(ROUND(D711*100,6))),TRUE)),IF(E711="",FALSE,IF(ISNUMBER(E711),OR(E711&lt;=0,E711&gt;100000000,ROUND(E711*100,6)&lt;&gt;INT(ROUND(E711*100,6))),TRUE)),AND($D711&lt;&gt;"",$D711&lt;MAX($C711,$E711)),AND($E711&lt;&gt;"",$E711&gt;MIN($C711,IF($D711="",$C711,$D711))),COUNTIFS($A$2:$A$1001,$A711,$B$2:$B$1001,$B711)&gt;1),"INVALID",IFERROR(IF(IF(INDEX(Accounts!$T$2:$T$11,$F711),ROUND(IF($E711="",$C711,MIN($C711,$E711))-(H711),6)&lt;=0,ROUND(IF($E711="",$C711,MIN($C711,$E711))-(H711),6)&lt;0),"BREACHED","OK"),"INCOMPLETE")),"INVALID"))))</f>
        <v/>
      </c>
      <c r="J711" s="33">
        <f>IF(OR(I711="OK",I711="BREACHED"),-INT(ROUND(-(H711)*100,6))/100,I711)</f>
        <v/>
      </c>
    </row>
    <row r="712" ht="18" customHeight="1">
      <c r="A712" s="9" t="n"/>
      <c r="B712" s="32" t="n"/>
      <c r="C712" s="12" t="n"/>
      <c r="D712" s="12" t="n"/>
      <c r="E712" s="12" t="n"/>
      <c r="F712" s="15">
        <f>IFERROR(MATCH($A712,Accounts!$A$2:$A$11,0),"")</f>
        <v/>
      </c>
      <c r="G712" s="14">
        <f>IFERROR(IF(OR($A712="",$F712=""),"",IF(INDEX(Accounts!$P$2:$P$11,$F712)="static",INDEX(Accounts!$Q$2:$Q$11,$F712),IF(INDEX(Accounts!$P$2:$P$11,$F712)="eod_trailing",MAX(INDEX(Accounts!$Q$2:$Q$11,$F712),_xlfn.MAXIFS($C$2:$C$1001,$A$2:$A$1001,$A712,$B$2:$B$1001,"&lt;"&amp;$B712)),MAX(INDEX(Accounts!$Q$2:$Q$11,$F712),_xlfn.MAXIFS($C$2:$C$1001,$A$2:$A$1001,$A712,$B$2:$B$1001,"&lt;"&amp;$B712),_xlfn.MAXIFS($D$2:$D$1001,$A$2:$A$1001,$A712,$B$2:$B$1001,"&lt;="&amp;$B712),$C712)))),"")</f>
        <v/>
      </c>
      <c r="H712" s="15">
        <f>IFERROR(IF(G712="","",IF(INDEX(Accounts!$P$2:$P$11,$F712)="static",INDEX(Accounts!$Q$2:$Q$11,$F712)-INDEX(Accounts!$R$2:$R$11,$F712),IF(INDEX(Accounts!$S$2:$S$11,$F712)="NONE",G712-INDEX(Accounts!$R$2:$R$11,$F712),MIN(G712-INDEX(Accounts!$R$2:$R$11,$F712),INDEX(Accounts!$Q$2:$Q$11,$F712)+INDEX(Accounts!$S$2:$S$11,$F712))))),"")</f>
        <v/>
      </c>
      <c r="I712" s="16">
        <f>IF(AND($A712="",$B712="",$C712="",$D712="",$E712=""),"",IF(OR($A712="",$F712=""),"UNKNOWN_ACCOUNT",IF(OR($B712="",$C712=""),"INCOMPLETE",IFERROR(IF(OR(NOT(ISNUMBER($B712)),NOT(ISNUMBER($C712)),IF(C712="",FALSE,IF(ISNUMBER(C712),OR(C712&lt;=0,C712&gt;100000000,ROUND(C712*100,6)&lt;&gt;INT(ROUND(C712*100,6))),TRUE)),IF(D712="",FALSE,IF(ISNUMBER(D712),OR(D712&lt;=0,D712&gt;100000000,ROUND(D712*100,6)&lt;&gt;INT(ROUND(D712*100,6))),TRUE)),IF(E712="",FALSE,IF(ISNUMBER(E712),OR(E712&lt;=0,E712&gt;100000000,ROUND(E712*100,6)&lt;&gt;INT(ROUND(E712*100,6))),TRUE)),AND($D712&lt;&gt;"",$D712&lt;MAX($C712,$E712)),AND($E712&lt;&gt;"",$E712&gt;MIN($C712,IF($D712="",$C712,$D712))),COUNTIFS($A$2:$A$1001,$A712,$B$2:$B$1001,$B712)&gt;1),"INVALID",IFERROR(IF(IF(INDEX(Accounts!$T$2:$T$11,$F712),ROUND(IF($E712="",$C712,MIN($C712,$E712))-(H712),6)&lt;=0,ROUND(IF($E712="",$C712,MIN($C712,$E712))-(H712),6)&lt;0),"BREACHED","OK"),"INCOMPLETE")),"INVALID"))))</f>
        <v/>
      </c>
      <c r="J712" s="33">
        <f>IF(OR(I712="OK",I712="BREACHED"),-INT(ROUND(-(H712)*100,6))/100,I712)</f>
        <v/>
      </c>
    </row>
    <row r="713" ht="18" customHeight="1">
      <c r="A713" s="9" t="n"/>
      <c r="B713" s="32" t="n"/>
      <c r="C713" s="12" t="n"/>
      <c r="D713" s="12" t="n"/>
      <c r="E713" s="12" t="n"/>
      <c r="F713" s="15">
        <f>IFERROR(MATCH($A713,Accounts!$A$2:$A$11,0),"")</f>
        <v/>
      </c>
      <c r="G713" s="14">
        <f>IFERROR(IF(OR($A713="",$F713=""),"",IF(INDEX(Accounts!$P$2:$P$11,$F713)="static",INDEX(Accounts!$Q$2:$Q$11,$F713),IF(INDEX(Accounts!$P$2:$P$11,$F713)="eod_trailing",MAX(INDEX(Accounts!$Q$2:$Q$11,$F713),_xlfn.MAXIFS($C$2:$C$1001,$A$2:$A$1001,$A713,$B$2:$B$1001,"&lt;"&amp;$B713)),MAX(INDEX(Accounts!$Q$2:$Q$11,$F713),_xlfn.MAXIFS($C$2:$C$1001,$A$2:$A$1001,$A713,$B$2:$B$1001,"&lt;"&amp;$B713),_xlfn.MAXIFS($D$2:$D$1001,$A$2:$A$1001,$A713,$B$2:$B$1001,"&lt;="&amp;$B713),$C713)))),"")</f>
        <v/>
      </c>
      <c r="H713" s="15">
        <f>IFERROR(IF(G713="","",IF(INDEX(Accounts!$P$2:$P$11,$F713)="static",INDEX(Accounts!$Q$2:$Q$11,$F713)-INDEX(Accounts!$R$2:$R$11,$F713),IF(INDEX(Accounts!$S$2:$S$11,$F713)="NONE",G713-INDEX(Accounts!$R$2:$R$11,$F713),MIN(G713-INDEX(Accounts!$R$2:$R$11,$F713),INDEX(Accounts!$Q$2:$Q$11,$F713)+INDEX(Accounts!$S$2:$S$11,$F713))))),"")</f>
        <v/>
      </c>
      <c r="I713" s="16">
        <f>IF(AND($A713="",$B713="",$C713="",$D713="",$E713=""),"",IF(OR($A713="",$F713=""),"UNKNOWN_ACCOUNT",IF(OR($B713="",$C713=""),"INCOMPLETE",IFERROR(IF(OR(NOT(ISNUMBER($B713)),NOT(ISNUMBER($C713)),IF(C713="",FALSE,IF(ISNUMBER(C713),OR(C713&lt;=0,C713&gt;100000000,ROUND(C713*100,6)&lt;&gt;INT(ROUND(C713*100,6))),TRUE)),IF(D713="",FALSE,IF(ISNUMBER(D713),OR(D713&lt;=0,D713&gt;100000000,ROUND(D713*100,6)&lt;&gt;INT(ROUND(D713*100,6))),TRUE)),IF(E713="",FALSE,IF(ISNUMBER(E713),OR(E713&lt;=0,E713&gt;100000000,ROUND(E713*100,6)&lt;&gt;INT(ROUND(E713*100,6))),TRUE)),AND($D713&lt;&gt;"",$D713&lt;MAX($C713,$E713)),AND($E713&lt;&gt;"",$E713&gt;MIN($C713,IF($D713="",$C713,$D713))),COUNTIFS($A$2:$A$1001,$A713,$B$2:$B$1001,$B713)&gt;1),"INVALID",IFERROR(IF(IF(INDEX(Accounts!$T$2:$T$11,$F713),ROUND(IF($E713="",$C713,MIN($C713,$E713))-(H713),6)&lt;=0,ROUND(IF($E713="",$C713,MIN($C713,$E713))-(H713),6)&lt;0),"BREACHED","OK"),"INCOMPLETE")),"INVALID"))))</f>
        <v/>
      </c>
      <c r="J713" s="33">
        <f>IF(OR(I713="OK",I713="BREACHED"),-INT(ROUND(-(H713)*100,6))/100,I713)</f>
        <v/>
      </c>
    </row>
    <row r="714" ht="18" customHeight="1">
      <c r="A714" s="9" t="n"/>
      <c r="B714" s="32" t="n"/>
      <c r="C714" s="12" t="n"/>
      <c r="D714" s="12" t="n"/>
      <c r="E714" s="12" t="n"/>
      <c r="F714" s="15">
        <f>IFERROR(MATCH($A714,Accounts!$A$2:$A$11,0),"")</f>
        <v/>
      </c>
      <c r="G714" s="14">
        <f>IFERROR(IF(OR($A714="",$F714=""),"",IF(INDEX(Accounts!$P$2:$P$11,$F714)="static",INDEX(Accounts!$Q$2:$Q$11,$F714),IF(INDEX(Accounts!$P$2:$P$11,$F714)="eod_trailing",MAX(INDEX(Accounts!$Q$2:$Q$11,$F714),_xlfn.MAXIFS($C$2:$C$1001,$A$2:$A$1001,$A714,$B$2:$B$1001,"&lt;"&amp;$B714)),MAX(INDEX(Accounts!$Q$2:$Q$11,$F714),_xlfn.MAXIFS($C$2:$C$1001,$A$2:$A$1001,$A714,$B$2:$B$1001,"&lt;"&amp;$B714),_xlfn.MAXIFS($D$2:$D$1001,$A$2:$A$1001,$A714,$B$2:$B$1001,"&lt;="&amp;$B714),$C714)))),"")</f>
        <v/>
      </c>
      <c r="H714" s="15">
        <f>IFERROR(IF(G714="","",IF(INDEX(Accounts!$P$2:$P$11,$F714)="static",INDEX(Accounts!$Q$2:$Q$11,$F714)-INDEX(Accounts!$R$2:$R$11,$F714),IF(INDEX(Accounts!$S$2:$S$11,$F714)="NONE",G714-INDEX(Accounts!$R$2:$R$11,$F714),MIN(G714-INDEX(Accounts!$R$2:$R$11,$F714),INDEX(Accounts!$Q$2:$Q$11,$F714)+INDEX(Accounts!$S$2:$S$11,$F714))))),"")</f>
        <v/>
      </c>
      <c r="I714" s="16">
        <f>IF(AND($A714="",$B714="",$C714="",$D714="",$E714=""),"",IF(OR($A714="",$F714=""),"UNKNOWN_ACCOUNT",IF(OR($B714="",$C714=""),"INCOMPLETE",IFERROR(IF(OR(NOT(ISNUMBER($B714)),NOT(ISNUMBER($C714)),IF(C714="",FALSE,IF(ISNUMBER(C714),OR(C714&lt;=0,C714&gt;100000000,ROUND(C714*100,6)&lt;&gt;INT(ROUND(C714*100,6))),TRUE)),IF(D714="",FALSE,IF(ISNUMBER(D714),OR(D714&lt;=0,D714&gt;100000000,ROUND(D714*100,6)&lt;&gt;INT(ROUND(D714*100,6))),TRUE)),IF(E714="",FALSE,IF(ISNUMBER(E714),OR(E714&lt;=0,E714&gt;100000000,ROUND(E714*100,6)&lt;&gt;INT(ROUND(E714*100,6))),TRUE)),AND($D714&lt;&gt;"",$D714&lt;MAX($C714,$E714)),AND($E714&lt;&gt;"",$E714&gt;MIN($C714,IF($D714="",$C714,$D714))),COUNTIFS($A$2:$A$1001,$A714,$B$2:$B$1001,$B714)&gt;1),"INVALID",IFERROR(IF(IF(INDEX(Accounts!$T$2:$T$11,$F714),ROUND(IF($E714="",$C714,MIN($C714,$E714))-(H714),6)&lt;=0,ROUND(IF($E714="",$C714,MIN($C714,$E714))-(H714),6)&lt;0),"BREACHED","OK"),"INCOMPLETE")),"INVALID"))))</f>
        <v/>
      </c>
      <c r="J714" s="33">
        <f>IF(OR(I714="OK",I714="BREACHED"),-INT(ROUND(-(H714)*100,6))/100,I714)</f>
        <v/>
      </c>
    </row>
    <row r="715" ht="18" customHeight="1">
      <c r="A715" s="9" t="n"/>
      <c r="B715" s="32" t="n"/>
      <c r="C715" s="12" t="n"/>
      <c r="D715" s="12" t="n"/>
      <c r="E715" s="12" t="n"/>
      <c r="F715" s="15">
        <f>IFERROR(MATCH($A715,Accounts!$A$2:$A$11,0),"")</f>
        <v/>
      </c>
      <c r="G715" s="14">
        <f>IFERROR(IF(OR($A715="",$F715=""),"",IF(INDEX(Accounts!$P$2:$P$11,$F715)="static",INDEX(Accounts!$Q$2:$Q$11,$F715),IF(INDEX(Accounts!$P$2:$P$11,$F715)="eod_trailing",MAX(INDEX(Accounts!$Q$2:$Q$11,$F715),_xlfn.MAXIFS($C$2:$C$1001,$A$2:$A$1001,$A715,$B$2:$B$1001,"&lt;"&amp;$B715)),MAX(INDEX(Accounts!$Q$2:$Q$11,$F715),_xlfn.MAXIFS($C$2:$C$1001,$A$2:$A$1001,$A715,$B$2:$B$1001,"&lt;"&amp;$B715),_xlfn.MAXIFS($D$2:$D$1001,$A$2:$A$1001,$A715,$B$2:$B$1001,"&lt;="&amp;$B715),$C715)))),"")</f>
        <v/>
      </c>
      <c r="H715" s="15">
        <f>IFERROR(IF(G715="","",IF(INDEX(Accounts!$P$2:$P$11,$F715)="static",INDEX(Accounts!$Q$2:$Q$11,$F715)-INDEX(Accounts!$R$2:$R$11,$F715),IF(INDEX(Accounts!$S$2:$S$11,$F715)="NONE",G715-INDEX(Accounts!$R$2:$R$11,$F715),MIN(G715-INDEX(Accounts!$R$2:$R$11,$F715),INDEX(Accounts!$Q$2:$Q$11,$F715)+INDEX(Accounts!$S$2:$S$11,$F715))))),"")</f>
        <v/>
      </c>
      <c r="I715" s="16">
        <f>IF(AND($A715="",$B715="",$C715="",$D715="",$E715=""),"",IF(OR($A715="",$F715=""),"UNKNOWN_ACCOUNT",IF(OR($B715="",$C715=""),"INCOMPLETE",IFERROR(IF(OR(NOT(ISNUMBER($B715)),NOT(ISNUMBER($C715)),IF(C715="",FALSE,IF(ISNUMBER(C715),OR(C715&lt;=0,C715&gt;100000000,ROUND(C715*100,6)&lt;&gt;INT(ROUND(C715*100,6))),TRUE)),IF(D715="",FALSE,IF(ISNUMBER(D715),OR(D715&lt;=0,D715&gt;100000000,ROUND(D715*100,6)&lt;&gt;INT(ROUND(D715*100,6))),TRUE)),IF(E715="",FALSE,IF(ISNUMBER(E715),OR(E715&lt;=0,E715&gt;100000000,ROUND(E715*100,6)&lt;&gt;INT(ROUND(E715*100,6))),TRUE)),AND($D715&lt;&gt;"",$D715&lt;MAX($C715,$E715)),AND($E715&lt;&gt;"",$E715&gt;MIN($C715,IF($D715="",$C715,$D715))),COUNTIFS($A$2:$A$1001,$A715,$B$2:$B$1001,$B715)&gt;1),"INVALID",IFERROR(IF(IF(INDEX(Accounts!$T$2:$T$11,$F715),ROUND(IF($E715="",$C715,MIN($C715,$E715))-(H715),6)&lt;=0,ROUND(IF($E715="",$C715,MIN($C715,$E715))-(H715),6)&lt;0),"BREACHED","OK"),"INCOMPLETE")),"INVALID"))))</f>
        <v/>
      </c>
      <c r="J715" s="33">
        <f>IF(OR(I715="OK",I715="BREACHED"),-INT(ROUND(-(H715)*100,6))/100,I715)</f>
        <v/>
      </c>
    </row>
    <row r="716" ht="18" customHeight="1">
      <c r="A716" s="9" t="n"/>
      <c r="B716" s="32" t="n"/>
      <c r="C716" s="12" t="n"/>
      <c r="D716" s="12" t="n"/>
      <c r="E716" s="12" t="n"/>
      <c r="F716" s="15">
        <f>IFERROR(MATCH($A716,Accounts!$A$2:$A$11,0),"")</f>
        <v/>
      </c>
      <c r="G716" s="14">
        <f>IFERROR(IF(OR($A716="",$F716=""),"",IF(INDEX(Accounts!$P$2:$P$11,$F716)="static",INDEX(Accounts!$Q$2:$Q$11,$F716),IF(INDEX(Accounts!$P$2:$P$11,$F716)="eod_trailing",MAX(INDEX(Accounts!$Q$2:$Q$11,$F716),_xlfn.MAXIFS($C$2:$C$1001,$A$2:$A$1001,$A716,$B$2:$B$1001,"&lt;"&amp;$B716)),MAX(INDEX(Accounts!$Q$2:$Q$11,$F716),_xlfn.MAXIFS($C$2:$C$1001,$A$2:$A$1001,$A716,$B$2:$B$1001,"&lt;"&amp;$B716),_xlfn.MAXIFS($D$2:$D$1001,$A$2:$A$1001,$A716,$B$2:$B$1001,"&lt;="&amp;$B716),$C716)))),"")</f>
        <v/>
      </c>
      <c r="H716" s="15">
        <f>IFERROR(IF(G716="","",IF(INDEX(Accounts!$P$2:$P$11,$F716)="static",INDEX(Accounts!$Q$2:$Q$11,$F716)-INDEX(Accounts!$R$2:$R$11,$F716),IF(INDEX(Accounts!$S$2:$S$11,$F716)="NONE",G716-INDEX(Accounts!$R$2:$R$11,$F716),MIN(G716-INDEX(Accounts!$R$2:$R$11,$F716),INDEX(Accounts!$Q$2:$Q$11,$F716)+INDEX(Accounts!$S$2:$S$11,$F716))))),"")</f>
        <v/>
      </c>
      <c r="I716" s="16">
        <f>IF(AND($A716="",$B716="",$C716="",$D716="",$E716=""),"",IF(OR($A716="",$F716=""),"UNKNOWN_ACCOUNT",IF(OR($B716="",$C716=""),"INCOMPLETE",IFERROR(IF(OR(NOT(ISNUMBER($B716)),NOT(ISNUMBER($C716)),IF(C716="",FALSE,IF(ISNUMBER(C716),OR(C716&lt;=0,C716&gt;100000000,ROUND(C716*100,6)&lt;&gt;INT(ROUND(C716*100,6))),TRUE)),IF(D716="",FALSE,IF(ISNUMBER(D716),OR(D716&lt;=0,D716&gt;100000000,ROUND(D716*100,6)&lt;&gt;INT(ROUND(D716*100,6))),TRUE)),IF(E716="",FALSE,IF(ISNUMBER(E716),OR(E716&lt;=0,E716&gt;100000000,ROUND(E716*100,6)&lt;&gt;INT(ROUND(E716*100,6))),TRUE)),AND($D716&lt;&gt;"",$D716&lt;MAX($C716,$E716)),AND($E716&lt;&gt;"",$E716&gt;MIN($C716,IF($D716="",$C716,$D716))),COUNTIFS($A$2:$A$1001,$A716,$B$2:$B$1001,$B716)&gt;1),"INVALID",IFERROR(IF(IF(INDEX(Accounts!$T$2:$T$11,$F716),ROUND(IF($E716="",$C716,MIN($C716,$E716))-(H716),6)&lt;=0,ROUND(IF($E716="",$C716,MIN($C716,$E716))-(H716),6)&lt;0),"BREACHED","OK"),"INCOMPLETE")),"INVALID"))))</f>
        <v/>
      </c>
      <c r="J716" s="33">
        <f>IF(OR(I716="OK",I716="BREACHED"),-INT(ROUND(-(H716)*100,6))/100,I716)</f>
        <v/>
      </c>
    </row>
    <row r="717" ht="18" customHeight="1">
      <c r="A717" s="9" t="n"/>
      <c r="B717" s="32" t="n"/>
      <c r="C717" s="12" t="n"/>
      <c r="D717" s="12" t="n"/>
      <c r="E717" s="12" t="n"/>
      <c r="F717" s="15">
        <f>IFERROR(MATCH($A717,Accounts!$A$2:$A$11,0),"")</f>
        <v/>
      </c>
      <c r="G717" s="14">
        <f>IFERROR(IF(OR($A717="",$F717=""),"",IF(INDEX(Accounts!$P$2:$P$11,$F717)="static",INDEX(Accounts!$Q$2:$Q$11,$F717),IF(INDEX(Accounts!$P$2:$P$11,$F717)="eod_trailing",MAX(INDEX(Accounts!$Q$2:$Q$11,$F717),_xlfn.MAXIFS($C$2:$C$1001,$A$2:$A$1001,$A717,$B$2:$B$1001,"&lt;"&amp;$B717)),MAX(INDEX(Accounts!$Q$2:$Q$11,$F717),_xlfn.MAXIFS($C$2:$C$1001,$A$2:$A$1001,$A717,$B$2:$B$1001,"&lt;"&amp;$B717),_xlfn.MAXIFS($D$2:$D$1001,$A$2:$A$1001,$A717,$B$2:$B$1001,"&lt;="&amp;$B717),$C717)))),"")</f>
        <v/>
      </c>
      <c r="H717" s="15">
        <f>IFERROR(IF(G717="","",IF(INDEX(Accounts!$P$2:$P$11,$F717)="static",INDEX(Accounts!$Q$2:$Q$11,$F717)-INDEX(Accounts!$R$2:$R$11,$F717),IF(INDEX(Accounts!$S$2:$S$11,$F717)="NONE",G717-INDEX(Accounts!$R$2:$R$11,$F717),MIN(G717-INDEX(Accounts!$R$2:$R$11,$F717),INDEX(Accounts!$Q$2:$Q$11,$F717)+INDEX(Accounts!$S$2:$S$11,$F717))))),"")</f>
        <v/>
      </c>
      <c r="I717" s="16">
        <f>IF(AND($A717="",$B717="",$C717="",$D717="",$E717=""),"",IF(OR($A717="",$F717=""),"UNKNOWN_ACCOUNT",IF(OR($B717="",$C717=""),"INCOMPLETE",IFERROR(IF(OR(NOT(ISNUMBER($B717)),NOT(ISNUMBER($C717)),IF(C717="",FALSE,IF(ISNUMBER(C717),OR(C717&lt;=0,C717&gt;100000000,ROUND(C717*100,6)&lt;&gt;INT(ROUND(C717*100,6))),TRUE)),IF(D717="",FALSE,IF(ISNUMBER(D717),OR(D717&lt;=0,D717&gt;100000000,ROUND(D717*100,6)&lt;&gt;INT(ROUND(D717*100,6))),TRUE)),IF(E717="",FALSE,IF(ISNUMBER(E717),OR(E717&lt;=0,E717&gt;100000000,ROUND(E717*100,6)&lt;&gt;INT(ROUND(E717*100,6))),TRUE)),AND($D717&lt;&gt;"",$D717&lt;MAX($C717,$E717)),AND($E717&lt;&gt;"",$E717&gt;MIN($C717,IF($D717="",$C717,$D717))),COUNTIFS($A$2:$A$1001,$A717,$B$2:$B$1001,$B717)&gt;1),"INVALID",IFERROR(IF(IF(INDEX(Accounts!$T$2:$T$11,$F717),ROUND(IF($E717="",$C717,MIN($C717,$E717))-(H717),6)&lt;=0,ROUND(IF($E717="",$C717,MIN($C717,$E717))-(H717),6)&lt;0),"BREACHED","OK"),"INCOMPLETE")),"INVALID"))))</f>
        <v/>
      </c>
      <c r="J717" s="33">
        <f>IF(OR(I717="OK",I717="BREACHED"),-INT(ROUND(-(H717)*100,6))/100,I717)</f>
        <v/>
      </c>
    </row>
    <row r="718" ht="18" customHeight="1">
      <c r="A718" s="9" t="n"/>
      <c r="B718" s="32" t="n"/>
      <c r="C718" s="12" t="n"/>
      <c r="D718" s="12" t="n"/>
      <c r="E718" s="12" t="n"/>
      <c r="F718" s="15">
        <f>IFERROR(MATCH($A718,Accounts!$A$2:$A$11,0),"")</f>
        <v/>
      </c>
      <c r="G718" s="14">
        <f>IFERROR(IF(OR($A718="",$F718=""),"",IF(INDEX(Accounts!$P$2:$P$11,$F718)="static",INDEX(Accounts!$Q$2:$Q$11,$F718),IF(INDEX(Accounts!$P$2:$P$11,$F718)="eod_trailing",MAX(INDEX(Accounts!$Q$2:$Q$11,$F718),_xlfn.MAXIFS($C$2:$C$1001,$A$2:$A$1001,$A718,$B$2:$B$1001,"&lt;"&amp;$B718)),MAX(INDEX(Accounts!$Q$2:$Q$11,$F718),_xlfn.MAXIFS($C$2:$C$1001,$A$2:$A$1001,$A718,$B$2:$B$1001,"&lt;"&amp;$B718),_xlfn.MAXIFS($D$2:$D$1001,$A$2:$A$1001,$A718,$B$2:$B$1001,"&lt;="&amp;$B718),$C718)))),"")</f>
        <v/>
      </c>
      <c r="H718" s="15">
        <f>IFERROR(IF(G718="","",IF(INDEX(Accounts!$P$2:$P$11,$F718)="static",INDEX(Accounts!$Q$2:$Q$11,$F718)-INDEX(Accounts!$R$2:$R$11,$F718),IF(INDEX(Accounts!$S$2:$S$11,$F718)="NONE",G718-INDEX(Accounts!$R$2:$R$11,$F718),MIN(G718-INDEX(Accounts!$R$2:$R$11,$F718),INDEX(Accounts!$Q$2:$Q$11,$F718)+INDEX(Accounts!$S$2:$S$11,$F718))))),"")</f>
        <v/>
      </c>
      <c r="I718" s="16">
        <f>IF(AND($A718="",$B718="",$C718="",$D718="",$E718=""),"",IF(OR($A718="",$F718=""),"UNKNOWN_ACCOUNT",IF(OR($B718="",$C718=""),"INCOMPLETE",IFERROR(IF(OR(NOT(ISNUMBER($B718)),NOT(ISNUMBER($C718)),IF(C718="",FALSE,IF(ISNUMBER(C718),OR(C718&lt;=0,C718&gt;100000000,ROUND(C718*100,6)&lt;&gt;INT(ROUND(C718*100,6))),TRUE)),IF(D718="",FALSE,IF(ISNUMBER(D718),OR(D718&lt;=0,D718&gt;100000000,ROUND(D718*100,6)&lt;&gt;INT(ROUND(D718*100,6))),TRUE)),IF(E718="",FALSE,IF(ISNUMBER(E718),OR(E718&lt;=0,E718&gt;100000000,ROUND(E718*100,6)&lt;&gt;INT(ROUND(E718*100,6))),TRUE)),AND($D718&lt;&gt;"",$D718&lt;MAX($C718,$E718)),AND($E718&lt;&gt;"",$E718&gt;MIN($C718,IF($D718="",$C718,$D718))),COUNTIFS($A$2:$A$1001,$A718,$B$2:$B$1001,$B718)&gt;1),"INVALID",IFERROR(IF(IF(INDEX(Accounts!$T$2:$T$11,$F718),ROUND(IF($E718="",$C718,MIN($C718,$E718))-(H718),6)&lt;=0,ROUND(IF($E718="",$C718,MIN($C718,$E718))-(H718),6)&lt;0),"BREACHED","OK"),"INCOMPLETE")),"INVALID"))))</f>
        <v/>
      </c>
      <c r="J718" s="33">
        <f>IF(OR(I718="OK",I718="BREACHED"),-INT(ROUND(-(H718)*100,6))/100,I718)</f>
        <v/>
      </c>
    </row>
    <row r="719" ht="18" customHeight="1">
      <c r="A719" s="9" t="n"/>
      <c r="B719" s="32" t="n"/>
      <c r="C719" s="12" t="n"/>
      <c r="D719" s="12" t="n"/>
      <c r="E719" s="12" t="n"/>
      <c r="F719" s="15">
        <f>IFERROR(MATCH($A719,Accounts!$A$2:$A$11,0),"")</f>
        <v/>
      </c>
      <c r="G719" s="14">
        <f>IFERROR(IF(OR($A719="",$F719=""),"",IF(INDEX(Accounts!$P$2:$P$11,$F719)="static",INDEX(Accounts!$Q$2:$Q$11,$F719),IF(INDEX(Accounts!$P$2:$P$11,$F719)="eod_trailing",MAX(INDEX(Accounts!$Q$2:$Q$11,$F719),_xlfn.MAXIFS($C$2:$C$1001,$A$2:$A$1001,$A719,$B$2:$B$1001,"&lt;"&amp;$B719)),MAX(INDEX(Accounts!$Q$2:$Q$11,$F719),_xlfn.MAXIFS($C$2:$C$1001,$A$2:$A$1001,$A719,$B$2:$B$1001,"&lt;"&amp;$B719),_xlfn.MAXIFS($D$2:$D$1001,$A$2:$A$1001,$A719,$B$2:$B$1001,"&lt;="&amp;$B719),$C719)))),"")</f>
        <v/>
      </c>
      <c r="H719" s="15">
        <f>IFERROR(IF(G719="","",IF(INDEX(Accounts!$P$2:$P$11,$F719)="static",INDEX(Accounts!$Q$2:$Q$11,$F719)-INDEX(Accounts!$R$2:$R$11,$F719),IF(INDEX(Accounts!$S$2:$S$11,$F719)="NONE",G719-INDEX(Accounts!$R$2:$R$11,$F719),MIN(G719-INDEX(Accounts!$R$2:$R$11,$F719),INDEX(Accounts!$Q$2:$Q$11,$F719)+INDEX(Accounts!$S$2:$S$11,$F719))))),"")</f>
        <v/>
      </c>
      <c r="I719" s="16">
        <f>IF(AND($A719="",$B719="",$C719="",$D719="",$E719=""),"",IF(OR($A719="",$F719=""),"UNKNOWN_ACCOUNT",IF(OR($B719="",$C719=""),"INCOMPLETE",IFERROR(IF(OR(NOT(ISNUMBER($B719)),NOT(ISNUMBER($C719)),IF(C719="",FALSE,IF(ISNUMBER(C719),OR(C719&lt;=0,C719&gt;100000000,ROUND(C719*100,6)&lt;&gt;INT(ROUND(C719*100,6))),TRUE)),IF(D719="",FALSE,IF(ISNUMBER(D719),OR(D719&lt;=0,D719&gt;100000000,ROUND(D719*100,6)&lt;&gt;INT(ROUND(D719*100,6))),TRUE)),IF(E719="",FALSE,IF(ISNUMBER(E719),OR(E719&lt;=0,E719&gt;100000000,ROUND(E719*100,6)&lt;&gt;INT(ROUND(E719*100,6))),TRUE)),AND($D719&lt;&gt;"",$D719&lt;MAX($C719,$E719)),AND($E719&lt;&gt;"",$E719&gt;MIN($C719,IF($D719="",$C719,$D719))),COUNTIFS($A$2:$A$1001,$A719,$B$2:$B$1001,$B719)&gt;1),"INVALID",IFERROR(IF(IF(INDEX(Accounts!$T$2:$T$11,$F719),ROUND(IF($E719="",$C719,MIN($C719,$E719))-(H719),6)&lt;=0,ROUND(IF($E719="",$C719,MIN($C719,$E719))-(H719),6)&lt;0),"BREACHED","OK"),"INCOMPLETE")),"INVALID"))))</f>
        <v/>
      </c>
      <c r="J719" s="33">
        <f>IF(OR(I719="OK",I719="BREACHED"),-INT(ROUND(-(H719)*100,6))/100,I719)</f>
        <v/>
      </c>
    </row>
    <row r="720" ht="18" customHeight="1">
      <c r="A720" s="9" t="n"/>
      <c r="B720" s="32" t="n"/>
      <c r="C720" s="12" t="n"/>
      <c r="D720" s="12" t="n"/>
      <c r="E720" s="12" t="n"/>
      <c r="F720" s="15">
        <f>IFERROR(MATCH($A720,Accounts!$A$2:$A$11,0),"")</f>
        <v/>
      </c>
      <c r="G720" s="14">
        <f>IFERROR(IF(OR($A720="",$F720=""),"",IF(INDEX(Accounts!$P$2:$P$11,$F720)="static",INDEX(Accounts!$Q$2:$Q$11,$F720),IF(INDEX(Accounts!$P$2:$P$11,$F720)="eod_trailing",MAX(INDEX(Accounts!$Q$2:$Q$11,$F720),_xlfn.MAXIFS($C$2:$C$1001,$A$2:$A$1001,$A720,$B$2:$B$1001,"&lt;"&amp;$B720)),MAX(INDEX(Accounts!$Q$2:$Q$11,$F720),_xlfn.MAXIFS($C$2:$C$1001,$A$2:$A$1001,$A720,$B$2:$B$1001,"&lt;"&amp;$B720),_xlfn.MAXIFS($D$2:$D$1001,$A$2:$A$1001,$A720,$B$2:$B$1001,"&lt;="&amp;$B720),$C720)))),"")</f>
        <v/>
      </c>
      <c r="H720" s="15">
        <f>IFERROR(IF(G720="","",IF(INDEX(Accounts!$P$2:$P$11,$F720)="static",INDEX(Accounts!$Q$2:$Q$11,$F720)-INDEX(Accounts!$R$2:$R$11,$F720),IF(INDEX(Accounts!$S$2:$S$11,$F720)="NONE",G720-INDEX(Accounts!$R$2:$R$11,$F720),MIN(G720-INDEX(Accounts!$R$2:$R$11,$F720),INDEX(Accounts!$Q$2:$Q$11,$F720)+INDEX(Accounts!$S$2:$S$11,$F720))))),"")</f>
        <v/>
      </c>
      <c r="I720" s="16">
        <f>IF(AND($A720="",$B720="",$C720="",$D720="",$E720=""),"",IF(OR($A720="",$F720=""),"UNKNOWN_ACCOUNT",IF(OR($B720="",$C720=""),"INCOMPLETE",IFERROR(IF(OR(NOT(ISNUMBER($B720)),NOT(ISNUMBER($C720)),IF(C720="",FALSE,IF(ISNUMBER(C720),OR(C720&lt;=0,C720&gt;100000000,ROUND(C720*100,6)&lt;&gt;INT(ROUND(C720*100,6))),TRUE)),IF(D720="",FALSE,IF(ISNUMBER(D720),OR(D720&lt;=0,D720&gt;100000000,ROUND(D720*100,6)&lt;&gt;INT(ROUND(D720*100,6))),TRUE)),IF(E720="",FALSE,IF(ISNUMBER(E720),OR(E720&lt;=0,E720&gt;100000000,ROUND(E720*100,6)&lt;&gt;INT(ROUND(E720*100,6))),TRUE)),AND($D720&lt;&gt;"",$D720&lt;MAX($C720,$E720)),AND($E720&lt;&gt;"",$E720&gt;MIN($C720,IF($D720="",$C720,$D720))),COUNTIFS($A$2:$A$1001,$A720,$B$2:$B$1001,$B720)&gt;1),"INVALID",IFERROR(IF(IF(INDEX(Accounts!$T$2:$T$11,$F720),ROUND(IF($E720="",$C720,MIN($C720,$E720))-(H720),6)&lt;=0,ROUND(IF($E720="",$C720,MIN($C720,$E720))-(H720),6)&lt;0),"BREACHED","OK"),"INCOMPLETE")),"INVALID"))))</f>
        <v/>
      </c>
      <c r="J720" s="33">
        <f>IF(OR(I720="OK",I720="BREACHED"),-INT(ROUND(-(H720)*100,6))/100,I720)</f>
        <v/>
      </c>
    </row>
    <row r="721" ht="18" customHeight="1">
      <c r="A721" s="9" t="n"/>
      <c r="B721" s="32" t="n"/>
      <c r="C721" s="12" t="n"/>
      <c r="D721" s="12" t="n"/>
      <c r="E721" s="12" t="n"/>
      <c r="F721" s="15">
        <f>IFERROR(MATCH($A721,Accounts!$A$2:$A$11,0),"")</f>
        <v/>
      </c>
      <c r="G721" s="14">
        <f>IFERROR(IF(OR($A721="",$F721=""),"",IF(INDEX(Accounts!$P$2:$P$11,$F721)="static",INDEX(Accounts!$Q$2:$Q$11,$F721),IF(INDEX(Accounts!$P$2:$P$11,$F721)="eod_trailing",MAX(INDEX(Accounts!$Q$2:$Q$11,$F721),_xlfn.MAXIFS($C$2:$C$1001,$A$2:$A$1001,$A721,$B$2:$B$1001,"&lt;"&amp;$B721)),MAX(INDEX(Accounts!$Q$2:$Q$11,$F721),_xlfn.MAXIFS($C$2:$C$1001,$A$2:$A$1001,$A721,$B$2:$B$1001,"&lt;"&amp;$B721),_xlfn.MAXIFS($D$2:$D$1001,$A$2:$A$1001,$A721,$B$2:$B$1001,"&lt;="&amp;$B721),$C721)))),"")</f>
        <v/>
      </c>
      <c r="H721" s="15">
        <f>IFERROR(IF(G721="","",IF(INDEX(Accounts!$P$2:$P$11,$F721)="static",INDEX(Accounts!$Q$2:$Q$11,$F721)-INDEX(Accounts!$R$2:$R$11,$F721),IF(INDEX(Accounts!$S$2:$S$11,$F721)="NONE",G721-INDEX(Accounts!$R$2:$R$11,$F721),MIN(G721-INDEX(Accounts!$R$2:$R$11,$F721),INDEX(Accounts!$Q$2:$Q$11,$F721)+INDEX(Accounts!$S$2:$S$11,$F721))))),"")</f>
        <v/>
      </c>
      <c r="I721" s="16">
        <f>IF(AND($A721="",$B721="",$C721="",$D721="",$E721=""),"",IF(OR($A721="",$F721=""),"UNKNOWN_ACCOUNT",IF(OR($B721="",$C721=""),"INCOMPLETE",IFERROR(IF(OR(NOT(ISNUMBER($B721)),NOT(ISNUMBER($C721)),IF(C721="",FALSE,IF(ISNUMBER(C721),OR(C721&lt;=0,C721&gt;100000000,ROUND(C721*100,6)&lt;&gt;INT(ROUND(C721*100,6))),TRUE)),IF(D721="",FALSE,IF(ISNUMBER(D721),OR(D721&lt;=0,D721&gt;100000000,ROUND(D721*100,6)&lt;&gt;INT(ROUND(D721*100,6))),TRUE)),IF(E721="",FALSE,IF(ISNUMBER(E721),OR(E721&lt;=0,E721&gt;100000000,ROUND(E721*100,6)&lt;&gt;INT(ROUND(E721*100,6))),TRUE)),AND($D721&lt;&gt;"",$D721&lt;MAX($C721,$E721)),AND($E721&lt;&gt;"",$E721&gt;MIN($C721,IF($D721="",$C721,$D721))),COUNTIFS($A$2:$A$1001,$A721,$B$2:$B$1001,$B721)&gt;1),"INVALID",IFERROR(IF(IF(INDEX(Accounts!$T$2:$T$11,$F721),ROUND(IF($E721="",$C721,MIN($C721,$E721))-(H721),6)&lt;=0,ROUND(IF($E721="",$C721,MIN($C721,$E721))-(H721),6)&lt;0),"BREACHED","OK"),"INCOMPLETE")),"INVALID"))))</f>
        <v/>
      </c>
      <c r="J721" s="33">
        <f>IF(OR(I721="OK",I721="BREACHED"),-INT(ROUND(-(H721)*100,6))/100,I721)</f>
        <v/>
      </c>
    </row>
    <row r="722" ht="18" customHeight="1">
      <c r="A722" s="9" t="n"/>
      <c r="B722" s="32" t="n"/>
      <c r="C722" s="12" t="n"/>
      <c r="D722" s="12" t="n"/>
      <c r="E722" s="12" t="n"/>
      <c r="F722" s="15">
        <f>IFERROR(MATCH($A722,Accounts!$A$2:$A$11,0),"")</f>
        <v/>
      </c>
      <c r="G722" s="14">
        <f>IFERROR(IF(OR($A722="",$F722=""),"",IF(INDEX(Accounts!$P$2:$P$11,$F722)="static",INDEX(Accounts!$Q$2:$Q$11,$F722),IF(INDEX(Accounts!$P$2:$P$11,$F722)="eod_trailing",MAX(INDEX(Accounts!$Q$2:$Q$11,$F722),_xlfn.MAXIFS($C$2:$C$1001,$A$2:$A$1001,$A722,$B$2:$B$1001,"&lt;"&amp;$B722)),MAX(INDEX(Accounts!$Q$2:$Q$11,$F722),_xlfn.MAXIFS($C$2:$C$1001,$A$2:$A$1001,$A722,$B$2:$B$1001,"&lt;"&amp;$B722),_xlfn.MAXIFS($D$2:$D$1001,$A$2:$A$1001,$A722,$B$2:$B$1001,"&lt;="&amp;$B722),$C722)))),"")</f>
        <v/>
      </c>
      <c r="H722" s="15">
        <f>IFERROR(IF(G722="","",IF(INDEX(Accounts!$P$2:$P$11,$F722)="static",INDEX(Accounts!$Q$2:$Q$11,$F722)-INDEX(Accounts!$R$2:$R$11,$F722),IF(INDEX(Accounts!$S$2:$S$11,$F722)="NONE",G722-INDEX(Accounts!$R$2:$R$11,$F722),MIN(G722-INDEX(Accounts!$R$2:$R$11,$F722),INDEX(Accounts!$Q$2:$Q$11,$F722)+INDEX(Accounts!$S$2:$S$11,$F722))))),"")</f>
        <v/>
      </c>
      <c r="I722" s="16">
        <f>IF(AND($A722="",$B722="",$C722="",$D722="",$E722=""),"",IF(OR($A722="",$F722=""),"UNKNOWN_ACCOUNT",IF(OR($B722="",$C722=""),"INCOMPLETE",IFERROR(IF(OR(NOT(ISNUMBER($B722)),NOT(ISNUMBER($C722)),IF(C722="",FALSE,IF(ISNUMBER(C722),OR(C722&lt;=0,C722&gt;100000000,ROUND(C722*100,6)&lt;&gt;INT(ROUND(C722*100,6))),TRUE)),IF(D722="",FALSE,IF(ISNUMBER(D722),OR(D722&lt;=0,D722&gt;100000000,ROUND(D722*100,6)&lt;&gt;INT(ROUND(D722*100,6))),TRUE)),IF(E722="",FALSE,IF(ISNUMBER(E722),OR(E722&lt;=0,E722&gt;100000000,ROUND(E722*100,6)&lt;&gt;INT(ROUND(E722*100,6))),TRUE)),AND($D722&lt;&gt;"",$D722&lt;MAX($C722,$E722)),AND($E722&lt;&gt;"",$E722&gt;MIN($C722,IF($D722="",$C722,$D722))),COUNTIFS($A$2:$A$1001,$A722,$B$2:$B$1001,$B722)&gt;1),"INVALID",IFERROR(IF(IF(INDEX(Accounts!$T$2:$T$11,$F722),ROUND(IF($E722="",$C722,MIN($C722,$E722))-(H722),6)&lt;=0,ROUND(IF($E722="",$C722,MIN($C722,$E722))-(H722),6)&lt;0),"BREACHED","OK"),"INCOMPLETE")),"INVALID"))))</f>
        <v/>
      </c>
      <c r="J722" s="33">
        <f>IF(OR(I722="OK",I722="BREACHED"),-INT(ROUND(-(H722)*100,6))/100,I722)</f>
        <v/>
      </c>
    </row>
    <row r="723" ht="18" customHeight="1">
      <c r="A723" s="9" t="n"/>
      <c r="B723" s="32" t="n"/>
      <c r="C723" s="12" t="n"/>
      <c r="D723" s="12" t="n"/>
      <c r="E723" s="12" t="n"/>
      <c r="F723" s="15">
        <f>IFERROR(MATCH($A723,Accounts!$A$2:$A$11,0),"")</f>
        <v/>
      </c>
      <c r="G723" s="14">
        <f>IFERROR(IF(OR($A723="",$F723=""),"",IF(INDEX(Accounts!$P$2:$P$11,$F723)="static",INDEX(Accounts!$Q$2:$Q$11,$F723),IF(INDEX(Accounts!$P$2:$P$11,$F723)="eod_trailing",MAX(INDEX(Accounts!$Q$2:$Q$11,$F723),_xlfn.MAXIFS($C$2:$C$1001,$A$2:$A$1001,$A723,$B$2:$B$1001,"&lt;"&amp;$B723)),MAX(INDEX(Accounts!$Q$2:$Q$11,$F723),_xlfn.MAXIFS($C$2:$C$1001,$A$2:$A$1001,$A723,$B$2:$B$1001,"&lt;"&amp;$B723),_xlfn.MAXIFS($D$2:$D$1001,$A$2:$A$1001,$A723,$B$2:$B$1001,"&lt;="&amp;$B723),$C723)))),"")</f>
        <v/>
      </c>
      <c r="H723" s="15">
        <f>IFERROR(IF(G723="","",IF(INDEX(Accounts!$P$2:$P$11,$F723)="static",INDEX(Accounts!$Q$2:$Q$11,$F723)-INDEX(Accounts!$R$2:$R$11,$F723),IF(INDEX(Accounts!$S$2:$S$11,$F723)="NONE",G723-INDEX(Accounts!$R$2:$R$11,$F723),MIN(G723-INDEX(Accounts!$R$2:$R$11,$F723),INDEX(Accounts!$Q$2:$Q$11,$F723)+INDEX(Accounts!$S$2:$S$11,$F723))))),"")</f>
        <v/>
      </c>
      <c r="I723" s="16">
        <f>IF(AND($A723="",$B723="",$C723="",$D723="",$E723=""),"",IF(OR($A723="",$F723=""),"UNKNOWN_ACCOUNT",IF(OR($B723="",$C723=""),"INCOMPLETE",IFERROR(IF(OR(NOT(ISNUMBER($B723)),NOT(ISNUMBER($C723)),IF(C723="",FALSE,IF(ISNUMBER(C723),OR(C723&lt;=0,C723&gt;100000000,ROUND(C723*100,6)&lt;&gt;INT(ROUND(C723*100,6))),TRUE)),IF(D723="",FALSE,IF(ISNUMBER(D723),OR(D723&lt;=0,D723&gt;100000000,ROUND(D723*100,6)&lt;&gt;INT(ROUND(D723*100,6))),TRUE)),IF(E723="",FALSE,IF(ISNUMBER(E723),OR(E723&lt;=0,E723&gt;100000000,ROUND(E723*100,6)&lt;&gt;INT(ROUND(E723*100,6))),TRUE)),AND($D723&lt;&gt;"",$D723&lt;MAX($C723,$E723)),AND($E723&lt;&gt;"",$E723&gt;MIN($C723,IF($D723="",$C723,$D723))),COUNTIFS($A$2:$A$1001,$A723,$B$2:$B$1001,$B723)&gt;1),"INVALID",IFERROR(IF(IF(INDEX(Accounts!$T$2:$T$11,$F723),ROUND(IF($E723="",$C723,MIN($C723,$E723))-(H723),6)&lt;=0,ROUND(IF($E723="",$C723,MIN($C723,$E723))-(H723),6)&lt;0),"BREACHED","OK"),"INCOMPLETE")),"INVALID"))))</f>
        <v/>
      </c>
      <c r="J723" s="33">
        <f>IF(OR(I723="OK",I723="BREACHED"),-INT(ROUND(-(H723)*100,6))/100,I723)</f>
        <v/>
      </c>
    </row>
    <row r="724" ht="18" customHeight="1">
      <c r="A724" s="9" t="n"/>
      <c r="B724" s="32" t="n"/>
      <c r="C724" s="12" t="n"/>
      <c r="D724" s="12" t="n"/>
      <c r="E724" s="12" t="n"/>
      <c r="F724" s="15">
        <f>IFERROR(MATCH($A724,Accounts!$A$2:$A$11,0),"")</f>
        <v/>
      </c>
      <c r="G724" s="14">
        <f>IFERROR(IF(OR($A724="",$F724=""),"",IF(INDEX(Accounts!$P$2:$P$11,$F724)="static",INDEX(Accounts!$Q$2:$Q$11,$F724),IF(INDEX(Accounts!$P$2:$P$11,$F724)="eod_trailing",MAX(INDEX(Accounts!$Q$2:$Q$11,$F724),_xlfn.MAXIFS($C$2:$C$1001,$A$2:$A$1001,$A724,$B$2:$B$1001,"&lt;"&amp;$B724)),MAX(INDEX(Accounts!$Q$2:$Q$11,$F724),_xlfn.MAXIFS($C$2:$C$1001,$A$2:$A$1001,$A724,$B$2:$B$1001,"&lt;"&amp;$B724),_xlfn.MAXIFS($D$2:$D$1001,$A$2:$A$1001,$A724,$B$2:$B$1001,"&lt;="&amp;$B724),$C724)))),"")</f>
        <v/>
      </c>
      <c r="H724" s="15">
        <f>IFERROR(IF(G724="","",IF(INDEX(Accounts!$P$2:$P$11,$F724)="static",INDEX(Accounts!$Q$2:$Q$11,$F724)-INDEX(Accounts!$R$2:$R$11,$F724),IF(INDEX(Accounts!$S$2:$S$11,$F724)="NONE",G724-INDEX(Accounts!$R$2:$R$11,$F724),MIN(G724-INDEX(Accounts!$R$2:$R$11,$F724),INDEX(Accounts!$Q$2:$Q$11,$F724)+INDEX(Accounts!$S$2:$S$11,$F724))))),"")</f>
        <v/>
      </c>
      <c r="I724" s="16">
        <f>IF(AND($A724="",$B724="",$C724="",$D724="",$E724=""),"",IF(OR($A724="",$F724=""),"UNKNOWN_ACCOUNT",IF(OR($B724="",$C724=""),"INCOMPLETE",IFERROR(IF(OR(NOT(ISNUMBER($B724)),NOT(ISNUMBER($C724)),IF(C724="",FALSE,IF(ISNUMBER(C724),OR(C724&lt;=0,C724&gt;100000000,ROUND(C724*100,6)&lt;&gt;INT(ROUND(C724*100,6))),TRUE)),IF(D724="",FALSE,IF(ISNUMBER(D724),OR(D724&lt;=0,D724&gt;100000000,ROUND(D724*100,6)&lt;&gt;INT(ROUND(D724*100,6))),TRUE)),IF(E724="",FALSE,IF(ISNUMBER(E724),OR(E724&lt;=0,E724&gt;100000000,ROUND(E724*100,6)&lt;&gt;INT(ROUND(E724*100,6))),TRUE)),AND($D724&lt;&gt;"",$D724&lt;MAX($C724,$E724)),AND($E724&lt;&gt;"",$E724&gt;MIN($C724,IF($D724="",$C724,$D724))),COUNTIFS($A$2:$A$1001,$A724,$B$2:$B$1001,$B724)&gt;1),"INVALID",IFERROR(IF(IF(INDEX(Accounts!$T$2:$T$11,$F724),ROUND(IF($E724="",$C724,MIN($C724,$E724))-(H724),6)&lt;=0,ROUND(IF($E724="",$C724,MIN($C724,$E724))-(H724),6)&lt;0),"BREACHED","OK"),"INCOMPLETE")),"INVALID"))))</f>
        <v/>
      </c>
      <c r="J724" s="33">
        <f>IF(OR(I724="OK",I724="BREACHED"),-INT(ROUND(-(H724)*100,6))/100,I724)</f>
        <v/>
      </c>
    </row>
    <row r="725" ht="18" customHeight="1">
      <c r="A725" s="9" t="n"/>
      <c r="B725" s="32" t="n"/>
      <c r="C725" s="12" t="n"/>
      <c r="D725" s="12" t="n"/>
      <c r="E725" s="12" t="n"/>
      <c r="F725" s="15">
        <f>IFERROR(MATCH($A725,Accounts!$A$2:$A$11,0),"")</f>
        <v/>
      </c>
      <c r="G725" s="14">
        <f>IFERROR(IF(OR($A725="",$F725=""),"",IF(INDEX(Accounts!$P$2:$P$11,$F725)="static",INDEX(Accounts!$Q$2:$Q$11,$F725),IF(INDEX(Accounts!$P$2:$P$11,$F725)="eod_trailing",MAX(INDEX(Accounts!$Q$2:$Q$11,$F725),_xlfn.MAXIFS($C$2:$C$1001,$A$2:$A$1001,$A725,$B$2:$B$1001,"&lt;"&amp;$B725)),MAX(INDEX(Accounts!$Q$2:$Q$11,$F725),_xlfn.MAXIFS($C$2:$C$1001,$A$2:$A$1001,$A725,$B$2:$B$1001,"&lt;"&amp;$B725),_xlfn.MAXIFS($D$2:$D$1001,$A$2:$A$1001,$A725,$B$2:$B$1001,"&lt;="&amp;$B725),$C725)))),"")</f>
        <v/>
      </c>
      <c r="H725" s="15">
        <f>IFERROR(IF(G725="","",IF(INDEX(Accounts!$P$2:$P$11,$F725)="static",INDEX(Accounts!$Q$2:$Q$11,$F725)-INDEX(Accounts!$R$2:$R$11,$F725),IF(INDEX(Accounts!$S$2:$S$11,$F725)="NONE",G725-INDEX(Accounts!$R$2:$R$11,$F725),MIN(G725-INDEX(Accounts!$R$2:$R$11,$F725),INDEX(Accounts!$Q$2:$Q$11,$F725)+INDEX(Accounts!$S$2:$S$11,$F725))))),"")</f>
        <v/>
      </c>
      <c r="I725" s="16">
        <f>IF(AND($A725="",$B725="",$C725="",$D725="",$E725=""),"",IF(OR($A725="",$F725=""),"UNKNOWN_ACCOUNT",IF(OR($B725="",$C725=""),"INCOMPLETE",IFERROR(IF(OR(NOT(ISNUMBER($B725)),NOT(ISNUMBER($C725)),IF(C725="",FALSE,IF(ISNUMBER(C725),OR(C725&lt;=0,C725&gt;100000000,ROUND(C725*100,6)&lt;&gt;INT(ROUND(C725*100,6))),TRUE)),IF(D725="",FALSE,IF(ISNUMBER(D725),OR(D725&lt;=0,D725&gt;100000000,ROUND(D725*100,6)&lt;&gt;INT(ROUND(D725*100,6))),TRUE)),IF(E725="",FALSE,IF(ISNUMBER(E725),OR(E725&lt;=0,E725&gt;100000000,ROUND(E725*100,6)&lt;&gt;INT(ROUND(E725*100,6))),TRUE)),AND($D725&lt;&gt;"",$D725&lt;MAX($C725,$E725)),AND($E725&lt;&gt;"",$E725&gt;MIN($C725,IF($D725="",$C725,$D725))),COUNTIFS($A$2:$A$1001,$A725,$B$2:$B$1001,$B725)&gt;1),"INVALID",IFERROR(IF(IF(INDEX(Accounts!$T$2:$T$11,$F725),ROUND(IF($E725="",$C725,MIN($C725,$E725))-(H725),6)&lt;=0,ROUND(IF($E725="",$C725,MIN($C725,$E725))-(H725),6)&lt;0),"BREACHED","OK"),"INCOMPLETE")),"INVALID"))))</f>
        <v/>
      </c>
      <c r="J725" s="33">
        <f>IF(OR(I725="OK",I725="BREACHED"),-INT(ROUND(-(H725)*100,6))/100,I725)</f>
        <v/>
      </c>
    </row>
    <row r="726" ht="18" customHeight="1">
      <c r="A726" s="9" t="n"/>
      <c r="B726" s="32" t="n"/>
      <c r="C726" s="12" t="n"/>
      <c r="D726" s="12" t="n"/>
      <c r="E726" s="12" t="n"/>
      <c r="F726" s="15">
        <f>IFERROR(MATCH($A726,Accounts!$A$2:$A$11,0),"")</f>
        <v/>
      </c>
      <c r="G726" s="14">
        <f>IFERROR(IF(OR($A726="",$F726=""),"",IF(INDEX(Accounts!$P$2:$P$11,$F726)="static",INDEX(Accounts!$Q$2:$Q$11,$F726),IF(INDEX(Accounts!$P$2:$P$11,$F726)="eod_trailing",MAX(INDEX(Accounts!$Q$2:$Q$11,$F726),_xlfn.MAXIFS($C$2:$C$1001,$A$2:$A$1001,$A726,$B$2:$B$1001,"&lt;"&amp;$B726)),MAX(INDEX(Accounts!$Q$2:$Q$11,$F726),_xlfn.MAXIFS($C$2:$C$1001,$A$2:$A$1001,$A726,$B$2:$B$1001,"&lt;"&amp;$B726),_xlfn.MAXIFS($D$2:$D$1001,$A$2:$A$1001,$A726,$B$2:$B$1001,"&lt;="&amp;$B726),$C726)))),"")</f>
        <v/>
      </c>
      <c r="H726" s="15">
        <f>IFERROR(IF(G726="","",IF(INDEX(Accounts!$P$2:$P$11,$F726)="static",INDEX(Accounts!$Q$2:$Q$11,$F726)-INDEX(Accounts!$R$2:$R$11,$F726),IF(INDEX(Accounts!$S$2:$S$11,$F726)="NONE",G726-INDEX(Accounts!$R$2:$R$11,$F726),MIN(G726-INDEX(Accounts!$R$2:$R$11,$F726),INDEX(Accounts!$Q$2:$Q$11,$F726)+INDEX(Accounts!$S$2:$S$11,$F726))))),"")</f>
        <v/>
      </c>
      <c r="I726" s="16">
        <f>IF(AND($A726="",$B726="",$C726="",$D726="",$E726=""),"",IF(OR($A726="",$F726=""),"UNKNOWN_ACCOUNT",IF(OR($B726="",$C726=""),"INCOMPLETE",IFERROR(IF(OR(NOT(ISNUMBER($B726)),NOT(ISNUMBER($C726)),IF(C726="",FALSE,IF(ISNUMBER(C726),OR(C726&lt;=0,C726&gt;100000000,ROUND(C726*100,6)&lt;&gt;INT(ROUND(C726*100,6))),TRUE)),IF(D726="",FALSE,IF(ISNUMBER(D726),OR(D726&lt;=0,D726&gt;100000000,ROUND(D726*100,6)&lt;&gt;INT(ROUND(D726*100,6))),TRUE)),IF(E726="",FALSE,IF(ISNUMBER(E726),OR(E726&lt;=0,E726&gt;100000000,ROUND(E726*100,6)&lt;&gt;INT(ROUND(E726*100,6))),TRUE)),AND($D726&lt;&gt;"",$D726&lt;MAX($C726,$E726)),AND($E726&lt;&gt;"",$E726&gt;MIN($C726,IF($D726="",$C726,$D726))),COUNTIFS($A$2:$A$1001,$A726,$B$2:$B$1001,$B726)&gt;1),"INVALID",IFERROR(IF(IF(INDEX(Accounts!$T$2:$T$11,$F726),ROUND(IF($E726="",$C726,MIN($C726,$E726))-(H726),6)&lt;=0,ROUND(IF($E726="",$C726,MIN($C726,$E726))-(H726),6)&lt;0),"BREACHED","OK"),"INCOMPLETE")),"INVALID"))))</f>
        <v/>
      </c>
      <c r="J726" s="33">
        <f>IF(OR(I726="OK",I726="BREACHED"),-INT(ROUND(-(H726)*100,6))/100,I726)</f>
        <v/>
      </c>
    </row>
    <row r="727" ht="18" customHeight="1">
      <c r="A727" s="9" t="n"/>
      <c r="B727" s="32" t="n"/>
      <c r="C727" s="12" t="n"/>
      <c r="D727" s="12" t="n"/>
      <c r="E727" s="12" t="n"/>
      <c r="F727" s="15">
        <f>IFERROR(MATCH($A727,Accounts!$A$2:$A$11,0),"")</f>
        <v/>
      </c>
      <c r="G727" s="14">
        <f>IFERROR(IF(OR($A727="",$F727=""),"",IF(INDEX(Accounts!$P$2:$P$11,$F727)="static",INDEX(Accounts!$Q$2:$Q$11,$F727),IF(INDEX(Accounts!$P$2:$P$11,$F727)="eod_trailing",MAX(INDEX(Accounts!$Q$2:$Q$11,$F727),_xlfn.MAXIFS($C$2:$C$1001,$A$2:$A$1001,$A727,$B$2:$B$1001,"&lt;"&amp;$B727)),MAX(INDEX(Accounts!$Q$2:$Q$11,$F727),_xlfn.MAXIFS($C$2:$C$1001,$A$2:$A$1001,$A727,$B$2:$B$1001,"&lt;"&amp;$B727),_xlfn.MAXIFS($D$2:$D$1001,$A$2:$A$1001,$A727,$B$2:$B$1001,"&lt;="&amp;$B727),$C727)))),"")</f>
        <v/>
      </c>
      <c r="H727" s="15">
        <f>IFERROR(IF(G727="","",IF(INDEX(Accounts!$P$2:$P$11,$F727)="static",INDEX(Accounts!$Q$2:$Q$11,$F727)-INDEX(Accounts!$R$2:$R$11,$F727),IF(INDEX(Accounts!$S$2:$S$11,$F727)="NONE",G727-INDEX(Accounts!$R$2:$R$11,$F727),MIN(G727-INDEX(Accounts!$R$2:$R$11,$F727),INDEX(Accounts!$Q$2:$Q$11,$F727)+INDEX(Accounts!$S$2:$S$11,$F727))))),"")</f>
        <v/>
      </c>
      <c r="I727" s="16">
        <f>IF(AND($A727="",$B727="",$C727="",$D727="",$E727=""),"",IF(OR($A727="",$F727=""),"UNKNOWN_ACCOUNT",IF(OR($B727="",$C727=""),"INCOMPLETE",IFERROR(IF(OR(NOT(ISNUMBER($B727)),NOT(ISNUMBER($C727)),IF(C727="",FALSE,IF(ISNUMBER(C727),OR(C727&lt;=0,C727&gt;100000000,ROUND(C727*100,6)&lt;&gt;INT(ROUND(C727*100,6))),TRUE)),IF(D727="",FALSE,IF(ISNUMBER(D727),OR(D727&lt;=0,D727&gt;100000000,ROUND(D727*100,6)&lt;&gt;INT(ROUND(D727*100,6))),TRUE)),IF(E727="",FALSE,IF(ISNUMBER(E727),OR(E727&lt;=0,E727&gt;100000000,ROUND(E727*100,6)&lt;&gt;INT(ROUND(E727*100,6))),TRUE)),AND($D727&lt;&gt;"",$D727&lt;MAX($C727,$E727)),AND($E727&lt;&gt;"",$E727&gt;MIN($C727,IF($D727="",$C727,$D727))),COUNTIFS($A$2:$A$1001,$A727,$B$2:$B$1001,$B727)&gt;1),"INVALID",IFERROR(IF(IF(INDEX(Accounts!$T$2:$T$11,$F727),ROUND(IF($E727="",$C727,MIN($C727,$E727))-(H727),6)&lt;=0,ROUND(IF($E727="",$C727,MIN($C727,$E727))-(H727),6)&lt;0),"BREACHED","OK"),"INCOMPLETE")),"INVALID"))))</f>
        <v/>
      </c>
      <c r="J727" s="33">
        <f>IF(OR(I727="OK",I727="BREACHED"),-INT(ROUND(-(H727)*100,6))/100,I727)</f>
        <v/>
      </c>
    </row>
    <row r="728" ht="18" customHeight="1">
      <c r="A728" s="9" t="n"/>
      <c r="B728" s="32" t="n"/>
      <c r="C728" s="12" t="n"/>
      <c r="D728" s="12" t="n"/>
      <c r="E728" s="12" t="n"/>
      <c r="F728" s="15">
        <f>IFERROR(MATCH($A728,Accounts!$A$2:$A$11,0),"")</f>
        <v/>
      </c>
      <c r="G728" s="14">
        <f>IFERROR(IF(OR($A728="",$F728=""),"",IF(INDEX(Accounts!$P$2:$P$11,$F728)="static",INDEX(Accounts!$Q$2:$Q$11,$F728),IF(INDEX(Accounts!$P$2:$P$11,$F728)="eod_trailing",MAX(INDEX(Accounts!$Q$2:$Q$11,$F728),_xlfn.MAXIFS($C$2:$C$1001,$A$2:$A$1001,$A728,$B$2:$B$1001,"&lt;"&amp;$B728)),MAX(INDEX(Accounts!$Q$2:$Q$11,$F728),_xlfn.MAXIFS($C$2:$C$1001,$A$2:$A$1001,$A728,$B$2:$B$1001,"&lt;"&amp;$B728),_xlfn.MAXIFS($D$2:$D$1001,$A$2:$A$1001,$A728,$B$2:$B$1001,"&lt;="&amp;$B728),$C728)))),"")</f>
        <v/>
      </c>
      <c r="H728" s="15">
        <f>IFERROR(IF(G728="","",IF(INDEX(Accounts!$P$2:$P$11,$F728)="static",INDEX(Accounts!$Q$2:$Q$11,$F728)-INDEX(Accounts!$R$2:$R$11,$F728),IF(INDEX(Accounts!$S$2:$S$11,$F728)="NONE",G728-INDEX(Accounts!$R$2:$R$11,$F728),MIN(G728-INDEX(Accounts!$R$2:$R$11,$F728),INDEX(Accounts!$Q$2:$Q$11,$F728)+INDEX(Accounts!$S$2:$S$11,$F728))))),"")</f>
        <v/>
      </c>
      <c r="I728" s="16">
        <f>IF(AND($A728="",$B728="",$C728="",$D728="",$E728=""),"",IF(OR($A728="",$F728=""),"UNKNOWN_ACCOUNT",IF(OR($B728="",$C728=""),"INCOMPLETE",IFERROR(IF(OR(NOT(ISNUMBER($B728)),NOT(ISNUMBER($C728)),IF(C728="",FALSE,IF(ISNUMBER(C728),OR(C728&lt;=0,C728&gt;100000000,ROUND(C728*100,6)&lt;&gt;INT(ROUND(C728*100,6))),TRUE)),IF(D728="",FALSE,IF(ISNUMBER(D728),OR(D728&lt;=0,D728&gt;100000000,ROUND(D728*100,6)&lt;&gt;INT(ROUND(D728*100,6))),TRUE)),IF(E728="",FALSE,IF(ISNUMBER(E728),OR(E728&lt;=0,E728&gt;100000000,ROUND(E728*100,6)&lt;&gt;INT(ROUND(E728*100,6))),TRUE)),AND($D728&lt;&gt;"",$D728&lt;MAX($C728,$E728)),AND($E728&lt;&gt;"",$E728&gt;MIN($C728,IF($D728="",$C728,$D728))),COUNTIFS($A$2:$A$1001,$A728,$B$2:$B$1001,$B728)&gt;1),"INVALID",IFERROR(IF(IF(INDEX(Accounts!$T$2:$T$11,$F728),ROUND(IF($E728="",$C728,MIN($C728,$E728))-(H728),6)&lt;=0,ROUND(IF($E728="",$C728,MIN($C728,$E728))-(H728),6)&lt;0),"BREACHED","OK"),"INCOMPLETE")),"INVALID"))))</f>
        <v/>
      </c>
      <c r="J728" s="33">
        <f>IF(OR(I728="OK",I728="BREACHED"),-INT(ROUND(-(H728)*100,6))/100,I728)</f>
        <v/>
      </c>
    </row>
    <row r="729" ht="18" customHeight="1">
      <c r="A729" s="9" t="n"/>
      <c r="B729" s="32" t="n"/>
      <c r="C729" s="12" t="n"/>
      <c r="D729" s="12" t="n"/>
      <c r="E729" s="12" t="n"/>
      <c r="F729" s="15">
        <f>IFERROR(MATCH($A729,Accounts!$A$2:$A$11,0),"")</f>
        <v/>
      </c>
      <c r="G729" s="14">
        <f>IFERROR(IF(OR($A729="",$F729=""),"",IF(INDEX(Accounts!$P$2:$P$11,$F729)="static",INDEX(Accounts!$Q$2:$Q$11,$F729),IF(INDEX(Accounts!$P$2:$P$11,$F729)="eod_trailing",MAX(INDEX(Accounts!$Q$2:$Q$11,$F729),_xlfn.MAXIFS($C$2:$C$1001,$A$2:$A$1001,$A729,$B$2:$B$1001,"&lt;"&amp;$B729)),MAX(INDEX(Accounts!$Q$2:$Q$11,$F729),_xlfn.MAXIFS($C$2:$C$1001,$A$2:$A$1001,$A729,$B$2:$B$1001,"&lt;"&amp;$B729),_xlfn.MAXIFS($D$2:$D$1001,$A$2:$A$1001,$A729,$B$2:$B$1001,"&lt;="&amp;$B729),$C729)))),"")</f>
        <v/>
      </c>
      <c r="H729" s="15">
        <f>IFERROR(IF(G729="","",IF(INDEX(Accounts!$P$2:$P$11,$F729)="static",INDEX(Accounts!$Q$2:$Q$11,$F729)-INDEX(Accounts!$R$2:$R$11,$F729),IF(INDEX(Accounts!$S$2:$S$11,$F729)="NONE",G729-INDEX(Accounts!$R$2:$R$11,$F729),MIN(G729-INDEX(Accounts!$R$2:$R$11,$F729),INDEX(Accounts!$Q$2:$Q$11,$F729)+INDEX(Accounts!$S$2:$S$11,$F729))))),"")</f>
        <v/>
      </c>
      <c r="I729" s="16">
        <f>IF(AND($A729="",$B729="",$C729="",$D729="",$E729=""),"",IF(OR($A729="",$F729=""),"UNKNOWN_ACCOUNT",IF(OR($B729="",$C729=""),"INCOMPLETE",IFERROR(IF(OR(NOT(ISNUMBER($B729)),NOT(ISNUMBER($C729)),IF(C729="",FALSE,IF(ISNUMBER(C729),OR(C729&lt;=0,C729&gt;100000000,ROUND(C729*100,6)&lt;&gt;INT(ROUND(C729*100,6))),TRUE)),IF(D729="",FALSE,IF(ISNUMBER(D729),OR(D729&lt;=0,D729&gt;100000000,ROUND(D729*100,6)&lt;&gt;INT(ROUND(D729*100,6))),TRUE)),IF(E729="",FALSE,IF(ISNUMBER(E729),OR(E729&lt;=0,E729&gt;100000000,ROUND(E729*100,6)&lt;&gt;INT(ROUND(E729*100,6))),TRUE)),AND($D729&lt;&gt;"",$D729&lt;MAX($C729,$E729)),AND($E729&lt;&gt;"",$E729&gt;MIN($C729,IF($D729="",$C729,$D729))),COUNTIFS($A$2:$A$1001,$A729,$B$2:$B$1001,$B729)&gt;1),"INVALID",IFERROR(IF(IF(INDEX(Accounts!$T$2:$T$11,$F729),ROUND(IF($E729="",$C729,MIN($C729,$E729))-(H729),6)&lt;=0,ROUND(IF($E729="",$C729,MIN($C729,$E729))-(H729),6)&lt;0),"BREACHED","OK"),"INCOMPLETE")),"INVALID"))))</f>
        <v/>
      </c>
      <c r="J729" s="33">
        <f>IF(OR(I729="OK",I729="BREACHED"),-INT(ROUND(-(H729)*100,6))/100,I729)</f>
        <v/>
      </c>
    </row>
    <row r="730" ht="18" customHeight="1">
      <c r="A730" s="9" t="n"/>
      <c r="B730" s="32" t="n"/>
      <c r="C730" s="12" t="n"/>
      <c r="D730" s="12" t="n"/>
      <c r="E730" s="12" t="n"/>
      <c r="F730" s="15">
        <f>IFERROR(MATCH($A730,Accounts!$A$2:$A$11,0),"")</f>
        <v/>
      </c>
      <c r="G730" s="14">
        <f>IFERROR(IF(OR($A730="",$F730=""),"",IF(INDEX(Accounts!$P$2:$P$11,$F730)="static",INDEX(Accounts!$Q$2:$Q$11,$F730),IF(INDEX(Accounts!$P$2:$P$11,$F730)="eod_trailing",MAX(INDEX(Accounts!$Q$2:$Q$11,$F730),_xlfn.MAXIFS($C$2:$C$1001,$A$2:$A$1001,$A730,$B$2:$B$1001,"&lt;"&amp;$B730)),MAX(INDEX(Accounts!$Q$2:$Q$11,$F730),_xlfn.MAXIFS($C$2:$C$1001,$A$2:$A$1001,$A730,$B$2:$B$1001,"&lt;"&amp;$B730),_xlfn.MAXIFS($D$2:$D$1001,$A$2:$A$1001,$A730,$B$2:$B$1001,"&lt;="&amp;$B730),$C730)))),"")</f>
        <v/>
      </c>
      <c r="H730" s="15">
        <f>IFERROR(IF(G730="","",IF(INDEX(Accounts!$P$2:$P$11,$F730)="static",INDEX(Accounts!$Q$2:$Q$11,$F730)-INDEX(Accounts!$R$2:$R$11,$F730),IF(INDEX(Accounts!$S$2:$S$11,$F730)="NONE",G730-INDEX(Accounts!$R$2:$R$11,$F730),MIN(G730-INDEX(Accounts!$R$2:$R$11,$F730),INDEX(Accounts!$Q$2:$Q$11,$F730)+INDEX(Accounts!$S$2:$S$11,$F730))))),"")</f>
        <v/>
      </c>
      <c r="I730" s="16">
        <f>IF(AND($A730="",$B730="",$C730="",$D730="",$E730=""),"",IF(OR($A730="",$F730=""),"UNKNOWN_ACCOUNT",IF(OR($B730="",$C730=""),"INCOMPLETE",IFERROR(IF(OR(NOT(ISNUMBER($B730)),NOT(ISNUMBER($C730)),IF(C730="",FALSE,IF(ISNUMBER(C730),OR(C730&lt;=0,C730&gt;100000000,ROUND(C730*100,6)&lt;&gt;INT(ROUND(C730*100,6))),TRUE)),IF(D730="",FALSE,IF(ISNUMBER(D730),OR(D730&lt;=0,D730&gt;100000000,ROUND(D730*100,6)&lt;&gt;INT(ROUND(D730*100,6))),TRUE)),IF(E730="",FALSE,IF(ISNUMBER(E730),OR(E730&lt;=0,E730&gt;100000000,ROUND(E730*100,6)&lt;&gt;INT(ROUND(E730*100,6))),TRUE)),AND($D730&lt;&gt;"",$D730&lt;MAX($C730,$E730)),AND($E730&lt;&gt;"",$E730&gt;MIN($C730,IF($D730="",$C730,$D730))),COUNTIFS($A$2:$A$1001,$A730,$B$2:$B$1001,$B730)&gt;1),"INVALID",IFERROR(IF(IF(INDEX(Accounts!$T$2:$T$11,$F730),ROUND(IF($E730="",$C730,MIN($C730,$E730))-(H730),6)&lt;=0,ROUND(IF($E730="",$C730,MIN($C730,$E730))-(H730),6)&lt;0),"BREACHED","OK"),"INCOMPLETE")),"INVALID"))))</f>
        <v/>
      </c>
      <c r="J730" s="33">
        <f>IF(OR(I730="OK",I730="BREACHED"),-INT(ROUND(-(H730)*100,6))/100,I730)</f>
        <v/>
      </c>
    </row>
    <row r="731" ht="18" customHeight="1">
      <c r="A731" s="9" t="n"/>
      <c r="B731" s="32" t="n"/>
      <c r="C731" s="12" t="n"/>
      <c r="D731" s="12" t="n"/>
      <c r="E731" s="12" t="n"/>
      <c r="F731" s="15">
        <f>IFERROR(MATCH($A731,Accounts!$A$2:$A$11,0),"")</f>
        <v/>
      </c>
      <c r="G731" s="14">
        <f>IFERROR(IF(OR($A731="",$F731=""),"",IF(INDEX(Accounts!$P$2:$P$11,$F731)="static",INDEX(Accounts!$Q$2:$Q$11,$F731),IF(INDEX(Accounts!$P$2:$P$11,$F731)="eod_trailing",MAX(INDEX(Accounts!$Q$2:$Q$11,$F731),_xlfn.MAXIFS($C$2:$C$1001,$A$2:$A$1001,$A731,$B$2:$B$1001,"&lt;"&amp;$B731)),MAX(INDEX(Accounts!$Q$2:$Q$11,$F731),_xlfn.MAXIFS($C$2:$C$1001,$A$2:$A$1001,$A731,$B$2:$B$1001,"&lt;"&amp;$B731),_xlfn.MAXIFS($D$2:$D$1001,$A$2:$A$1001,$A731,$B$2:$B$1001,"&lt;="&amp;$B731),$C731)))),"")</f>
        <v/>
      </c>
      <c r="H731" s="15">
        <f>IFERROR(IF(G731="","",IF(INDEX(Accounts!$P$2:$P$11,$F731)="static",INDEX(Accounts!$Q$2:$Q$11,$F731)-INDEX(Accounts!$R$2:$R$11,$F731),IF(INDEX(Accounts!$S$2:$S$11,$F731)="NONE",G731-INDEX(Accounts!$R$2:$R$11,$F731),MIN(G731-INDEX(Accounts!$R$2:$R$11,$F731),INDEX(Accounts!$Q$2:$Q$11,$F731)+INDEX(Accounts!$S$2:$S$11,$F731))))),"")</f>
        <v/>
      </c>
      <c r="I731" s="16">
        <f>IF(AND($A731="",$B731="",$C731="",$D731="",$E731=""),"",IF(OR($A731="",$F731=""),"UNKNOWN_ACCOUNT",IF(OR($B731="",$C731=""),"INCOMPLETE",IFERROR(IF(OR(NOT(ISNUMBER($B731)),NOT(ISNUMBER($C731)),IF(C731="",FALSE,IF(ISNUMBER(C731),OR(C731&lt;=0,C731&gt;100000000,ROUND(C731*100,6)&lt;&gt;INT(ROUND(C731*100,6))),TRUE)),IF(D731="",FALSE,IF(ISNUMBER(D731),OR(D731&lt;=0,D731&gt;100000000,ROUND(D731*100,6)&lt;&gt;INT(ROUND(D731*100,6))),TRUE)),IF(E731="",FALSE,IF(ISNUMBER(E731),OR(E731&lt;=0,E731&gt;100000000,ROUND(E731*100,6)&lt;&gt;INT(ROUND(E731*100,6))),TRUE)),AND($D731&lt;&gt;"",$D731&lt;MAX($C731,$E731)),AND($E731&lt;&gt;"",$E731&gt;MIN($C731,IF($D731="",$C731,$D731))),COUNTIFS($A$2:$A$1001,$A731,$B$2:$B$1001,$B731)&gt;1),"INVALID",IFERROR(IF(IF(INDEX(Accounts!$T$2:$T$11,$F731),ROUND(IF($E731="",$C731,MIN($C731,$E731))-(H731),6)&lt;=0,ROUND(IF($E731="",$C731,MIN($C731,$E731))-(H731),6)&lt;0),"BREACHED","OK"),"INCOMPLETE")),"INVALID"))))</f>
        <v/>
      </c>
      <c r="J731" s="33">
        <f>IF(OR(I731="OK",I731="BREACHED"),-INT(ROUND(-(H731)*100,6))/100,I731)</f>
        <v/>
      </c>
    </row>
    <row r="732" ht="18" customHeight="1">
      <c r="A732" s="9" t="n"/>
      <c r="B732" s="32" t="n"/>
      <c r="C732" s="12" t="n"/>
      <c r="D732" s="12" t="n"/>
      <c r="E732" s="12" t="n"/>
      <c r="F732" s="15">
        <f>IFERROR(MATCH($A732,Accounts!$A$2:$A$11,0),"")</f>
        <v/>
      </c>
      <c r="G732" s="14">
        <f>IFERROR(IF(OR($A732="",$F732=""),"",IF(INDEX(Accounts!$P$2:$P$11,$F732)="static",INDEX(Accounts!$Q$2:$Q$11,$F732),IF(INDEX(Accounts!$P$2:$P$11,$F732)="eod_trailing",MAX(INDEX(Accounts!$Q$2:$Q$11,$F732),_xlfn.MAXIFS($C$2:$C$1001,$A$2:$A$1001,$A732,$B$2:$B$1001,"&lt;"&amp;$B732)),MAX(INDEX(Accounts!$Q$2:$Q$11,$F732),_xlfn.MAXIFS($C$2:$C$1001,$A$2:$A$1001,$A732,$B$2:$B$1001,"&lt;"&amp;$B732),_xlfn.MAXIFS($D$2:$D$1001,$A$2:$A$1001,$A732,$B$2:$B$1001,"&lt;="&amp;$B732),$C732)))),"")</f>
        <v/>
      </c>
      <c r="H732" s="15">
        <f>IFERROR(IF(G732="","",IF(INDEX(Accounts!$P$2:$P$11,$F732)="static",INDEX(Accounts!$Q$2:$Q$11,$F732)-INDEX(Accounts!$R$2:$R$11,$F732),IF(INDEX(Accounts!$S$2:$S$11,$F732)="NONE",G732-INDEX(Accounts!$R$2:$R$11,$F732),MIN(G732-INDEX(Accounts!$R$2:$R$11,$F732),INDEX(Accounts!$Q$2:$Q$11,$F732)+INDEX(Accounts!$S$2:$S$11,$F732))))),"")</f>
        <v/>
      </c>
      <c r="I732" s="16">
        <f>IF(AND($A732="",$B732="",$C732="",$D732="",$E732=""),"",IF(OR($A732="",$F732=""),"UNKNOWN_ACCOUNT",IF(OR($B732="",$C732=""),"INCOMPLETE",IFERROR(IF(OR(NOT(ISNUMBER($B732)),NOT(ISNUMBER($C732)),IF(C732="",FALSE,IF(ISNUMBER(C732),OR(C732&lt;=0,C732&gt;100000000,ROUND(C732*100,6)&lt;&gt;INT(ROUND(C732*100,6))),TRUE)),IF(D732="",FALSE,IF(ISNUMBER(D732),OR(D732&lt;=0,D732&gt;100000000,ROUND(D732*100,6)&lt;&gt;INT(ROUND(D732*100,6))),TRUE)),IF(E732="",FALSE,IF(ISNUMBER(E732),OR(E732&lt;=0,E732&gt;100000000,ROUND(E732*100,6)&lt;&gt;INT(ROUND(E732*100,6))),TRUE)),AND($D732&lt;&gt;"",$D732&lt;MAX($C732,$E732)),AND($E732&lt;&gt;"",$E732&gt;MIN($C732,IF($D732="",$C732,$D732))),COUNTIFS($A$2:$A$1001,$A732,$B$2:$B$1001,$B732)&gt;1),"INVALID",IFERROR(IF(IF(INDEX(Accounts!$T$2:$T$11,$F732),ROUND(IF($E732="",$C732,MIN($C732,$E732))-(H732),6)&lt;=0,ROUND(IF($E732="",$C732,MIN($C732,$E732))-(H732),6)&lt;0),"BREACHED","OK"),"INCOMPLETE")),"INVALID"))))</f>
        <v/>
      </c>
      <c r="J732" s="33">
        <f>IF(OR(I732="OK",I732="BREACHED"),-INT(ROUND(-(H732)*100,6))/100,I732)</f>
        <v/>
      </c>
    </row>
    <row r="733" ht="18" customHeight="1">
      <c r="A733" s="9" t="n"/>
      <c r="B733" s="32" t="n"/>
      <c r="C733" s="12" t="n"/>
      <c r="D733" s="12" t="n"/>
      <c r="E733" s="12" t="n"/>
      <c r="F733" s="15">
        <f>IFERROR(MATCH($A733,Accounts!$A$2:$A$11,0),"")</f>
        <v/>
      </c>
      <c r="G733" s="14">
        <f>IFERROR(IF(OR($A733="",$F733=""),"",IF(INDEX(Accounts!$P$2:$P$11,$F733)="static",INDEX(Accounts!$Q$2:$Q$11,$F733),IF(INDEX(Accounts!$P$2:$P$11,$F733)="eod_trailing",MAX(INDEX(Accounts!$Q$2:$Q$11,$F733),_xlfn.MAXIFS($C$2:$C$1001,$A$2:$A$1001,$A733,$B$2:$B$1001,"&lt;"&amp;$B733)),MAX(INDEX(Accounts!$Q$2:$Q$11,$F733),_xlfn.MAXIFS($C$2:$C$1001,$A$2:$A$1001,$A733,$B$2:$B$1001,"&lt;"&amp;$B733),_xlfn.MAXIFS($D$2:$D$1001,$A$2:$A$1001,$A733,$B$2:$B$1001,"&lt;="&amp;$B733),$C733)))),"")</f>
        <v/>
      </c>
      <c r="H733" s="15">
        <f>IFERROR(IF(G733="","",IF(INDEX(Accounts!$P$2:$P$11,$F733)="static",INDEX(Accounts!$Q$2:$Q$11,$F733)-INDEX(Accounts!$R$2:$R$11,$F733),IF(INDEX(Accounts!$S$2:$S$11,$F733)="NONE",G733-INDEX(Accounts!$R$2:$R$11,$F733),MIN(G733-INDEX(Accounts!$R$2:$R$11,$F733),INDEX(Accounts!$Q$2:$Q$11,$F733)+INDEX(Accounts!$S$2:$S$11,$F733))))),"")</f>
        <v/>
      </c>
      <c r="I733" s="16">
        <f>IF(AND($A733="",$B733="",$C733="",$D733="",$E733=""),"",IF(OR($A733="",$F733=""),"UNKNOWN_ACCOUNT",IF(OR($B733="",$C733=""),"INCOMPLETE",IFERROR(IF(OR(NOT(ISNUMBER($B733)),NOT(ISNUMBER($C733)),IF(C733="",FALSE,IF(ISNUMBER(C733),OR(C733&lt;=0,C733&gt;100000000,ROUND(C733*100,6)&lt;&gt;INT(ROUND(C733*100,6))),TRUE)),IF(D733="",FALSE,IF(ISNUMBER(D733),OR(D733&lt;=0,D733&gt;100000000,ROUND(D733*100,6)&lt;&gt;INT(ROUND(D733*100,6))),TRUE)),IF(E733="",FALSE,IF(ISNUMBER(E733),OR(E733&lt;=0,E733&gt;100000000,ROUND(E733*100,6)&lt;&gt;INT(ROUND(E733*100,6))),TRUE)),AND($D733&lt;&gt;"",$D733&lt;MAX($C733,$E733)),AND($E733&lt;&gt;"",$E733&gt;MIN($C733,IF($D733="",$C733,$D733))),COUNTIFS($A$2:$A$1001,$A733,$B$2:$B$1001,$B733)&gt;1),"INVALID",IFERROR(IF(IF(INDEX(Accounts!$T$2:$T$11,$F733),ROUND(IF($E733="",$C733,MIN($C733,$E733))-(H733),6)&lt;=0,ROUND(IF($E733="",$C733,MIN($C733,$E733))-(H733),6)&lt;0),"BREACHED","OK"),"INCOMPLETE")),"INVALID"))))</f>
        <v/>
      </c>
      <c r="J733" s="33">
        <f>IF(OR(I733="OK",I733="BREACHED"),-INT(ROUND(-(H733)*100,6))/100,I733)</f>
        <v/>
      </c>
    </row>
    <row r="734" ht="18" customHeight="1">
      <c r="A734" s="9" t="n"/>
      <c r="B734" s="32" t="n"/>
      <c r="C734" s="12" t="n"/>
      <c r="D734" s="12" t="n"/>
      <c r="E734" s="12" t="n"/>
      <c r="F734" s="15">
        <f>IFERROR(MATCH($A734,Accounts!$A$2:$A$11,0),"")</f>
        <v/>
      </c>
      <c r="G734" s="14">
        <f>IFERROR(IF(OR($A734="",$F734=""),"",IF(INDEX(Accounts!$P$2:$P$11,$F734)="static",INDEX(Accounts!$Q$2:$Q$11,$F734),IF(INDEX(Accounts!$P$2:$P$11,$F734)="eod_trailing",MAX(INDEX(Accounts!$Q$2:$Q$11,$F734),_xlfn.MAXIFS($C$2:$C$1001,$A$2:$A$1001,$A734,$B$2:$B$1001,"&lt;"&amp;$B734)),MAX(INDEX(Accounts!$Q$2:$Q$11,$F734),_xlfn.MAXIFS($C$2:$C$1001,$A$2:$A$1001,$A734,$B$2:$B$1001,"&lt;"&amp;$B734),_xlfn.MAXIFS($D$2:$D$1001,$A$2:$A$1001,$A734,$B$2:$B$1001,"&lt;="&amp;$B734),$C734)))),"")</f>
        <v/>
      </c>
      <c r="H734" s="15">
        <f>IFERROR(IF(G734="","",IF(INDEX(Accounts!$P$2:$P$11,$F734)="static",INDEX(Accounts!$Q$2:$Q$11,$F734)-INDEX(Accounts!$R$2:$R$11,$F734),IF(INDEX(Accounts!$S$2:$S$11,$F734)="NONE",G734-INDEX(Accounts!$R$2:$R$11,$F734),MIN(G734-INDEX(Accounts!$R$2:$R$11,$F734),INDEX(Accounts!$Q$2:$Q$11,$F734)+INDEX(Accounts!$S$2:$S$11,$F734))))),"")</f>
        <v/>
      </c>
      <c r="I734" s="16">
        <f>IF(AND($A734="",$B734="",$C734="",$D734="",$E734=""),"",IF(OR($A734="",$F734=""),"UNKNOWN_ACCOUNT",IF(OR($B734="",$C734=""),"INCOMPLETE",IFERROR(IF(OR(NOT(ISNUMBER($B734)),NOT(ISNUMBER($C734)),IF(C734="",FALSE,IF(ISNUMBER(C734),OR(C734&lt;=0,C734&gt;100000000,ROUND(C734*100,6)&lt;&gt;INT(ROUND(C734*100,6))),TRUE)),IF(D734="",FALSE,IF(ISNUMBER(D734),OR(D734&lt;=0,D734&gt;100000000,ROUND(D734*100,6)&lt;&gt;INT(ROUND(D734*100,6))),TRUE)),IF(E734="",FALSE,IF(ISNUMBER(E734),OR(E734&lt;=0,E734&gt;100000000,ROUND(E734*100,6)&lt;&gt;INT(ROUND(E734*100,6))),TRUE)),AND($D734&lt;&gt;"",$D734&lt;MAX($C734,$E734)),AND($E734&lt;&gt;"",$E734&gt;MIN($C734,IF($D734="",$C734,$D734))),COUNTIFS($A$2:$A$1001,$A734,$B$2:$B$1001,$B734)&gt;1),"INVALID",IFERROR(IF(IF(INDEX(Accounts!$T$2:$T$11,$F734),ROUND(IF($E734="",$C734,MIN($C734,$E734))-(H734),6)&lt;=0,ROUND(IF($E734="",$C734,MIN($C734,$E734))-(H734),6)&lt;0),"BREACHED","OK"),"INCOMPLETE")),"INVALID"))))</f>
        <v/>
      </c>
      <c r="J734" s="33">
        <f>IF(OR(I734="OK",I734="BREACHED"),-INT(ROUND(-(H734)*100,6))/100,I734)</f>
        <v/>
      </c>
    </row>
    <row r="735" ht="18" customHeight="1">
      <c r="A735" s="9" t="n"/>
      <c r="B735" s="32" t="n"/>
      <c r="C735" s="12" t="n"/>
      <c r="D735" s="12" t="n"/>
      <c r="E735" s="12" t="n"/>
      <c r="F735" s="15">
        <f>IFERROR(MATCH($A735,Accounts!$A$2:$A$11,0),"")</f>
        <v/>
      </c>
      <c r="G735" s="14">
        <f>IFERROR(IF(OR($A735="",$F735=""),"",IF(INDEX(Accounts!$P$2:$P$11,$F735)="static",INDEX(Accounts!$Q$2:$Q$11,$F735),IF(INDEX(Accounts!$P$2:$P$11,$F735)="eod_trailing",MAX(INDEX(Accounts!$Q$2:$Q$11,$F735),_xlfn.MAXIFS($C$2:$C$1001,$A$2:$A$1001,$A735,$B$2:$B$1001,"&lt;"&amp;$B735)),MAX(INDEX(Accounts!$Q$2:$Q$11,$F735),_xlfn.MAXIFS($C$2:$C$1001,$A$2:$A$1001,$A735,$B$2:$B$1001,"&lt;"&amp;$B735),_xlfn.MAXIFS($D$2:$D$1001,$A$2:$A$1001,$A735,$B$2:$B$1001,"&lt;="&amp;$B735),$C735)))),"")</f>
        <v/>
      </c>
      <c r="H735" s="15">
        <f>IFERROR(IF(G735="","",IF(INDEX(Accounts!$P$2:$P$11,$F735)="static",INDEX(Accounts!$Q$2:$Q$11,$F735)-INDEX(Accounts!$R$2:$R$11,$F735),IF(INDEX(Accounts!$S$2:$S$11,$F735)="NONE",G735-INDEX(Accounts!$R$2:$R$11,$F735),MIN(G735-INDEX(Accounts!$R$2:$R$11,$F735),INDEX(Accounts!$Q$2:$Q$11,$F735)+INDEX(Accounts!$S$2:$S$11,$F735))))),"")</f>
        <v/>
      </c>
      <c r="I735" s="16">
        <f>IF(AND($A735="",$B735="",$C735="",$D735="",$E735=""),"",IF(OR($A735="",$F735=""),"UNKNOWN_ACCOUNT",IF(OR($B735="",$C735=""),"INCOMPLETE",IFERROR(IF(OR(NOT(ISNUMBER($B735)),NOT(ISNUMBER($C735)),IF(C735="",FALSE,IF(ISNUMBER(C735),OR(C735&lt;=0,C735&gt;100000000,ROUND(C735*100,6)&lt;&gt;INT(ROUND(C735*100,6))),TRUE)),IF(D735="",FALSE,IF(ISNUMBER(D735),OR(D735&lt;=0,D735&gt;100000000,ROUND(D735*100,6)&lt;&gt;INT(ROUND(D735*100,6))),TRUE)),IF(E735="",FALSE,IF(ISNUMBER(E735),OR(E735&lt;=0,E735&gt;100000000,ROUND(E735*100,6)&lt;&gt;INT(ROUND(E735*100,6))),TRUE)),AND($D735&lt;&gt;"",$D735&lt;MAX($C735,$E735)),AND($E735&lt;&gt;"",$E735&gt;MIN($C735,IF($D735="",$C735,$D735))),COUNTIFS($A$2:$A$1001,$A735,$B$2:$B$1001,$B735)&gt;1),"INVALID",IFERROR(IF(IF(INDEX(Accounts!$T$2:$T$11,$F735),ROUND(IF($E735="",$C735,MIN($C735,$E735))-(H735),6)&lt;=0,ROUND(IF($E735="",$C735,MIN($C735,$E735))-(H735),6)&lt;0),"BREACHED","OK"),"INCOMPLETE")),"INVALID"))))</f>
        <v/>
      </c>
      <c r="J735" s="33">
        <f>IF(OR(I735="OK",I735="BREACHED"),-INT(ROUND(-(H735)*100,6))/100,I735)</f>
        <v/>
      </c>
    </row>
    <row r="736" ht="18" customHeight="1">
      <c r="A736" s="9" t="n"/>
      <c r="B736" s="32" t="n"/>
      <c r="C736" s="12" t="n"/>
      <c r="D736" s="12" t="n"/>
      <c r="E736" s="12" t="n"/>
      <c r="F736" s="15">
        <f>IFERROR(MATCH($A736,Accounts!$A$2:$A$11,0),"")</f>
        <v/>
      </c>
      <c r="G736" s="14">
        <f>IFERROR(IF(OR($A736="",$F736=""),"",IF(INDEX(Accounts!$P$2:$P$11,$F736)="static",INDEX(Accounts!$Q$2:$Q$11,$F736),IF(INDEX(Accounts!$P$2:$P$11,$F736)="eod_trailing",MAX(INDEX(Accounts!$Q$2:$Q$11,$F736),_xlfn.MAXIFS($C$2:$C$1001,$A$2:$A$1001,$A736,$B$2:$B$1001,"&lt;"&amp;$B736)),MAX(INDEX(Accounts!$Q$2:$Q$11,$F736),_xlfn.MAXIFS($C$2:$C$1001,$A$2:$A$1001,$A736,$B$2:$B$1001,"&lt;"&amp;$B736),_xlfn.MAXIFS($D$2:$D$1001,$A$2:$A$1001,$A736,$B$2:$B$1001,"&lt;="&amp;$B736),$C736)))),"")</f>
        <v/>
      </c>
      <c r="H736" s="15">
        <f>IFERROR(IF(G736="","",IF(INDEX(Accounts!$P$2:$P$11,$F736)="static",INDEX(Accounts!$Q$2:$Q$11,$F736)-INDEX(Accounts!$R$2:$R$11,$F736),IF(INDEX(Accounts!$S$2:$S$11,$F736)="NONE",G736-INDEX(Accounts!$R$2:$R$11,$F736),MIN(G736-INDEX(Accounts!$R$2:$R$11,$F736),INDEX(Accounts!$Q$2:$Q$11,$F736)+INDEX(Accounts!$S$2:$S$11,$F736))))),"")</f>
        <v/>
      </c>
      <c r="I736" s="16">
        <f>IF(AND($A736="",$B736="",$C736="",$D736="",$E736=""),"",IF(OR($A736="",$F736=""),"UNKNOWN_ACCOUNT",IF(OR($B736="",$C736=""),"INCOMPLETE",IFERROR(IF(OR(NOT(ISNUMBER($B736)),NOT(ISNUMBER($C736)),IF(C736="",FALSE,IF(ISNUMBER(C736),OR(C736&lt;=0,C736&gt;100000000,ROUND(C736*100,6)&lt;&gt;INT(ROUND(C736*100,6))),TRUE)),IF(D736="",FALSE,IF(ISNUMBER(D736),OR(D736&lt;=0,D736&gt;100000000,ROUND(D736*100,6)&lt;&gt;INT(ROUND(D736*100,6))),TRUE)),IF(E736="",FALSE,IF(ISNUMBER(E736),OR(E736&lt;=0,E736&gt;100000000,ROUND(E736*100,6)&lt;&gt;INT(ROUND(E736*100,6))),TRUE)),AND($D736&lt;&gt;"",$D736&lt;MAX($C736,$E736)),AND($E736&lt;&gt;"",$E736&gt;MIN($C736,IF($D736="",$C736,$D736))),COUNTIFS($A$2:$A$1001,$A736,$B$2:$B$1001,$B736)&gt;1),"INVALID",IFERROR(IF(IF(INDEX(Accounts!$T$2:$T$11,$F736),ROUND(IF($E736="",$C736,MIN($C736,$E736))-(H736),6)&lt;=0,ROUND(IF($E736="",$C736,MIN($C736,$E736))-(H736),6)&lt;0),"BREACHED","OK"),"INCOMPLETE")),"INVALID"))))</f>
        <v/>
      </c>
      <c r="J736" s="33">
        <f>IF(OR(I736="OK",I736="BREACHED"),-INT(ROUND(-(H736)*100,6))/100,I736)</f>
        <v/>
      </c>
    </row>
    <row r="737" ht="18" customHeight="1">
      <c r="A737" s="9" t="n"/>
      <c r="B737" s="32" t="n"/>
      <c r="C737" s="12" t="n"/>
      <c r="D737" s="12" t="n"/>
      <c r="E737" s="12" t="n"/>
      <c r="F737" s="15">
        <f>IFERROR(MATCH($A737,Accounts!$A$2:$A$11,0),"")</f>
        <v/>
      </c>
      <c r="G737" s="14">
        <f>IFERROR(IF(OR($A737="",$F737=""),"",IF(INDEX(Accounts!$P$2:$P$11,$F737)="static",INDEX(Accounts!$Q$2:$Q$11,$F737),IF(INDEX(Accounts!$P$2:$P$11,$F737)="eod_trailing",MAX(INDEX(Accounts!$Q$2:$Q$11,$F737),_xlfn.MAXIFS($C$2:$C$1001,$A$2:$A$1001,$A737,$B$2:$B$1001,"&lt;"&amp;$B737)),MAX(INDEX(Accounts!$Q$2:$Q$11,$F737),_xlfn.MAXIFS($C$2:$C$1001,$A$2:$A$1001,$A737,$B$2:$B$1001,"&lt;"&amp;$B737),_xlfn.MAXIFS($D$2:$D$1001,$A$2:$A$1001,$A737,$B$2:$B$1001,"&lt;="&amp;$B737),$C737)))),"")</f>
        <v/>
      </c>
      <c r="H737" s="15">
        <f>IFERROR(IF(G737="","",IF(INDEX(Accounts!$P$2:$P$11,$F737)="static",INDEX(Accounts!$Q$2:$Q$11,$F737)-INDEX(Accounts!$R$2:$R$11,$F737),IF(INDEX(Accounts!$S$2:$S$11,$F737)="NONE",G737-INDEX(Accounts!$R$2:$R$11,$F737),MIN(G737-INDEX(Accounts!$R$2:$R$11,$F737),INDEX(Accounts!$Q$2:$Q$11,$F737)+INDEX(Accounts!$S$2:$S$11,$F737))))),"")</f>
        <v/>
      </c>
      <c r="I737" s="16">
        <f>IF(AND($A737="",$B737="",$C737="",$D737="",$E737=""),"",IF(OR($A737="",$F737=""),"UNKNOWN_ACCOUNT",IF(OR($B737="",$C737=""),"INCOMPLETE",IFERROR(IF(OR(NOT(ISNUMBER($B737)),NOT(ISNUMBER($C737)),IF(C737="",FALSE,IF(ISNUMBER(C737),OR(C737&lt;=0,C737&gt;100000000,ROUND(C737*100,6)&lt;&gt;INT(ROUND(C737*100,6))),TRUE)),IF(D737="",FALSE,IF(ISNUMBER(D737),OR(D737&lt;=0,D737&gt;100000000,ROUND(D737*100,6)&lt;&gt;INT(ROUND(D737*100,6))),TRUE)),IF(E737="",FALSE,IF(ISNUMBER(E737),OR(E737&lt;=0,E737&gt;100000000,ROUND(E737*100,6)&lt;&gt;INT(ROUND(E737*100,6))),TRUE)),AND($D737&lt;&gt;"",$D737&lt;MAX($C737,$E737)),AND($E737&lt;&gt;"",$E737&gt;MIN($C737,IF($D737="",$C737,$D737))),COUNTIFS($A$2:$A$1001,$A737,$B$2:$B$1001,$B737)&gt;1),"INVALID",IFERROR(IF(IF(INDEX(Accounts!$T$2:$T$11,$F737),ROUND(IF($E737="",$C737,MIN($C737,$E737))-(H737),6)&lt;=0,ROUND(IF($E737="",$C737,MIN($C737,$E737))-(H737),6)&lt;0),"BREACHED","OK"),"INCOMPLETE")),"INVALID"))))</f>
        <v/>
      </c>
      <c r="J737" s="33">
        <f>IF(OR(I737="OK",I737="BREACHED"),-INT(ROUND(-(H737)*100,6))/100,I737)</f>
        <v/>
      </c>
    </row>
    <row r="738" ht="18" customHeight="1">
      <c r="A738" s="9" t="n"/>
      <c r="B738" s="32" t="n"/>
      <c r="C738" s="12" t="n"/>
      <c r="D738" s="12" t="n"/>
      <c r="E738" s="12" t="n"/>
      <c r="F738" s="15">
        <f>IFERROR(MATCH($A738,Accounts!$A$2:$A$11,0),"")</f>
        <v/>
      </c>
      <c r="G738" s="14">
        <f>IFERROR(IF(OR($A738="",$F738=""),"",IF(INDEX(Accounts!$P$2:$P$11,$F738)="static",INDEX(Accounts!$Q$2:$Q$11,$F738),IF(INDEX(Accounts!$P$2:$P$11,$F738)="eod_trailing",MAX(INDEX(Accounts!$Q$2:$Q$11,$F738),_xlfn.MAXIFS($C$2:$C$1001,$A$2:$A$1001,$A738,$B$2:$B$1001,"&lt;"&amp;$B738)),MAX(INDEX(Accounts!$Q$2:$Q$11,$F738),_xlfn.MAXIFS($C$2:$C$1001,$A$2:$A$1001,$A738,$B$2:$B$1001,"&lt;"&amp;$B738),_xlfn.MAXIFS($D$2:$D$1001,$A$2:$A$1001,$A738,$B$2:$B$1001,"&lt;="&amp;$B738),$C738)))),"")</f>
        <v/>
      </c>
      <c r="H738" s="15">
        <f>IFERROR(IF(G738="","",IF(INDEX(Accounts!$P$2:$P$11,$F738)="static",INDEX(Accounts!$Q$2:$Q$11,$F738)-INDEX(Accounts!$R$2:$R$11,$F738),IF(INDEX(Accounts!$S$2:$S$11,$F738)="NONE",G738-INDEX(Accounts!$R$2:$R$11,$F738),MIN(G738-INDEX(Accounts!$R$2:$R$11,$F738),INDEX(Accounts!$Q$2:$Q$11,$F738)+INDEX(Accounts!$S$2:$S$11,$F738))))),"")</f>
        <v/>
      </c>
      <c r="I738" s="16">
        <f>IF(AND($A738="",$B738="",$C738="",$D738="",$E738=""),"",IF(OR($A738="",$F738=""),"UNKNOWN_ACCOUNT",IF(OR($B738="",$C738=""),"INCOMPLETE",IFERROR(IF(OR(NOT(ISNUMBER($B738)),NOT(ISNUMBER($C738)),IF(C738="",FALSE,IF(ISNUMBER(C738),OR(C738&lt;=0,C738&gt;100000000,ROUND(C738*100,6)&lt;&gt;INT(ROUND(C738*100,6))),TRUE)),IF(D738="",FALSE,IF(ISNUMBER(D738),OR(D738&lt;=0,D738&gt;100000000,ROUND(D738*100,6)&lt;&gt;INT(ROUND(D738*100,6))),TRUE)),IF(E738="",FALSE,IF(ISNUMBER(E738),OR(E738&lt;=0,E738&gt;100000000,ROUND(E738*100,6)&lt;&gt;INT(ROUND(E738*100,6))),TRUE)),AND($D738&lt;&gt;"",$D738&lt;MAX($C738,$E738)),AND($E738&lt;&gt;"",$E738&gt;MIN($C738,IF($D738="",$C738,$D738))),COUNTIFS($A$2:$A$1001,$A738,$B$2:$B$1001,$B738)&gt;1),"INVALID",IFERROR(IF(IF(INDEX(Accounts!$T$2:$T$11,$F738),ROUND(IF($E738="",$C738,MIN($C738,$E738))-(H738),6)&lt;=0,ROUND(IF($E738="",$C738,MIN($C738,$E738))-(H738),6)&lt;0),"BREACHED","OK"),"INCOMPLETE")),"INVALID"))))</f>
        <v/>
      </c>
      <c r="J738" s="33">
        <f>IF(OR(I738="OK",I738="BREACHED"),-INT(ROUND(-(H738)*100,6))/100,I738)</f>
        <v/>
      </c>
    </row>
    <row r="739" ht="18" customHeight="1">
      <c r="A739" s="9" t="n"/>
      <c r="B739" s="32" t="n"/>
      <c r="C739" s="12" t="n"/>
      <c r="D739" s="12" t="n"/>
      <c r="E739" s="12" t="n"/>
      <c r="F739" s="15">
        <f>IFERROR(MATCH($A739,Accounts!$A$2:$A$11,0),"")</f>
        <v/>
      </c>
      <c r="G739" s="14">
        <f>IFERROR(IF(OR($A739="",$F739=""),"",IF(INDEX(Accounts!$P$2:$P$11,$F739)="static",INDEX(Accounts!$Q$2:$Q$11,$F739),IF(INDEX(Accounts!$P$2:$P$11,$F739)="eod_trailing",MAX(INDEX(Accounts!$Q$2:$Q$11,$F739),_xlfn.MAXIFS($C$2:$C$1001,$A$2:$A$1001,$A739,$B$2:$B$1001,"&lt;"&amp;$B739)),MAX(INDEX(Accounts!$Q$2:$Q$11,$F739),_xlfn.MAXIFS($C$2:$C$1001,$A$2:$A$1001,$A739,$B$2:$B$1001,"&lt;"&amp;$B739),_xlfn.MAXIFS($D$2:$D$1001,$A$2:$A$1001,$A739,$B$2:$B$1001,"&lt;="&amp;$B739),$C739)))),"")</f>
        <v/>
      </c>
      <c r="H739" s="15">
        <f>IFERROR(IF(G739="","",IF(INDEX(Accounts!$P$2:$P$11,$F739)="static",INDEX(Accounts!$Q$2:$Q$11,$F739)-INDEX(Accounts!$R$2:$R$11,$F739),IF(INDEX(Accounts!$S$2:$S$11,$F739)="NONE",G739-INDEX(Accounts!$R$2:$R$11,$F739),MIN(G739-INDEX(Accounts!$R$2:$R$11,$F739),INDEX(Accounts!$Q$2:$Q$11,$F739)+INDEX(Accounts!$S$2:$S$11,$F739))))),"")</f>
        <v/>
      </c>
      <c r="I739" s="16">
        <f>IF(AND($A739="",$B739="",$C739="",$D739="",$E739=""),"",IF(OR($A739="",$F739=""),"UNKNOWN_ACCOUNT",IF(OR($B739="",$C739=""),"INCOMPLETE",IFERROR(IF(OR(NOT(ISNUMBER($B739)),NOT(ISNUMBER($C739)),IF(C739="",FALSE,IF(ISNUMBER(C739),OR(C739&lt;=0,C739&gt;100000000,ROUND(C739*100,6)&lt;&gt;INT(ROUND(C739*100,6))),TRUE)),IF(D739="",FALSE,IF(ISNUMBER(D739),OR(D739&lt;=0,D739&gt;100000000,ROUND(D739*100,6)&lt;&gt;INT(ROUND(D739*100,6))),TRUE)),IF(E739="",FALSE,IF(ISNUMBER(E739),OR(E739&lt;=0,E739&gt;100000000,ROUND(E739*100,6)&lt;&gt;INT(ROUND(E739*100,6))),TRUE)),AND($D739&lt;&gt;"",$D739&lt;MAX($C739,$E739)),AND($E739&lt;&gt;"",$E739&gt;MIN($C739,IF($D739="",$C739,$D739))),COUNTIFS($A$2:$A$1001,$A739,$B$2:$B$1001,$B739)&gt;1),"INVALID",IFERROR(IF(IF(INDEX(Accounts!$T$2:$T$11,$F739),ROUND(IF($E739="",$C739,MIN($C739,$E739))-(H739),6)&lt;=0,ROUND(IF($E739="",$C739,MIN($C739,$E739))-(H739),6)&lt;0),"BREACHED","OK"),"INCOMPLETE")),"INVALID"))))</f>
        <v/>
      </c>
      <c r="J739" s="33">
        <f>IF(OR(I739="OK",I739="BREACHED"),-INT(ROUND(-(H739)*100,6))/100,I739)</f>
        <v/>
      </c>
    </row>
    <row r="740" ht="18" customHeight="1">
      <c r="A740" s="9" t="n"/>
      <c r="B740" s="32" t="n"/>
      <c r="C740" s="12" t="n"/>
      <c r="D740" s="12" t="n"/>
      <c r="E740" s="12" t="n"/>
      <c r="F740" s="15">
        <f>IFERROR(MATCH($A740,Accounts!$A$2:$A$11,0),"")</f>
        <v/>
      </c>
      <c r="G740" s="14">
        <f>IFERROR(IF(OR($A740="",$F740=""),"",IF(INDEX(Accounts!$P$2:$P$11,$F740)="static",INDEX(Accounts!$Q$2:$Q$11,$F740),IF(INDEX(Accounts!$P$2:$P$11,$F740)="eod_trailing",MAX(INDEX(Accounts!$Q$2:$Q$11,$F740),_xlfn.MAXIFS($C$2:$C$1001,$A$2:$A$1001,$A740,$B$2:$B$1001,"&lt;"&amp;$B740)),MAX(INDEX(Accounts!$Q$2:$Q$11,$F740),_xlfn.MAXIFS($C$2:$C$1001,$A$2:$A$1001,$A740,$B$2:$B$1001,"&lt;"&amp;$B740),_xlfn.MAXIFS($D$2:$D$1001,$A$2:$A$1001,$A740,$B$2:$B$1001,"&lt;="&amp;$B740),$C740)))),"")</f>
        <v/>
      </c>
      <c r="H740" s="15">
        <f>IFERROR(IF(G740="","",IF(INDEX(Accounts!$P$2:$P$11,$F740)="static",INDEX(Accounts!$Q$2:$Q$11,$F740)-INDEX(Accounts!$R$2:$R$11,$F740),IF(INDEX(Accounts!$S$2:$S$11,$F740)="NONE",G740-INDEX(Accounts!$R$2:$R$11,$F740),MIN(G740-INDEX(Accounts!$R$2:$R$11,$F740),INDEX(Accounts!$Q$2:$Q$11,$F740)+INDEX(Accounts!$S$2:$S$11,$F740))))),"")</f>
        <v/>
      </c>
      <c r="I740" s="16">
        <f>IF(AND($A740="",$B740="",$C740="",$D740="",$E740=""),"",IF(OR($A740="",$F740=""),"UNKNOWN_ACCOUNT",IF(OR($B740="",$C740=""),"INCOMPLETE",IFERROR(IF(OR(NOT(ISNUMBER($B740)),NOT(ISNUMBER($C740)),IF(C740="",FALSE,IF(ISNUMBER(C740),OR(C740&lt;=0,C740&gt;100000000,ROUND(C740*100,6)&lt;&gt;INT(ROUND(C740*100,6))),TRUE)),IF(D740="",FALSE,IF(ISNUMBER(D740),OR(D740&lt;=0,D740&gt;100000000,ROUND(D740*100,6)&lt;&gt;INT(ROUND(D740*100,6))),TRUE)),IF(E740="",FALSE,IF(ISNUMBER(E740),OR(E740&lt;=0,E740&gt;100000000,ROUND(E740*100,6)&lt;&gt;INT(ROUND(E740*100,6))),TRUE)),AND($D740&lt;&gt;"",$D740&lt;MAX($C740,$E740)),AND($E740&lt;&gt;"",$E740&gt;MIN($C740,IF($D740="",$C740,$D740))),COUNTIFS($A$2:$A$1001,$A740,$B$2:$B$1001,$B740)&gt;1),"INVALID",IFERROR(IF(IF(INDEX(Accounts!$T$2:$T$11,$F740),ROUND(IF($E740="",$C740,MIN($C740,$E740))-(H740),6)&lt;=0,ROUND(IF($E740="",$C740,MIN($C740,$E740))-(H740),6)&lt;0),"BREACHED","OK"),"INCOMPLETE")),"INVALID"))))</f>
        <v/>
      </c>
      <c r="J740" s="33">
        <f>IF(OR(I740="OK",I740="BREACHED"),-INT(ROUND(-(H740)*100,6))/100,I740)</f>
        <v/>
      </c>
    </row>
    <row r="741" ht="18" customHeight="1">
      <c r="A741" s="9" t="n"/>
      <c r="B741" s="32" t="n"/>
      <c r="C741" s="12" t="n"/>
      <c r="D741" s="12" t="n"/>
      <c r="E741" s="12" t="n"/>
      <c r="F741" s="15">
        <f>IFERROR(MATCH($A741,Accounts!$A$2:$A$11,0),"")</f>
        <v/>
      </c>
      <c r="G741" s="14">
        <f>IFERROR(IF(OR($A741="",$F741=""),"",IF(INDEX(Accounts!$P$2:$P$11,$F741)="static",INDEX(Accounts!$Q$2:$Q$11,$F741),IF(INDEX(Accounts!$P$2:$P$11,$F741)="eod_trailing",MAX(INDEX(Accounts!$Q$2:$Q$11,$F741),_xlfn.MAXIFS($C$2:$C$1001,$A$2:$A$1001,$A741,$B$2:$B$1001,"&lt;"&amp;$B741)),MAX(INDEX(Accounts!$Q$2:$Q$11,$F741),_xlfn.MAXIFS($C$2:$C$1001,$A$2:$A$1001,$A741,$B$2:$B$1001,"&lt;"&amp;$B741),_xlfn.MAXIFS($D$2:$D$1001,$A$2:$A$1001,$A741,$B$2:$B$1001,"&lt;="&amp;$B741),$C741)))),"")</f>
        <v/>
      </c>
      <c r="H741" s="15">
        <f>IFERROR(IF(G741="","",IF(INDEX(Accounts!$P$2:$P$11,$F741)="static",INDEX(Accounts!$Q$2:$Q$11,$F741)-INDEX(Accounts!$R$2:$R$11,$F741),IF(INDEX(Accounts!$S$2:$S$11,$F741)="NONE",G741-INDEX(Accounts!$R$2:$R$11,$F741),MIN(G741-INDEX(Accounts!$R$2:$R$11,$F741),INDEX(Accounts!$Q$2:$Q$11,$F741)+INDEX(Accounts!$S$2:$S$11,$F741))))),"")</f>
        <v/>
      </c>
      <c r="I741" s="16">
        <f>IF(AND($A741="",$B741="",$C741="",$D741="",$E741=""),"",IF(OR($A741="",$F741=""),"UNKNOWN_ACCOUNT",IF(OR($B741="",$C741=""),"INCOMPLETE",IFERROR(IF(OR(NOT(ISNUMBER($B741)),NOT(ISNUMBER($C741)),IF(C741="",FALSE,IF(ISNUMBER(C741),OR(C741&lt;=0,C741&gt;100000000,ROUND(C741*100,6)&lt;&gt;INT(ROUND(C741*100,6))),TRUE)),IF(D741="",FALSE,IF(ISNUMBER(D741),OR(D741&lt;=0,D741&gt;100000000,ROUND(D741*100,6)&lt;&gt;INT(ROUND(D741*100,6))),TRUE)),IF(E741="",FALSE,IF(ISNUMBER(E741),OR(E741&lt;=0,E741&gt;100000000,ROUND(E741*100,6)&lt;&gt;INT(ROUND(E741*100,6))),TRUE)),AND($D741&lt;&gt;"",$D741&lt;MAX($C741,$E741)),AND($E741&lt;&gt;"",$E741&gt;MIN($C741,IF($D741="",$C741,$D741))),COUNTIFS($A$2:$A$1001,$A741,$B$2:$B$1001,$B741)&gt;1),"INVALID",IFERROR(IF(IF(INDEX(Accounts!$T$2:$T$11,$F741),ROUND(IF($E741="",$C741,MIN($C741,$E741))-(H741),6)&lt;=0,ROUND(IF($E741="",$C741,MIN($C741,$E741))-(H741),6)&lt;0),"BREACHED","OK"),"INCOMPLETE")),"INVALID"))))</f>
        <v/>
      </c>
      <c r="J741" s="33">
        <f>IF(OR(I741="OK",I741="BREACHED"),-INT(ROUND(-(H741)*100,6))/100,I741)</f>
        <v/>
      </c>
    </row>
    <row r="742" ht="18" customHeight="1">
      <c r="A742" s="9" t="n"/>
      <c r="B742" s="32" t="n"/>
      <c r="C742" s="12" t="n"/>
      <c r="D742" s="12" t="n"/>
      <c r="E742" s="12" t="n"/>
      <c r="F742" s="15">
        <f>IFERROR(MATCH($A742,Accounts!$A$2:$A$11,0),"")</f>
        <v/>
      </c>
      <c r="G742" s="14">
        <f>IFERROR(IF(OR($A742="",$F742=""),"",IF(INDEX(Accounts!$P$2:$P$11,$F742)="static",INDEX(Accounts!$Q$2:$Q$11,$F742),IF(INDEX(Accounts!$P$2:$P$11,$F742)="eod_trailing",MAX(INDEX(Accounts!$Q$2:$Q$11,$F742),_xlfn.MAXIFS($C$2:$C$1001,$A$2:$A$1001,$A742,$B$2:$B$1001,"&lt;"&amp;$B742)),MAX(INDEX(Accounts!$Q$2:$Q$11,$F742),_xlfn.MAXIFS($C$2:$C$1001,$A$2:$A$1001,$A742,$B$2:$B$1001,"&lt;"&amp;$B742),_xlfn.MAXIFS($D$2:$D$1001,$A$2:$A$1001,$A742,$B$2:$B$1001,"&lt;="&amp;$B742),$C742)))),"")</f>
        <v/>
      </c>
      <c r="H742" s="15">
        <f>IFERROR(IF(G742="","",IF(INDEX(Accounts!$P$2:$P$11,$F742)="static",INDEX(Accounts!$Q$2:$Q$11,$F742)-INDEX(Accounts!$R$2:$R$11,$F742),IF(INDEX(Accounts!$S$2:$S$11,$F742)="NONE",G742-INDEX(Accounts!$R$2:$R$11,$F742),MIN(G742-INDEX(Accounts!$R$2:$R$11,$F742),INDEX(Accounts!$Q$2:$Q$11,$F742)+INDEX(Accounts!$S$2:$S$11,$F742))))),"")</f>
        <v/>
      </c>
      <c r="I742" s="16">
        <f>IF(AND($A742="",$B742="",$C742="",$D742="",$E742=""),"",IF(OR($A742="",$F742=""),"UNKNOWN_ACCOUNT",IF(OR($B742="",$C742=""),"INCOMPLETE",IFERROR(IF(OR(NOT(ISNUMBER($B742)),NOT(ISNUMBER($C742)),IF(C742="",FALSE,IF(ISNUMBER(C742),OR(C742&lt;=0,C742&gt;100000000,ROUND(C742*100,6)&lt;&gt;INT(ROUND(C742*100,6))),TRUE)),IF(D742="",FALSE,IF(ISNUMBER(D742),OR(D742&lt;=0,D742&gt;100000000,ROUND(D742*100,6)&lt;&gt;INT(ROUND(D742*100,6))),TRUE)),IF(E742="",FALSE,IF(ISNUMBER(E742),OR(E742&lt;=0,E742&gt;100000000,ROUND(E742*100,6)&lt;&gt;INT(ROUND(E742*100,6))),TRUE)),AND($D742&lt;&gt;"",$D742&lt;MAX($C742,$E742)),AND($E742&lt;&gt;"",$E742&gt;MIN($C742,IF($D742="",$C742,$D742))),COUNTIFS($A$2:$A$1001,$A742,$B$2:$B$1001,$B742)&gt;1),"INVALID",IFERROR(IF(IF(INDEX(Accounts!$T$2:$T$11,$F742),ROUND(IF($E742="",$C742,MIN($C742,$E742))-(H742),6)&lt;=0,ROUND(IF($E742="",$C742,MIN($C742,$E742))-(H742),6)&lt;0),"BREACHED","OK"),"INCOMPLETE")),"INVALID"))))</f>
        <v/>
      </c>
      <c r="J742" s="33">
        <f>IF(OR(I742="OK",I742="BREACHED"),-INT(ROUND(-(H742)*100,6))/100,I742)</f>
        <v/>
      </c>
    </row>
    <row r="743" ht="18" customHeight="1">
      <c r="A743" s="9" t="n"/>
      <c r="B743" s="32" t="n"/>
      <c r="C743" s="12" t="n"/>
      <c r="D743" s="12" t="n"/>
      <c r="E743" s="12" t="n"/>
      <c r="F743" s="15">
        <f>IFERROR(MATCH($A743,Accounts!$A$2:$A$11,0),"")</f>
        <v/>
      </c>
      <c r="G743" s="14">
        <f>IFERROR(IF(OR($A743="",$F743=""),"",IF(INDEX(Accounts!$P$2:$P$11,$F743)="static",INDEX(Accounts!$Q$2:$Q$11,$F743),IF(INDEX(Accounts!$P$2:$P$11,$F743)="eod_trailing",MAX(INDEX(Accounts!$Q$2:$Q$11,$F743),_xlfn.MAXIFS($C$2:$C$1001,$A$2:$A$1001,$A743,$B$2:$B$1001,"&lt;"&amp;$B743)),MAX(INDEX(Accounts!$Q$2:$Q$11,$F743),_xlfn.MAXIFS($C$2:$C$1001,$A$2:$A$1001,$A743,$B$2:$B$1001,"&lt;"&amp;$B743),_xlfn.MAXIFS($D$2:$D$1001,$A$2:$A$1001,$A743,$B$2:$B$1001,"&lt;="&amp;$B743),$C743)))),"")</f>
        <v/>
      </c>
      <c r="H743" s="15">
        <f>IFERROR(IF(G743="","",IF(INDEX(Accounts!$P$2:$P$11,$F743)="static",INDEX(Accounts!$Q$2:$Q$11,$F743)-INDEX(Accounts!$R$2:$R$11,$F743),IF(INDEX(Accounts!$S$2:$S$11,$F743)="NONE",G743-INDEX(Accounts!$R$2:$R$11,$F743),MIN(G743-INDEX(Accounts!$R$2:$R$11,$F743),INDEX(Accounts!$Q$2:$Q$11,$F743)+INDEX(Accounts!$S$2:$S$11,$F743))))),"")</f>
        <v/>
      </c>
      <c r="I743" s="16">
        <f>IF(AND($A743="",$B743="",$C743="",$D743="",$E743=""),"",IF(OR($A743="",$F743=""),"UNKNOWN_ACCOUNT",IF(OR($B743="",$C743=""),"INCOMPLETE",IFERROR(IF(OR(NOT(ISNUMBER($B743)),NOT(ISNUMBER($C743)),IF(C743="",FALSE,IF(ISNUMBER(C743),OR(C743&lt;=0,C743&gt;100000000,ROUND(C743*100,6)&lt;&gt;INT(ROUND(C743*100,6))),TRUE)),IF(D743="",FALSE,IF(ISNUMBER(D743),OR(D743&lt;=0,D743&gt;100000000,ROUND(D743*100,6)&lt;&gt;INT(ROUND(D743*100,6))),TRUE)),IF(E743="",FALSE,IF(ISNUMBER(E743),OR(E743&lt;=0,E743&gt;100000000,ROUND(E743*100,6)&lt;&gt;INT(ROUND(E743*100,6))),TRUE)),AND($D743&lt;&gt;"",$D743&lt;MAX($C743,$E743)),AND($E743&lt;&gt;"",$E743&gt;MIN($C743,IF($D743="",$C743,$D743))),COUNTIFS($A$2:$A$1001,$A743,$B$2:$B$1001,$B743)&gt;1),"INVALID",IFERROR(IF(IF(INDEX(Accounts!$T$2:$T$11,$F743),ROUND(IF($E743="",$C743,MIN($C743,$E743))-(H743),6)&lt;=0,ROUND(IF($E743="",$C743,MIN($C743,$E743))-(H743),6)&lt;0),"BREACHED","OK"),"INCOMPLETE")),"INVALID"))))</f>
        <v/>
      </c>
      <c r="J743" s="33">
        <f>IF(OR(I743="OK",I743="BREACHED"),-INT(ROUND(-(H743)*100,6))/100,I743)</f>
        <v/>
      </c>
    </row>
    <row r="744" ht="18" customHeight="1">
      <c r="A744" s="9" t="n"/>
      <c r="B744" s="32" t="n"/>
      <c r="C744" s="12" t="n"/>
      <c r="D744" s="12" t="n"/>
      <c r="E744" s="12" t="n"/>
      <c r="F744" s="15">
        <f>IFERROR(MATCH($A744,Accounts!$A$2:$A$11,0),"")</f>
        <v/>
      </c>
      <c r="G744" s="14">
        <f>IFERROR(IF(OR($A744="",$F744=""),"",IF(INDEX(Accounts!$P$2:$P$11,$F744)="static",INDEX(Accounts!$Q$2:$Q$11,$F744),IF(INDEX(Accounts!$P$2:$P$11,$F744)="eod_trailing",MAX(INDEX(Accounts!$Q$2:$Q$11,$F744),_xlfn.MAXIFS($C$2:$C$1001,$A$2:$A$1001,$A744,$B$2:$B$1001,"&lt;"&amp;$B744)),MAX(INDEX(Accounts!$Q$2:$Q$11,$F744),_xlfn.MAXIFS($C$2:$C$1001,$A$2:$A$1001,$A744,$B$2:$B$1001,"&lt;"&amp;$B744),_xlfn.MAXIFS($D$2:$D$1001,$A$2:$A$1001,$A744,$B$2:$B$1001,"&lt;="&amp;$B744),$C744)))),"")</f>
        <v/>
      </c>
      <c r="H744" s="15">
        <f>IFERROR(IF(G744="","",IF(INDEX(Accounts!$P$2:$P$11,$F744)="static",INDEX(Accounts!$Q$2:$Q$11,$F744)-INDEX(Accounts!$R$2:$R$11,$F744),IF(INDEX(Accounts!$S$2:$S$11,$F744)="NONE",G744-INDEX(Accounts!$R$2:$R$11,$F744),MIN(G744-INDEX(Accounts!$R$2:$R$11,$F744),INDEX(Accounts!$Q$2:$Q$11,$F744)+INDEX(Accounts!$S$2:$S$11,$F744))))),"")</f>
        <v/>
      </c>
      <c r="I744" s="16">
        <f>IF(AND($A744="",$B744="",$C744="",$D744="",$E744=""),"",IF(OR($A744="",$F744=""),"UNKNOWN_ACCOUNT",IF(OR($B744="",$C744=""),"INCOMPLETE",IFERROR(IF(OR(NOT(ISNUMBER($B744)),NOT(ISNUMBER($C744)),IF(C744="",FALSE,IF(ISNUMBER(C744),OR(C744&lt;=0,C744&gt;100000000,ROUND(C744*100,6)&lt;&gt;INT(ROUND(C744*100,6))),TRUE)),IF(D744="",FALSE,IF(ISNUMBER(D744),OR(D744&lt;=0,D744&gt;100000000,ROUND(D744*100,6)&lt;&gt;INT(ROUND(D744*100,6))),TRUE)),IF(E744="",FALSE,IF(ISNUMBER(E744),OR(E744&lt;=0,E744&gt;100000000,ROUND(E744*100,6)&lt;&gt;INT(ROUND(E744*100,6))),TRUE)),AND($D744&lt;&gt;"",$D744&lt;MAX($C744,$E744)),AND($E744&lt;&gt;"",$E744&gt;MIN($C744,IF($D744="",$C744,$D744))),COUNTIFS($A$2:$A$1001,$A744,$B$2:$B$1001,$B744)&gt;1),"INVALID",IFERROR(IF(IF(INDEX(Accounts!$T$2:$T$11,$F744),ROUND(IF($E744="",$C744,MIN($C744,$E744))-(H744),6)&lt;=0,ROUND(IF($E744="",$C744,MIN($C744,$E744))-(H744),6)&lt;0),"BREACHED","OK"),"INCOMPLETE")),"INVALID"))))</f>
        <v/>
      </c>
      <c r="J744" s="33">
        <f>IF(OR(I744="OK",I744="BREACHED"),-INT(ROUND(-(H744)*100,6))/100,I744)</f>
        <v/>
      </c>
    </row>
    <row r="745" ht="18" customHeight="1">
      <c r="A745" s="9" t="n"/>
      <c r="B745" s="32" t="n"/>
      <c r="C745" s="12" t="n"/>
      <c r="D745" s="12" t="n"/>
      <c r="E745" s="12" t="n"/>
      <c r="F745" s="15">
        <f>IFERROR(MATCH($A745,Accounts!$A$2:$A$11,0),"")</f>
        <v/>
      </c>
      <c r="G745" s="14">
        <f>IFERROR(IF(OR($A745="",$F745=""),"",IF(INDEX(Accounts!$P$2:$P$11,$F745)="static",INDEX(Accounts!$Q$2:$Q$11,$F745),IF(INDEX(Accounts!$P$2:$P$11,$F745)="eod_trailing",MAX(INDEX(Accounts!$Q$2:$Q$11,$F745),_xlfn.MAXIFS($C$2:$C$1001,$A$2:$A$1001,$A745,$B$2:$B$1001,"&lt;"&amp;$B745)),MAX(INDEX(Accounts!$Q$2:$Q$11,$F745),_xlfn.MAXIFS($C$2:$C$1001,$A$2:$A$1001,$A745,$B$2:$B$1001,"&lt;"&amp;$B745),_xlfn.MAXIFS($D$2:$D$1001,$A$2:$A$1001,$A745,$B$2:$B$1001,"&lt;="&amp;$B745),$C745)))),"")</f>
        <v/>
      </c>
      <c r="H745" s="15">
        <f>IFERROR(IF(G745="","",IF(INDEX(Accounts!$P$2:$P$11,$F745)="static",INDEX(Accounts!$Q$2:$Q$11,$F745)-INDEX(Accounts!$R$2:$R$11,$F745),IF(INDEX(Accounts!$S$2:$S$11,$F745)="NONE",G745-INDEX(Accounts!$R$2:$R$11,$F745),MIN(G745-INDEX(Accounts!$R$2:$R$11,$F745),INDEX(Accounts!$Q$2:$Q$11,$F745)+INDEX(Accounts!$S$2:$S$11,$F745))))),"")</f>
        <v/>
      </c>
      <c r="I745" s="16">
        <f>IF(AND($A745="",$B745="",$C745="",$D745="",$E745=""),"",IF(OR($A745="",$F745=""),"UNKNOWN_ACCOUNT",IF(OR($B745="",$C745=""),"INCOMPLETE",IFERROR(IF(OR(NOT(ISNUMBER($B745)),NOT(ISNUMBER($C745)),IF(C745="",FALSE,IF(ISNUMBER(C745),OR(C745&lt;=0,C745&gt;100000000,ROUND(C745*100,6)&lt;&gt;INT(ROUND(C745*100,6))),TRUE)),IF(D745="",FALSE,IF(ISNUMBER(D745),OR(D745&lt;=0,D745&gt;100000000,ROUND(D745*100,6)&lt;&gt;INT(ROUND(D745*100,6))),TRUE)),IF(E745="",FALSE,IF(ISNUMBER(E745),OR(E745&lt;=0,E745&gt;100000000,ROUND(E745*100,6)&lt;&gt;INT(ROUND(E745*100,6))),TRUE)),AND($D745&lt;&gt;"",$D745&lt;MAX($C745,$E745)),AND($E745&lt;&gt;"",$E745&gt;MIN($C745,IF($D745="",$C745,$D745))),COUNTIFS($A$2:$A$1001,$A745,$B$2:$B$1001,$B745)&gt;1),"INVALID",IFERROR(IF(IF(INDEX(Accounts!$T$2:$T$11,$F745),ROUND(IF($E745="",$C745,MIN($C745,$E745))-(H745),6)&lt;=0,ROUND(IF($E745="",$C745,MIN($C745,$E745))-(H745),6)&lt;0),"BREACHED","OK"),"INCOMPLETE")),"INVALID"))))</f>
        <v/>
      </c>
      <c r="J745" s="33">
        <f>IF(OR(I745="OK",I745="BREACHED"),-INT(ROUND(-(H745)*100,6))/100,I745)</f>
        <v/>
      </c>
    </row>
    <row r="746" ht="18" customHeight="1">
      <c r="A746" s="9" t="n"/>
      <c r="B746" s="32" t="n"/>
      <c r="C746" s="12" t="n"/>
      <c r="D746" s="12" t="n"/>
      <c r="E746" s="12" t="n"/>
      <c r="F746" s="15">
        <f>IFERROR(MATCH($A746,Accounts!$A$2:$A$11,0),"")</f>
        <v/>
      </c>
      <c r="G746" s="14">
        <f>IFERROR(IF(OR($A746="",$F746=""),"",IF(INDEX(Accounts!$P$2:$P$11,$F746)="static",INDEX(Accounts!$Q$2:$Q$11,$F746),IF(INDEX(Accounts!$P$2:$P$11,$F746)="eod_trailing",MAX(INDEX(Accounts!$Q$2:$Q$11,$F746),_xlfn.MAXIFS($C$2:$C$1001,$A$2:$A$1001,$A746,$B$2:$B$1001,"&lt;"&amp;$B746)),MAX(INDEX(Accounts!$Q$2:$Q$11,$F746),_xlfn.MAXIFS($C$2:$C$1001,$A$2:$A$1001,$A746,$B$2:$B$1001,"&lt;"&amp;$B746),_xlfn.MAXIFS($D$2:$D$1001,$A$2:$A$1001,$A746,$B$2:$B$1001,"&lt;="&amp;$B746),$C746)))),"")</f>
        <v/>
      </c>
      <c r="H746" s="15">
        <f>IFERROR(IF(G746="","",IF(INDEX(Accounts!$P$2:$P$11,$F746)="static",INDEX(Accounts!$Q$2:$Q$11,$F746)-INDEX(Accounts!$R$2:$R$11,$F746),IF(INDEX(Accounts!$S$2:$S$11,$F746)="NONE",G746-INDEX(Accounts!$R$2:$R$11,$F746),MIN(G746-INDEX(Accounts!$R$2:$R$11,$F746),INDEX(Accounts!$Q$2:$Q$11,$F746)+INDEX(Accounts!$S$2:$S$11,$F746))))),"")</f>
        <v/>
      </c>
      <c r="I746" s="16">
        <f>IF(AND($A746="",$B746="",$C746="",$D746="",$E746=""),"",IF(OR($A746="",$F746=""),"UNKNOWN_ACCOUNT",IF(OR($B746="",$C746=""),"INCOMPLETE",IFERROR(IF(OR(NOT(ISNUMBER($B746)),NOT(ISNUMBER($C746)),IF(C746="",FALSE,IF(ISNUMBER(C746),OR(C746&lt;=0,C746&gt;100000000,ROUND(C746*100,6)&lt;&gt;INT(ROUND(C746*100,6))),TRUE)),IF(D746="",FALSE,IF(ISNUMBER(D746),OR(D746&lt;=0,D746&gt;100000000,ROUND(D746*100,6)&lt;&gt;INT(ROUND(D746*100,6))),TRUE)),IF(E746="",FALSE,IF(ISNUMBER(E746),OR(E746&lt;=0,E746&gt;100000000,ROUND(E746*100,6)&lt;&gt;INT(ROUND(E746*100,6))),TRUE)),AND($D746&lt;&gt;"",$D746&lt;MAX($C746,$E746)),AND($E746&lt;&gt;"",$E746&gt;MIN($C746,IF($D746="",$C746,$D746))),COUNTIFS($A$2:$A$1001,$A746,$B$2:$B$1001,$B746)&gt;1),"INVALID",IFERROR(IF(IF(INDEX(Accounts!$T$2:$T$11,$F746),ROUND(IF($E746="",$C746,MIN($C746,$E746))-(H746),6)&lt;=0,ROUND(IF($E746="",$C746,MIN($C746,$E746))-(H746),6)&lt;0),"BREACHED","OK"),"INCOMPLETE")),"INVALID"))))</f>
        <v/>
      </c>
      <c r="J746" s="33">
        <f>IF(OR(I746="OK",I746="BREACHED"),-INT(ROUND(-(H746)*100,6))/100,I746)</f>
        <v/>
      </c>
    </row>
    <row r="747" ht="18" customHeight="1">
      <c r="A747" s="9" t="n"/>
      <c r="B747" s="32" t="n"/>
      <c r="C747" s="12" t="n"/>
      <c r="D747" s="12" t="n"/>
      <c r="E747" s="12" t="n"/>
      <c r="F747" s="15">
        <f>IFERROR(MATCH($A747,Accounts!$A$2:$A$11,0),"")</f>
        <v/>
      </c>
      <c r="G747" s="14">
        <f>IFERROR(IF(OR($A747="",$F747=""),"",IF(INDEX(Accounts!$P$2:$P$11,$F747)="static",INDEX(Accounts!$Q$2:$Q$11,$F747),IF(INDEX(Accounts!$P$2:$P$11,$F747)="eod_trailing",MAX(INDEX(Accounts!$Q$2:$Q$11,$F747),_xlfn.MAXIFS($C$2:$C$1001,$A$2:$A$1001,$A747,$B$2:$B$1001,"&lt;"&amp;$B747)),MAX(INDEX(Accounts!$Q$2:$Q$11,$F747),_xlfn.MAXIFS($C$2:$C$1001,$A$2:$A$1001,$A747,$B$2:$B$1001,"&lt;"&amp;$B747),_xlfn.MAXIFS($D$2:$D$1001,$A$2:$A$1001,$A747,$B$2:$B$1001,"&lt;="&amp;$B747),$C747)))),"")</f>
        <v/>
      </c>
      <c r="H747" s="15">
        <f>IFERROR(IF(G747="","",IF(INDEX(Accounts!$P$2:$P$11,$F747)="static",INDEX(Accounts!$Q$2:$Q$11,$F747)-INDEX(Accounts!$R$2:$R$11,$F747),IF(INDEX(Accounts!$S$2:$S$11,$F747)="NONE",G747-INDEX(Accounts!$R$2:$R$11,$F747),MIN(G747-INDEX(Accounts!$R$2:$R$11,$F747),INDEX(Accounts!$Q$2:$Q$11,$F747)+INDEX(Accounts!$S$2:$S$11,$F747))))),"")</f>
        <v/>
      </c>
      <c r="I747" s="16">
        <f>IF(AND($A747="",$B747="",$C747="",$D747="",$E747=""),"",IF(OR($A747="",$F747=""),"UNKNOWN_ACCOUNT",IF(OR($B747="",$C747=""),"INCOMPLETE",IFERROR(IF(OR(NOT(ISNUMBER($B747)),NOT(ISNUMBER($C747)),IF(C747="",FALSE,IF(ISNUMBER(C747),OR(C747&lt;=0,C747&gt;100000000,ROUND(C747*100,6)&lt;&gt;INT(ROUND(C747*100,6))),TRUE)),IF(D747="",FALSE,IF(ISNUMBER(D747),OR(D747&lt;=0,D747&gt;100000000,ROUND(D747*100,6)&lt;&gt;INT(ROUND(D747*100,6))),TRUE)),IF(E747="",FALSE,IF(ISNUMBER(E747),OR(E747&lt;=0,E747&gt;100000000,ROUND(E747*100,6)&lt;&gt;INT(ROUND(E747*100,6))),TRUE)),AND($D747&lt;&gt;"",$D747&lt;MAX($C747,$E747)),AND($E747&lt;&gt;"",$E747&gt;MIN($C747,IF($D747="",$C747,$D747))),COUNTIFS($A$2:$A$1001,$A747,$B$2:$B$1001,$B747)&gt;1),"INVALID",IFERROR(IF(IF(INDEX(Accounts!$T$2:$T$11,$F747),ROUND(IF($E747="",$C747,MIN($C747,$E747))-(H747),6)&lt;=0,ROUND(IF($E747="",$C747,MIN($C747,$E747))-(H747),6)&lt;0),"BREACHED","OK"),"INCOMPLETE")),"INVALID"))))</f>
        <v/>
      </c>
      <c r="J747" s="33">
        <f>IF(OR(I747="OK",I747="BREACHED"),-INT(ROUND(-(H747)*100,6))/100,I747)</f>
        <v/>
      </c>
    </row>
    <row r="748" ht="18" customHeight="1">
      <c r="A748" s="9" t="n"/>
      <c r="B748" s="32" t="n"/>
      <c r="C748" s="12" t="n"/>
      <c r="D748" s="12" t="n"/>
      <c r="E748" s="12" t="n"/>
      <c r="F748" s="15">
        <f>IFERROR(MATCH($A748,Accounts!$A$2:$A$11,0),"")</f>
        <v/>
      </c>
      <c r="G748" s="14">
        <f>IFERROR(IF(OR($A748="",$F748=""),"",IF(INDEX(Accounts!$P$2:$P$11,$F748)="static",INDEX(Accounts!$Q$2:$Q$11,$F748),IF(INDEX(Accounts!$P$2:$P$11,$F748)="eod_trailing",MAX(INDEX(Accounts!$Q$2:$Q$11,$F748),_xlfn.MAXIFS($C$2:$C$1001,$A$2:$A$1001,$A748,$B$2:$B$1001,"&lt;"&amp;$B748)),MAX(INDEX(Accounts!$Q$2:$Q$11,$F748),_xlfn.MAXIFS($C$2:$C$1001,$A$2:$A$1001,$A748,$B$2:$B$1001,"&lt;"&amp;$B748),_xlfn.MAXIFS($D$2:$D$1001,$A$2:$A$1001,$A748,$B$2:$B$1001,"&lt;="&amp;$B748),$C748)))),"")</f>
        <v/>
      </c>
      <c r="H748" s="15">
        <f>IFERROR(IF(G748="","",IF(INDEX(Accounts!$P$2:$P$11,$F748)="static",INDEX(Accounts!$Q$2:$Q$11,$F748)-INDEX(Accounts!$R$2:$R$11,$F748),IF(INDEX(Accounts!$S$2:$S$11,$F748)="NONE",G748-INDEX(Accounts!$R$2:$R$11,$F748),MIN(G748-INDEX(Accounts!$R$2:$R$11,$F748),INDEX(Accounts!$Q$2:$Q$11,$F748)+INDEX(Accounts!$S$2:$S$11,$F748))))),"")</f>
        <v/>
      </c>
      <c r="I748" s="16">
        <f>IF(AND($A748="",$B748="",$C748="",$D748="",$E748=""),"",IF(OR($A748="",$F748=""),"UNKNOWN_ACCOUNT",IF(OR($B748="",$C748=""),"INCOMPLETE",IFERROR(IF(OR(NOT(ISNUMBER($B748)),NOT(ISNUMBER($C748)),IF(C748="",FALSE,IF(ISNUMBER(C748),OR(C748&lt;=0,C748&gt;100000000,ROUND(C748*100,6)&lt;&gt;INT(ROUND(C748*100,6))),TRUE)),IF(D748="",FALSE,IF(ISNUMBER(D748),OR(D748&lt;=0,D748&gt;100000000,ROUND(D748*100,6)&lt;&gt;INT(ROUND(D748*100,6))),TRUE)),IF(E748="",FALSE,IF(ISNUMBER(E748),OR(E748&lt;=0,E748&gt;100000000,ROUND(E748*100,6)&lt;&gt;INT(ROUND(E748*100,6))),TRUE)),AND($D748&lt;&gt;"",$D748&lt;MAX($C748,$E748)),AND($E748&lt;&gt;"",$E748&gt;MIN($C748,IF($D748="",$C748,$D748))),COUNTIFS($A$2:$A$1001,$A748,$B$2:$B$1001,$B748)&gt;1),"INVALID",IFERROR(IF(IF(INDEX(Accounts!$T$2:$T$11,$F748),ROUND(IF($E748="",$C748,MIN($C748,$E748))-(H748),6)&lt;=0,ROUND(IF($E748="",$C748,MIN($C748,$E748))-(H748),6)&lt;0),"BREACHED","OK"),"INCOMPLETE")),"INVALID"))))</f>
        <v/>
      </c>
      <c r="J748" s="33">
        <f>IF(OR(I748="OK",I748="BREACHED"),-INT(ROUND(-(H748)*100,6))/100,I748)</f>
        <v/>
      </c>
    </row>
    <row r="749" ht="18" customHeight="1">
      <c r="A749" s="9" t="n"/>
      <c r="B749" s="32" t="n"/>
      <c r="C749" s="12" t="n"/>
      <c r="D749" s="12" t="n"/>
      <c r="E749" s="12" t="n"/>
      <c r="F749" s="15">
        <f>IFERROR(MATCH($A749,Accounts!$A$2:$A$11,0),"")</f>
        <v/>
      </c>
      <c r="G749" s="14">
        <f>IFERROR(IF(OR($A749="",$F749=""),"",IF(INDEX(Accounts!$P$2:$P$11,$F749)="static",INDEX(Accounts!$Q$2:$Q$11,$F749),IF(INDEX(Accounts!$P$2:$P$11,$F749)="eod_trailing",MAX(INDEX(Accounts!$Q$2:$Q$11,$F749),_xlfn.MAXIFS($C$2:$C$1001,$A$2:$A$1001,$A749,$B$2:$B$1001,"&lt;"&amp;$B749)),MAX(INDEX(Accounts!$Q$2:$Q$11,$F749),_xlfn.MAXIFS($C$2:$C$1001,$A$2:$A$1001,$A749,$B$2:$B$1001,"&lt;"&amp;$B749),_xlfn.MAXIFS($D$2:$D$1001,$A$2:$A$1001,$A749,$B$2:$B$1001,"&lt;="&amp;$B749),$C749)))),"")</f>
        <v/>
      </c>
      <c r="H749" s="15">
        <f>IFERROR(IF(G749="","",IF(INDEX(Accounts!$P$2:$P$11,$F749)="static",INDEX(Accounts!$Q$2:$Q$11,$F749)-INDEX(Accounts!$R$2:$R$11,$F749),IF(INDEX(Accounts!$S$2:$S$11,$F749)="NONE",G749-INDEX(Accounts!$R$2:$R$11,$F749),MIN(G749-INDEX(Accounts!$R$2:$R$11,$F749),INDEX(Accounts!$Q$2:$Q$11,$F749)+INDEX(Accounts!$S$2:$S$11,$F749))))),"")</f>
        <v/>
      </c>
      <c r="I749" s="16">
        <f>IF(AND($A749="",$B749="",$C749="",$D749="",$E749=""),"",IF(OR($A749="",$F749=""),"UNKNOWN_ACCOUNT",IF(OR($B749="",$C749=""),"INCOMPLETE",IFERROR(IF(OR(NOT(ISNUMBER($B749)),NOT(ISNUMBER($C749)),IF(C749="",FALSE,IF(ISNUMBER(C749),OR(C749&lt;=0,C749&gt;100000000,ROUND(C749*100,6)&lt;&gt;INT(ROUND(C749*100,6))),TRUE)),IF(D749="",FALSE,IF(ISNUMBER(D749),OR(D749&lt;=0,D749&gt;100000000,ROUND(D749*100,6)&lt;&gt;INT(ROUND(D749*100,6))),TRUE)),IF(E749="",FALSE,IF(ISNUMBER(E749),OR(E749&lt;=0,E749&gt;100000000,ROUND(E749*100,6)&lt;&gt;INT(ROUND(E749*100,6))),TRUE)),AND($D749&lt;&gt;"",$D749&lt;MAX($C749,$E749)),AND($E749&lt;&gt;"",$E749&gt;MIN($C749,IF($D749="",$C749,$D749))),COUNTIFS($A$2:$A$1001,$A749,$B$2:$B$1001,$B749)&gt;1),"INVALID",IFERROR(IF(IF(INDEX(Accounts!$T$2:$T$11,$F749),ROUND(IF($E749="",$C749,MIN($C749,$E749))-(H749),6)&lt;=0,ROUND(IF($E749="",$C749,MIN($C749,$E749))-(H749),6)&lt;0),"BREACHED","OK"),"INCOMPLETE")),"INVALID"))))</f>
        <v/>
      </c>
      <c r="J749" s="33">
        <f>IF(OR(I749="OK",I749="BREACHED"),-INT(ROUND(-(H749)*100,6))/100,I749)</f>
        <v/>
      </c>
    </row>
    <row r="750" ht="18" customHeight="1">
      <c r="A750" s="9" t="n"/>
      <c r="B750" s="32" t="n"/>
      <c r="C750" s="12" t="n"/>
      <c r="D750" s="12" t="n"/>
      <c r="E750" s="12" t="n"/>
      <c r="F750" s="15">
        <f>IFERROR(MATCH($A750,Accounts!$A$2:$A$11,0),"")</f>
        <v/>
      </c>
      <c r="G750" s="14">
        <f>IFERROR(IF(OR($A750="",$F750=""),"",IF(INDEX(Accounts!$P$2:$P$11,$F750)="static",INDEX(Accounts!$Q$2:$Q$11,$F750),IF(INDEX(Accounts!$P$2:$P$11,$F750)="eod_trailing",MAX(INDEX(Accounts!$Q$2:$Q$11,$F750),_xlfn.MAXIFS($C$2:$C$1001,$A$2:$A$1001,$A750,$B$2:$B$1001,"&lt;"&amp;$B750)),MAX(INDEX(Accounts!$Q$2:$Q$11,$F750),_xlfn.MAXIFS($C$2:$C$1001,$A$2:$A$1001,$A750,$B$2:$B$1001,"&lt;"&amp;$B750),_xlfn.MAXIFS($D$2:$D$1001,$A$2:$A$1001,$A750,$B$2:$B$1001,"&lt;="&amp;$B750),$C750)))),"")</f>
        <v/>
      </c>
      <c r="H750" s="15">
        <f>IFERROR(IF(G750="","",IF(INDEX(Accounts!$P$2:$P$11,$F750)="static",INDEX(Accounts!$Q$2:$Q$11,$F750)-INDEX(Accounts!$R$2:$R$11,$F750),IF(INDEX(Accounts!$S$2:$S$11,$F750)="NONE",G750-INDEX(Accounts!$R$2:$R$11,$F750),MIN(G750-INDEX(Accounts!$R$2:$R$11,$F750),INDEX(Accounts!$Q$2:$Q$11,$F750)+INDEX(Accounts!$S$2:$S$11,$F750))))),"")</f>
        <v/>
      </c>
      <c r="I750" s="16">
        <f>IF(AND($A750="",$B750="",$C750="",$D750="",$E750=""),"",IF(OR($A750="",$F750=""),"UNKNOWN_ACCOUNT",IF(OR($B750="",$C750=""),"INCOMPLETE",IFERROR(IF(OR(NOT(ISNUMBER($B750)),NOT(ISNUMBER($C750)),IF(C750="",FALSE,IF(ISNUMBER(C750),OR(C750&lt;=0,C750&gt;100000000,ROUND(C750*100,6)&lt;&gt;INT(ROUND(C750*100,6))),TRUE)),IF(D750="",FALSE,IF(ISNUMBER(D750),OR(D750&lt;=0,D750&gt;100000000,ROUND(D750*100,6)&lt;&gt;INT(ROUND(D750*100,6))),TRUE)),IF(E750="",FALSE,IF(ISNUMBER(E750),OR(E750&lt;=0,E750&gt;100000000,ROUND(E750*100,6)&lt;&gt;INT(ROUND(E750*100,6))),TRUE)),AND($D750&lt;&gt;"",$D750&lt;MAX($C750,$E750)),AND($E750&lt;&gt;"",$E750&gt;MIN($C750,IF($D750="",$C750,$D750))),COUNTIFS($A$2:$A$1001,$A750,$B$2:$B$1001,$B750)&gt;1),"INVALID",IFERROR(IF(IF(INDEX(Accounts!$T$2:$T$11,$F750),ROUND(IF($E750="",$C750,MIN($C750,$E750))-(H750),6)&lt;=0,ROUND(IF($E750="",$C750,MIN($C750,$E750))-(H750),6)&lt;0),"BREACHED","OK"),"INCOMPLETE")),"INVALID"))))</f>
        <v/>
      </c>
      <c r="J750" s="33">
        <f>IF(OR(I750="OK",I750="BREACHED"),-INT(ROUND(-(H750)*100,6))/100,I750)</f>
        <v/>
      </c>
    </row>
    <row r="751" ht="18" customHeight="1">
      <c r="A751" s="9" t="n"/>
      <c r="B751" s="32" t="n"/>
      <c r="C751" s="12" t="n"/>
      <c r="D751" s="12" t="n"/>
      <c r="E751" s="12" t="n"/>
      <c r="F751" s="15">
        <f>IFERROR(MATCH($A751,Accounts!$A$2:$A$11,0),"")</f>
        <v/>
      </c>
      <c r="G751" s="14">
        <f>IFERROR(IF(OR($A751="",$F751=""),"",IF(INDEX(Accounts!$P$2:$P$11,$F751)="static",INDEX(Accounts!$Q$2:$Q$11,$F751),IF(INDEX(Accounts!$P$2:$P$11,$F751)="eod_trailing",MAX(INDEX(Accounts!$Q$2:$Q$11,$F751),_xlfn.MAXIFS($C$2:$C$1001,$A$2:$A$1001,$A751,$B$2:$B$1001,"&lt;"&amp;$B751)),MAX(INDEX(Accounts!$Q$2:$Q$11,$F751),_xlfn.MAXIFS($C$2:$C$1001,$A$2:$A$1001,$A751,$B$2:$B$1001,"&lt;"&amp;$B751),_xlfn.MAXIFS($D$2:$D$1001,$A$2:$A$1001,$A751,$B$2:$B$1001,"&lt;="&amp;$B751),$C751)))),"")</f>
        <v/>
      </c>
      <c r="H751" s="15">
        <f>IFERROR(IF(G751="","",IF(INDEX(Accounts!$P$2:$P$11,$F751)="static",INDEX(Accounts!$Q$2:$Q$11,$F751)-INDEX(Accounts!$R$2:$R$11,$F751),IF(INDEX(Accounts!$S$2:$S$11,$F751)="NONE",G751-INDEX(Accounts!$R$2:$R$11,$F751),MIN(G751-INDEX(Accounts!$R$2:$R$11,$F751),INDEX(Accounts!$Q$2:$Q$11,$F751)+INDEX(Accounts!$S$2:$S$11,$F751))))),"")</f>
        <v/>
      </c>
      <c r="I751" s="16">
        <f>IF(AND($A751="",$B751="",$C751="",$D751="",$E751=""),"",IF(OR($A751="",$F751=""),"UNKNOWN_ACCOUNT",IF(OR($B751="",$C751=""),"INCOMPLETE",IFERROR(IF(OR(NOT(ISNUMBER($B751)),NOT(ISNUMBER($C751)),IF(C751="",FALSE,IF(ISNUMBER(C751),OR(C751&lt;=0,C751&gt;100000000,ROUND(C751*100,6)&lt;&gt;INT(ROUND(C751*100,6))),TRUE)),IF(D751="",FALSE,IF(ISNUMBER(D751),OR(D751&lt;=0,D751&gt;100000000,ROUND(D751*100,6)&lt;&gt;INT(ROUND(D751*100,6))),TRUE)),IF(E751="",FALSE,IF(ISNUMBER(E751),OR(E751&lt;=0,E751&gt;100000000,ROUND(E751*100,6)&lt;&gt;INT(ROUND(E751*100,6))),TRUE)),AND($D751&lt;&gt;"",$D751&lt;MAX($C751,$E751)),AND($E751&lt;&gt;"",$E751&gt;MIN($C751,IF($D751="",$C751,$D751))),COUNTIFS($A$2:$A$1001,$A751,$B$2:$B$1001,$B751)&gt;1),"INVALID",IFERROR(IF(IF(INDEX(Accounts!$T$2:$T$11,$F751),ROUND(IF($E751="",$C751,MIN($C751,$E751))-(H751),6)&lt;=0,ROUND(IF($E751="",$C751,MIN($C751,$E751))-(H751),6)&lt;0),"BREACHED","OK"),"INCOMPLETE")),"INVALID"))))</f>
        <v/>
      </c>
      <c r="J751" s="33">
        <f>IF(OR(I751="OK",I751="BREACHED"),-INT(ROUND(-(H751)*100,6))/100,I751)</f>
        <v/>
      </c>
    </row>
    <row r="752" ht="18" customHeight="1">
      <c r="A752" s="9" t="n"/>
      <c r="B752" s="32" t="n"/>
      <c r="C752" s="12" t="n"/>
      <c r="D752" s="12" t="n"/>
      <c r="E752" s="12" t="n"/>
      <c r="F752" s="15">
        <f>IFERROR(MATCH($A752,Accounts!$A$2:$A$11,0),"")</f>
        <v/>
      </c>
      <c r="G752" s="14">
        <f>IFERROR(IF(OR($A752="",$F752=""),"",IF(INDEX(Accounts!$P$2:$P$11,$F752)="static",INDEX(Accounts!$Q$2:$Q$11,$F752),IF(INDEX(Accounts!$P$2:$P$11,$F752)="eod_trailing",MAX(INDEX(Accounts!$Q$2:$Q$11,$F752),_xlfn.MAXIFS($C$2:$C$1001,$A$2:$A$1001,$A752,$B$2:$B$1001,"&lt;"&amp;$B752)),MAX(INDEX(Accounts!$Q$2:$Q$11,$F752),_xlfn.MAXIFS($C$2:$C$1001,$A$2:$A$1001,$A752,$B$2:$B$1001,"&lt;"&amp;$B752),_xlfn.MAXIFS($D$2:$D$1001,$A$2:$A$1001,$A752,$B$2:$B$1001,"&lt;="&amp;$B752),$C752)))),"")</f>
        <v/>
      </c>
      <c r="H752" s="15">
        <f>IFERROR(IF(G752="","",IF(INDEX(Accounts!$P$2:$P$11,$F752)="static",INDEX(Accounts!$Q$2:$Q$11,$F752)-INDEX(Accounts!$R$2:$R$11,$F752),IF(INDEX(Accounts!$S$2:$S$11,$F752)="NONE",G752-INDEX(Accounts!$R$2:$R$11,$F752),MIN(G752-INDEX(Accounts!$R$2:$R$11,$F752),INDEX(Accounts!$Q$2:$Q$11,$F752)+INDEX(Accounts!$S$2:$S$11,$F752))))),"")</f>
        <v/>
      </c>
      <c r="I752" s="16">
        <f>IF(AND($A752="",$B752="",$C752="",$D752="",$E752=""),"",IF(OR($A752="",$F752=""),"UNKNOWN_ACCOUNT",IF(OR($B752="",$C752=""),"INCOMPLETE",IFERROR(IF(OR(NOT(ISNUMBER($B752)),NOT(ISNUMBER($C752)),IF(C752="",FALSE,IF(ISNUMBER(C752),OR(C752&lt;=0,C752&gt;100000000,ROUND(C752*100,6)&lt;&gt;INT(ROUND(C752*100,6))),TRUE)),IF(D752="",FALSE,IF(ISNUMBER(D752),OR(D752&lt;=0,D752&gt;100000000,ROUND(D752*100,6)&lt;&gt;INT(ROUND(D752*100,6))),TRUE)),IF(E752="",FALSE,IF(ISNUMBER(E752),OR(E752&lt;=0,E752&gt;100000000,ROUND(E752*100,6)&lt;&gt;INT(ROUND(E752*100,6))),TRUE)),AND($D752&lt;&gt;"",$D752&lt;MAX($C752,$E752)),AND($E752&lt;&gt;"",$E752&gt;MIN($C752,IF($D752="",$C752,$D752))),COUNTIFS($A$2:$A$1001,$A752,$B$2:$B$1001,$B752)&gt;1),"INVALID",IFERROR(IF(IF(INDEX(Accounts!$T$2:$T$11,$F752),ROUND(IF($E752="",$C752,MIN($C752,$E752))-(H752),6)&lt;=0,ROUND(IF($E752="",$C752,MIN($C752,$E752))-(H752),6)&lt;0),"BREACHED","OK"),"INCOMPLETE")),"INVALID"))))</f>
        <v/>
      </c>
      <c r="J752" s="33">
        <f>IF(OR(I752="OK",I752="BREACHED"),-INT(ROUND(-(H752)*100,6))/100,I752)</f>
        <v/>
      </c>
    </row>
    <row r="753" ht="18" customHeight="1">
      <c r="A753" s="9" t="n"/>
      <c r="B753" s="32" t="n"/>
      <c r="C753" s="12" t="n"/>
      <c r="D753" s="12" t="n"/>
      <c r="E753" s="12" t="n"/>
      <c r="F753" s="15">
        <f>IFERROR(MATCH($A753,Accounts!$A$2:$A$11,0),"")</f>
        <v/>
      </c>
      <c r="G753" s="14">
        <f>IFERROR(IF(OR($A753="",$F753=""),"",IF(INDEX(Accounts!$P$2:$P$11,$F753)="static",INDEX(Accounts!$Q$2:$Q$11,$F753),IF(INDEX(Accounts!$P$2:$P$11,$F753)="eod_trailing",MAX(INDEX(Accounts!$Q$2:$Q$11,$F753),_xlfn.MAXIFS($C$2:$C$1001,$A$2:$A$1001,$A753,$B$2:$B$1001,"&lt;"&amp;$B753)),MAX(INDEX(Accounts!$Q$2:$Q$11,$F753),_xlfn.MAXIFS($C$2:$C$1001,$A$2:$A$1001,$A753,$B$2:$B$1001,"&lt;"&amp;$B753),_xlfn.MAXIFS($D$2:$D$1001,$A$2:$A$1001,$A753,$B$2:$B$1001,"&lt;="&amp;$B753),$C753)))),"")</f>
        <v/>
      </c>
      <c r="H753" s="15">
        <f>IFERROR(IF(G753="","",IF(INDEX(Accounts!$P$2:$P$11,$F753)="static",INDEX(Accounts!$Q$2:$Q$11,$F753)-INDEX(Accounts!$R$2:$R$11,$F753),IF(INDEX(Accounts!$S$2:$S$11,$F753)="NONE",G753-INDEX(Accounts!$R$2:$R$11,$F753),MIN(G753-INDEX(Accounts!$R$2:$R$11,$F753),INDEX(Accounts!$Q$2:$Q$11,$F753)+INDEX(Accounts!$S$2:$S$11,$F753))))),"")</f>
        <v/>
      </c>
      <c r="I753" s="16">
        <f>IF(AND($A753="",$B753="",$C753="",$D753="",$E753=""),"",IF(OR($A753="",$F753=""),"UNKNOWN_ACCOUNT",IF(OR($B753="",$C753=""),"INCOMPLETE",IFERROR(IF(OR(NOT(ISNUMBER($B753)),NOT(ISNUMBER($C753)),IF(C753="",FALSE,IF(ISNUMBER(C753),OR(C753&lt;=0,C753&gt;100000000,ROUND(C753*100,6)&lt;&gt;INT(ROUND(C753*100,6))),TRUE)),IF(D753="",FALSE,IF(ISNUMBER(D753),OR(D753&lt;=0,D753&gt;100000000,ROUND(D753*100,6)&lt;&gt;INT(ROUND(D753*100,6))),TRUE)),IF(E753="",FALSE,IF(ISNUMBER(E753),OR(E753&lt;=0,E753&gt;100000000,ROUND(E753*100,6)&lt;&gt;INT(ROUND(E753*100,6))),TRUE)),AND($D753&lt;&gt;"",$D753&lt;MAX($C753,$E753)),AND($E753&lt;&gt;"",$E753&gt;MIN($C753,IF($D753="",$C753,$D753))),COUNTIFS($A$2:$A$1001,$A753,$B$2:$B$1001,$B753)&gt;1),"INVALID",IFERROR(IF(IF(INDEX(Accounts!$T$2:$T$11,$F753),ROUND(IF($E753="",$C753,MIN($C753,$E753))-(H753),6)&lt;=0,ROUND(IF($E753="",$C753,MIN($C753,$E753))-(H753),6)&lt;0),"BREACHED","OK"),"INCOMPLETE")),"INVALID"))))</f>
        <v/>
      </c>
      <c r="J753" s="33">
        <f>IF(OR(I753="OK",I753="BREACHED"),-INT(ROUND(-(H753)*100,6))/100,I753)</f>
        <v/>
      </c>
    </row>
    <row r="754" ht="18" customHeight="1">
      <c r="A754" s="9" t="n"/>
      <c r="B754" s="32" t="n"/>
      <c r="C754" s="12" t="n"/>
      <c r="D754" s="12" t="n"/>
      <c r="E754" s="12" t="n"/>
      <c r="F754" s="15">
        <f>IFERROR(MATCH($A754,Accounts!$A$2:$A$11,0),"")</f>
        <v/>
      </c>
      <c r="G754" s="14">
        <f>IFERROR(IF(OR($A754="",$F754=""),"",IF(INDEX(Accounts!$P$2:$P$11,$F754)="static",INDEX(Accounts!$Q$2:$Q$11,$F754),IF(INDEX(Accounts!$P$2:$P$11,$F754)="eod_trailing",MAX(INDEX(Accounts!$Q$2:$Q$11,$F754),_xlfn.MAXIFS($C$2:$C$1001,$A$2:$A$1001,$A754,$B$2:$B$1001,"&lt;"&amp;$B754)),MAX(INDEX(Accounts!$Q$2:$Q$11,$F754),_xlfn.MAXIFS($C$2:$C$1001,$A$2:$A$1001,$A754,$B$2:$B$1001,"&lt;"&amp;$B754),_xlfn.MAXIFS($D$2:$D$1001,$A$2:$A$1001,$A754,$B$2:$B$1001,"&lt;="&amp;$B754),$C754)))),"")</f>
        <v/>
      </c>
      <c r="H754" s="15">
        <f>IFERROR(IF(G754="","",IF(INDEX(Accounts!$P$2:$P$11,$F754)="static",INDEX(Accounts!$Q$2:$Q$11,$F754)-INDEX(Accounts!$R$2:$R$11,$F754),IF(INDEX(Accounts!$S$2:$S$11,$F754)="NONE",G754-INDEX(Accounts!$R$2:$R$11,$F754),MIN(G754-INDEX(Accounts!$R$2:$R$11,$F754),INDEX(Accounts!$Q$2:$Q$11,$F754)+INDEX(Accounts!$S$2:$S$11,$F754))))),"")</f>
        <v/>
      </c>
      <c r="I754" s="16">
        <f>IF(AND($A754="",$B754="",$C754="",$D754="",$E754=""),"",IF(OR($A754="",$F754=""),"UNKNOWN_ACCOUNT",IF(OR($B754="",$C754=""),"INCOMPLETE",IFERROR(IF(OR(NOT(ISNUMBER($B754)),NOT(ISNUMBER($C754)),IF(C754="",FALSE,IF(ISNUMBER(C754),OR(C754&lt;=0,C754&gt;100000000,ROUND(C754*100,6)&lt;&gt;INT(ROUND(C754*100,6))),TRUE)),IF(D754="",FALSE,IF(ISNUMBER(D754),OR(D754&lt;=0,D754&gt;100000000,ROUND(D754*100,6)&lt;&gt;INT(ROUND(D754*100,6))),TRUE)),IF(E754="",FALSE,IF(ISNUMBER(E754),OR(E754&lt;=0,E754&gt;100000000,ROUND(E754*100,6)&lt;&gt;INT(ROUND(E754*100,6))),TRUE)),AND($D754&lt;&gt;"",$D754&lt;MAX($C754,$E754)),AND($E754&lt;&gt;"",$E754&gt;MIN($C754,IF($D754="",$C754,$D754))),COUNTIFS($A$2:$A$1001,$A754,$B$2:$B$1001,$B754)&gt;1),"INVALID",IFERROR(IF(IF(INDEX(Accounts!$T$2:$T$11,$F754),ROUND(IF($E754="",$C754,MIN($C754,$E754))-(H754),6)&lt;=0,ROUND(IF($E754="",$C754,MIN($C754,$E754))-(H754),6)&lt;0),"BREACHED","OK"),"INCOMPLETE")),"INVALID"))))</f>
        <v/>
      </c>
      <c r="J754" s="33">
        <f>IF(OR(I754="OK",I754="BREACHED"),-INT(ROUND(-(H754)*100,6))/100,I754)</f>
        <v/>
      </c>
    </row>
    <row r="755" ht="18" customHeight="1">
      <c r="A755" s="9" t="n"/>
      <c r="B755" s="32" t="n"/>
      <c r="C755" s="12" t="n"/>
      <c r="D755" s="12" t="n"/>
      <c r="E755" s="12" t="n"/>
      <c r="F755" s="15">
        <f>IFERROR(MATCH($A755,Accounts!$A$2:$A$11,0),"")</f>
        <v/>
      </c>
      <c r="G755" s="14">
        <f>IFERROR(IF(OR($A755="",$F755=""),"",IF(INDEX(Accounts!$P$2:$P$11,$F755)="static",INDEX(Accounts!$Q$2:$Q$11,$F755),IF(INDEX(Accounts!$P$2:$P$11,$F755)="eod_trailing",MAX(INDEX(Accounts!$Q$2:$Q$11,$F755),_xlfn.MAXIFS($C$2:$C$1001,$A$2:$A$1001,$A755,$B$2:$B$1001,"&lt;"&amp;$B755)),MAX(INDEX(Accounts!$Q$2:$Q$11,$F755),_xlfn.MAXIFS($C$2:$C$1001,$A$2:$A$1001,$A755,$B$2:$B$1001,"&lt;"&amp;$B755),_xlfn.MAXIFS($D$2:$D$1001,$A$2:$A$1001,$A755,$B$2:$B$1001,"&lt;="&amp;$B755),$C755)))),"")</f>
        <v/>
      </c>
      <c r="H755" s="15">
        <f>IFERROR(IF(G755="","",IF(INDEX(Accounts!$P$2:$P$11,$F755)="static",INDEX(Accounts!$Q$2:$Q$11,$F755)-INDEX(Accounts!$R$2:$R$11,$F755),IF(INDEX(Accounts!$S$2:$S$11,$F755)="NONE",G755-INDEX(Accounts!$R$2:$R$11,$F755),MIN(G755-INDEX(Accounts!$R$2:$R$11,$F755),INDEX(Accounts!$Q$2:$Q$11,$F755)+INDEX(Accounts!$S$2:$S$11,$F755))))),"")</f>
        <v/>
      </c>
      <c r="I755" s="16">
        <f>IF(AND($A755="",$B755="",$C755="",$D755="",$E755=""),"",IF(OR($A755="",$F755=""),"UNKNOWN_ACCOUNT",IF(OR($B755="",$C755=""),"INCOMPLETE",IFERROR(IF(OR(NOT(ISNUMBER($B755)),NOT(ISNUMBER($C755)),IF(C755="",FALSE,IF(ISNUMBER(C755),OR(C755&lt;=0,C755&gt;100000000,ROUND(C755*100,6)&lt;&gt;INT(ROUND(C755*100,6))),TRUE)),IF(D755="",FALSE,IF(ISNUMBER(D755),OR(D755&lt;=0,D755&gt;100000000,ROUND(D755*100,6)&lt;&gt;INT(ROUND(D755*100,6))),TRUE)),IF(E755="",FALSE,IF(ISNUMBER(E755),OR(E755&lt;=0,E755&gt;100000000,ROUND(E755*100,6)&lt;&gt;INT(ROUND(E755*100,6))),TRUE)),AND($D755&lt;&gt;"",$D755&lt;MAX($C755,$E755)),AND($E755&lt;&gt;"",$E755&gt;MIN($C755,IF($D755="",$C755,$D755))),COUNTIFS($A$2:$A$1001,$A755,$B$2:$B$1001,$B755)&gt;1),"INVALID",IFERROR(IF(IF(INDEX(Accounts!$T$2:$T$11,$F755),ROUND(IF($E755="",$C755,MIN($C755,$E755))-(H755),6)&lt;=0,ROUND(IF($E755="",$C755,MIN($C755,$E755))-(H755),6)&lt;0),"BREACHED","OK"),"INCOMPLETE")),"INVALID"))))</f>
        <v/>
      </c>
      <c r="J755" s="33">
        <f>IF(OR(I755="OK",I755="BREACHED"),-INT(ROUND(-(H755)*100,6))/100,I755)</f>
        <v/>
      </c>
    </row>
    <row r="756" ht="18" customHeight="1">
      <c r="A756" s="9" t="n"/>
      <c r="B756" s="32" t="n"/>
      <c r="C756" s="12" t="n"/>
      <c r="D756" s="12" t="n"/>
      <c r="E756" s="12" t="n"/>
      <c r="F756" s="15">
        <f>IFERROR(MATCH($A756,Accounts!$A$2:$A$11,0),"")</f>
        <v/>
      </c>
      <c r="G756" s="14">
        <f>IFERROR(IF(OR($A756="",$F756=""),"",IF(INDEX(Accounts!$P$2:$P$11,$F756)="static",INDEX(Accounts!$Q$2:$Q$11,$F756),IF(INDEX(Accounts!$P$2:$P$11,$F756)="eod_trailing",MAX(INDEX(Accounts!$Q$2:$Q$11,$F756),_xlfn.MAXIFS($C$2:$C$1001,$A$2:$A$1001,$A756,$B$2:$B$1001,"&lt;"&amp;$B756)),MAX(INDEX(Accounts!$Q$2:$Q$11,$F756),_xlfn.MAXIFS($C$2:$C$1001,$A$2:$A$1001,$A756,$B$2:$B$1001,"&lt;"&amp;$B756),_xlfn.MAXIFS($D$2:$D$1001,$A$2:$A$1001,$A756,$B$2:$B$1001,"&lt;="&amp;$B756),$C756)))),"")</f>
        <v/>
      </c>
      <c r="H756" s="15">
        <f>IFERROR(IF(G756="","",IF(INDEX(Accounts!$P$2:$P$11,$F756)="static",INDEX(Accounts!$Q$2:$Q$11,$F756)-INDEX(Accounts!$R$2:$R$11,$F756),IF(INDEX(Accounts!$S$2:$S$11,$F756)="NONE",G756-INDEX(Accounts!$R$2:$R$11,$F756),MIN(G756-INDEX(Accounts!$R$2:$R$11,$F756),INDEX(Accounts!$Q$2:$Q$11,$F756)+INDEX(Accounts!$S$2:$S$11,$F756))))),"")</f>
        <v/>
      </c>
      <c r="I756" s="16">
        <f>IF(AND($A756="",$B756="",$C756="",$D756="",$E756=""),"",IF(OR($A756="",$F756=""),"UNKNOWN_ACCOUNT",IF(OR($B756="",$C756=""),"INCOMPLETE",IFERROR(IF(OR(NOT(ISNUMBER($B756)),NOT(ISNUMBER($C756)),IF(C756="",FALSE,IF(ISNUMBER(C756),OR(C756&lt;=0,C756&gt;100000000,ROUND(C756*100,6)&lt;&gt;INT(ROUND(C756*100,6))),TRUE)),IF(D756="",FALSE,IF(ISNUMBER(D756),OR(D756&lt;=0,D756&gt;100000000,ROUND(D756*100,6)&lt;&gt;INT(ROUND(D756*100,6))),TRUE)),IF(E756="",FALSE,IF(ISNUMBER(E756),OR(E756&lt;=0,E756&gt;100000000,ROUND(E756*100,6)&lt;&gt;INT(ROUND(E756*100,6))),TRUE)),AND($D756&lt;&gt;"",$D756&lt;MAX($C756,$E756)),AND($E756&lt;&gt;"",$E756&gt;MIN($C756,IF($D756="",$C756,$D756))),COUNTIFS($A$2:$A$1001,$A756,$B$2:$B$1001,$B756)&gt;1),"INVALID",IFERROR(IF(IF(INDEX(Accounts!$T$2:$T$11,$F756),ROUND(IF($E756="",$C756,MIN($C756,$E756))-(H756),6)&lt;=0,ROUND(IF($E756="",$C756,MIN($C756,$E756))-(H756),6)&lt;0),"BREACHED","OK"),"INCOMPLETE")),"INVALID"))))</f>
        <v/>
      </c>
      <c r="J756" s="33">
        <f>IF(OR(I756="OK",I756="BREACHED"),-INT(ROUND(-(H756)*100,6))/100,I756)</f>
        <v/>
      </c>
    </row>
    <row r="757" ht="18" customHeight="1">
      <c r="A757" s="9" t="n"/>
      <c r="B757" s="32" t="n"/>
      <c r="C757" s="12" t="n"/>
      <c r="D757" s="12" t="n"/>
      <c r="E757" s="12" t="n"/>
      <c r="F757" s="15">
        <f>IFERROR(MATCH($A757,Accounts!$A$2:$A$11,0),"")</f>
        <v/>
      </c>
      <c r="G757" s="14">
        <f>IFERROR(IF(OR($A757="",$F757=""),"",IF(INDEX(Accounts!$P$2:$P$11,$F757)="static",INDEX(Accounts!$Q$2:$Q$11,$F757),IF(INDEX(Accounts!$P$2:$P$11,$F757)="eod_trailing",MAX(INDEX(Accounts!$Q$2:$Q$11,$F757),_xlfn.MAXIFS($C$2:$C$1001,$A$2:$A$1001,$A757,$B$2:$B$1001,"&lt;"&amp;$B757)),MAX(INDEX(Accounts!$Q$2:$Q$11,$F757),_xlfn.MAXIFS($C$2:$C$1001,$A$2:$A$1001,$A757,$B$2:$B$1001,"&lt;"&amp;$B757),_xlfn.MAXIFS($D$2:$D$1001,$A$2:$A$1001,$A757,$B$2:$B$1001,"&lt;="&amp;$B757),$C757)))),"")</f>
        <v/>
      </c>
      <c r="H757" s="15">
        <f>IFERROR(IF(G757="","",IF(INDEX(Accounts!$P$2:$P$11,$F757)="static",INDEX(Accounts!$Q$2:$Q$11,$F757)-INDEX(Accounts!$R$2:$R$11,$F757),IF(INDEX(Accounts!$S$2:$S$11,$F757)="NONE",G757-INDEX(Accounts!$R$2:$R$11,$F757),MIN(G757-INDEX(Accounts!$R$2:$R$11,$F757),INDEX(Accounts!$Q$2:$Q$11,$F757)+INDEX(Accounts!$S$2:$S$11,$F757))))),"")</f>
        <v/>
      </c>
      <c r="I757" s="16">
        <f>IF(AND($A757="",$B757="",$C757="",$D757="",$E757=""),"",IF(OR($A757="",$F757=""),"UNKNOWN_ACCOUNT",IF(OR($B757="",$C757=""),"INCOMPLETE",IFERROR(IF(OR(NOT(ISNUMBER($B757)),NOT(ISNUMBER($C757)),IF(C757="",FALSE,IF(ISNUMBER(C757),OR(C757&lt;=0,C757&gt;100000000,ROUND(C757*100,6)&lt;&gt;INT(ROUND(C757*100,6))),TRUE)),IF(D757="",FALSE,IF(ISNUMBER(D757),OR(D757&lt;=0,D757&gt;100000000,ROUND(D757*100,6)&lt;&gt;INT(ROUND(D757*100,6))),TRUE)),IF(E757="",FALSE,IF(ISNUMBER(E757),OR(E757&lt;=0,E757&gt;100000000,ROUND(E757*100,6)&lt;&gt;INT(ROUND(E757*100,6))),TRUE)),AND($D757&lt;&gt;"",$D757&lt;MAX($C757,$E757)),AND($E757&lt;&gt;"",$E757&gt;MIN($C757,IF($D757="",$C757,$D757))),COUNTIFS($A$2:$A$1001,$A757,$B$2:$B$1001,$B757)&gt;1),"INVALID",IFERROR(IF(IF(INDEX(Accounts!$T$2:$T$11,$F757),ROUND(IF($E757="",$C757,MIN($C757,$E757))-(H757),6)&lt;=0,ROUND(IF($E757="",$C757,MIN($C757,$E757))-(H757),6)&lt;0),"BREACHED","OK"),"INCOMPLETE")),"INVALID"))))</f>
        <v/>
      </c>
      <c r="J757" s="33">
        <f>IF(OR(I757="OK",I757="BREACHED"),-INT(ROUND(-(H757)*100,6))/100,I757)</f>
        <v/>
      </c>
    </row>
    <row r="758" ht="18" customHeight="1">
      <c r="A758" s="9" t="n"/>
      <c r="B758" s="32" t="n"/>
      <c r="C758" s="12" t="n"/>
      <c r="D758" s="12" t="n"/>
      <c r="E758" s="12" t="n"/>
      <c r="F758" s="15">
        <f>IFERROR(MATCH($A758,Accounts!$A$2:$A$11,0),"")</f>
        <v/>
      </c>
      <c r="G758" s="14">
        <f>IFERROR(IF(OR($A758="",$F758=""),"",IF(INDEX(Accounts!$P$2:$P$11,$F758)="static",INDEX(Accounts!$Q$2:$Q$11,$F758),IF(INDEX(Accounts!$P$2:$P$11,$F758)="eod_trailing",MAX(INDEX(Accounts!$Q$2:$Q$11,$F758),_xlfn.MAXIFS($C$2:$C$1001,$A$2:$A$1001,$A758,$B$2:$B$1001,"&lt;"&amp;$B758)),MAX(INDEX(Accounts!$Q$2:$Q$11,$F758),_xlfn.MAXIFS($C$2:$C$1001,$A$2:$A$1001,$A758,$B$2:$B$1001,"&lt;"&amp;$B758),_xlfn.MAXIFS($D$2:$D$1001,$A$2:$A$1001,$A758,$B$2:$B$1001,"&lt;="&amp;$B758),$C758)))),"")</f>
        <v/>
      </c>
      <c r="H758" s="15">
        <f>IFERROR(IF(G758="","",IF(INDEX(Accounts!$P$2:$P$11,$F758)="static",INDEX(Accounts!$Q$2:$Q$11,$F758)-INDEX(Accounts!$R$2:$R$11,$F758),IF(INDEX(Accounts!$S$2:$S$11,$F758)="NONE",G758-INDEX(Accounts!$R$2:$R$11,$F758),MIN(G758-INDEX(Accounts!$R$2:$R$11,$F758),INDEX(Accounts!$Q$2:$Q$11,$F758)+INDEX(Accounts!$S$2:$S$11,$F758))))),"")</f>
        <v/>
      </c>
      <c r="I758" s="16">
        <f>IF(AND($A758="",$B758="",$C758="",$D758="",$E758=""),"",IF(OR($A758="",$F758=""),"UNKNOWN_ACCOUNT",IF(OR($B758="",$C758=""),"INCOMPLETE",IFERROR(IF(OR(NOT(ISNUMBER($B758)),NOT(ISNUMBER($C758)),IF(C758="",FALSE,IF(ISNUMBER(C758),OR(C758&lt;=0,C758&gt;100000000,ROUND(C758*100,6)&lt;&gt;INT(ROUND(C758*100,6))),TRUE)),IF(D758="",FALSE,IF(ISNUMBER(D758),OR(D758&lt;=0,D758&gt;100000000,ROUND(D758*100,6)&lt;&gt;INT(ROUND(D758*100,6))),TRUE)),IF(E758="",FALSE,IF(ISNUMBER(E758),OR(E758&lt;=0,E758&gt;100000000,ROUND(E758*100,6)&lt;&gt;INT(ROUND(E758*100,6))),TRUE)),AND($D758&lt;&gt;"",$D758&lt;MAX($C758,$E758)),AND($E758&lt;&gt;"",$E758&gt;MIN($C758,IF($D758="",$C758,$D758))),COUNTIFS($A$2:$A$1001,$A758,$B$2:$B$1001,$B758)&gt;1),"INVALID",IFERROR(IF(IF(INDEX(Accounts!$T$2:$T$11,$F758),ROUND(IF($E758="",$C758,MIN($C758,$E758))-(H758),6)&lt;=0,ROUND(IF($E758="",$C758,MIN($C758,$E758))-(H758),6)&lt;0),"BREACHED","OK"),"INCOMPLETE")),"INVALID"))))</f>
        <v/>
      </c>
      <c r="J758" s="33">
        <f>IF(OR(I758="OK",I758="BREACHED"),-INT(ROUND(-(H758)*100,6))/100,I758)</f>
        <v/>
      </c>
    </row>
    <row r="759" ht="18" customHeight="1">
      <c r="A759" s="9" t="n"/>
      <c r="B759" s="32" t="n"/>
      <c r="C759" s="12" t="n"/>
      <c r="D759" s="12" t="n"/>
      <c r="E759" s="12" t="n"/>
      <c r="F759" s="15">
        <f>IFERROR(MATCH($A759,Accounts!$A$2:$A$11,0),"")</f>
        <v/>
      </c>
      <c r="G759" s="14">
        <f>IFERROR(IF(OR($A759="",$F759=""),"",IF(INDEX(Accounts!$P$2:$P$11,$F759)="static",INDEX(Accounts!$Q$2:$Q$11,$F759),IF(INDEX(Accounts!$P$2:$P$11,$F759)="eod_trailing",MAX(INDEX(Accounts!$Q$2:$Q$11,$F759),_xlfn.MAXIFS($C$2:$C$1001,$A$2:$A$1001,$A759,$B$2:$B$1001,"&lt;"&amp;$B759)),MAX(INDEX(Accounts!$Q$2:$Q$11,$F759),_xlfn.MAXIFS($C$2:$C$1001,$A$2:$A$1001,$A759,$B$2:$B$1001,"&lt;"&amp;$B759),_xlfn.MAXIFS($D$2:$D$1001,$A$2:$A$1001,$A759,$B$2:$B$1001,"&lt;="&amp;$B759),$C759)))),"")</f>
        <v/>
      </c>
      <c r="H759" s="15">
        <f>IFERROR(IF(G759="","",IF(INDEX(Accounts!$P$2:$P$11,$F759)="static",INDEX(Accounts!$Q$2:$Q$11,$F759)-INDEX(Accounts!$R$2:$R$11,$F759),IF(INDEX(Accounts!$S$2:$S$11,$F759)="NONE",G759-INDEX(Accounts!$R$2:$R$11,$F759),MIN(G759-INDEX(Accounts!$R$2:$R$11,$F759),INDEX(Accounts!$Q$2:$Q$11,$F759)+INDEX(Accounts!$S$2:$S$11,$F759))))),"")</f>
        <v/>
      </c>
      <c r="I759" s="16">
        <f>IF(AND($A759="",$B759="",$C759="",$D759="",$E759=""),"",IF(OR($A759="",$F759=""),"UNKNOWN_ACCOUNT",IF(OR($B759="",$C759=""),"INCOMPLETE",IFERROR(IF(OR(NOT(ISNUMBER($B759)),NOT(ISNUMBER($C759)),IF(C759="",FALSE,IF(ISNUMBER(C759),OR(C759&lt;=0,C759&gt;100000000,ROUND(C759*100,6)&lt;&gt;INT(ROUND(C759*100,6))),TRUE)),IF(D759="",FALSE,IF(ISNUMBER(D759),OR(D759&lt;=0,D759&gt;100000000,ROUND(D759*100,6)&lt;&gt;INT(ROUND(D759*100,6))),TRUE)),IF(E759="",FALSE,IF(ISNUMBER(E759),OR(E759&lt;=0,E759&gt;100000000,ROUND(E759*100,6)&lt;&gt;INT(ROUND(E759*100,6))),TRUE)),AND($D759&lt;&gt;"",$D759&lt;MAX($C759,$E759)),AND($E759&lt;&gt;"",$E759&gt;MIN($C759,IF($D759="",$C759,$D759))),COUNTIFS($A$2:$A$1001,$A759,$B$2:$B$1001,$B759)&gt;1),"INVALID",IFERROR(IF(IF(INDEX(Accounts!$T$2:$T$11,$F759),ROUND(IF($E759="",$C759,MIN($C759,$E759))-(H759),6)&lt;=0,ROUND(IF($E759="",$C759,MIN($C759,$E759))-(H759),6)&lt;0),"BREACHED","OK"),"INCOMPLETE")),"INVALID"))))</f>
        <v/>
      </c>
      <c r="J759" s="33">
        <f>IF(OR(I759="OK",I759="BREACHED"),-INT(ROUND(-(H759)*100,6))/100,I759)</f>
        <v/>
      </c>
    </row>
    <row r="760" ht="18" customHeight="1">
      <c r="A760" s="9" t="n"/>
      <c r="B760" s="32" t="n"/>
      <c r="C760" s="12" t="n"/>
      <c r="D760" s="12" t="n"/>
      <c r="E760" s="12" t="n"/>
      <c r="F760" s="15">
        <f>IFERROR(MATCH($A760,Accounts!$A$2:$A$11,0),"")</f>
        <v/>
      </c>
      <c r="G760" s="14">
        <f>IFERROR(IF(OR($A760="",$F760=""),"",IF(INDEX(Accounts!$P$2:$P$11,$F760)="static",INDEX(Accounts!$Q$2:$Q$11,$F760),IF(INDEX(Accounts!$P$2:$P$11,$F760)="eod_trailing",MAX(INDEX(Accounts!$Q$2:$Q$11,$F760),_xlfn.MAXIFS($C$2:$C$1001,$A$2:$A$1001,$A760,$B$2:$B$1001,"&lt;"&amp;$B760)),MAX(INDEX(Accounts!$Q$2:$Q$11,$F760),_xlfn.MAXIFS($C$2:$C$1001,$A$2:$A$1001,$A760,$B$2:$B$1001,"&lt;"&amp;$B760),_xlfn.MAXIFS($D$2:$D$1001,$A$2:$A$1001,$A760,$B$2:$B$1001,"&lt;="&amp;$B760),$C760)))),"")</f>
        <v/>
      </c>
      <c r="H760" s="15">
        <f>IFERROR(IF(G760="","",IF(INDEX(Accounts!$P$2:$P$11,$F760)="static",INDEX(Accounts!$Q$2:$Q$11,$F760)-INDEX(Accounts!$R$2:$R$11,$F760),IF(INDEX(Accounts!$S$2:$S$11,$F760)="NONE",G760-INDEX(Accounts!$R$2:$R$11,$F760),MIN(G760-INDEX(Accounts!$R$2:$R$11,$F760),INDEX(Accounts!$Q$2:$Q$11,$F760)+INDEX(Accounts!$S$2:$S$11,$F760))))),"")</f>
        <v/>
      </c>
      <c r="I760" s="16">
        <f>IF(AND($A760="",$B760="",$C760="",$D760="",$E760=""),"",IF(OR($A760="",$F760=""),"UNKNOWN_ACCOUNT",IF(OR($B760="",$C760=""),"INCOMPLETE",IFERROR(IF(OR(NOT(ISNUMBER($B760)),NOT(ISNUMBER($C760)),IF(C760="",FALSE,IF(ISNUMBER(C760),OR(C760&lt;=0,C760&gt;100000000,ROUND(C760*100,6)&lt;&gt;INT(ROUND(C760*100,6))),TRUE)),IF(D760="",FALSE,IF(ISNUMBER(D760),OR(D760&lt;=0,D760&gt;100000000,ROUND(D760*100,6)&lt;&gt;INT(ROUND(D760*100,6))),TRUE)),IF(E760="",FALSE,IF(ISNUMBER(E760),OR(E760&lt;=0,E760&gt;100000000,ROUND(E760*100,6)&lt;&gt;INT(ROUND(E760*100,6))),TRUE)),AND($D760&lt;&gt;"",$D760&lt;MAX($C760,$E760)),AND($E760&lt;&gt;"",$E760&gt;MIN($C760,IF($D760="",$C760,$D760))),COUNTIFS($A$2:$A$1001,$A760,$B$2:$B$1001,$B760)&gt;1),"INVALID",IFERROR(IF(IF(INDEX(Accounts!$T$2:$T$11,$F760),ROUND(IF($E760="",$C760,MIN($C760,$E760))-(H760),6)&lt;=0,ROUND(IF($E760="",$C760,MIN($C760,$E760))-(H760),6)&lt;0),"BREACHED","OK"),"INCOMPLETE")),"INVALID"))))</f>
        <v/>
      </c>
      <c r="J760" s="33">
        <f>IF(OR(I760="OK",I760="BREACHED"),-INT(ROUND(-(H760)*100,6))/100,I760)</f>
        <v/>
      </c>
    </row>
    <row r="761" ht="18" customHeight="1">
      <c r="A761" s="9" t="n"/>
      <c r="B761" s="32" t="n"/>
      <c r="C761" s="12" t="n"/>
      <c r="D761" s="12" t="n"/>
      <c r="E761" s="12" t="n"/>
      <c r="F761" s="15">
        <f>IFERROR(MATCH($A761,Accounts!$A$2:$A$11,0),"")</f>
        <v/>
      </c>
      <c r="G761" s="14">
        <f>IFERROR(IF(OR($A761="",$F761=""),"",IF(INDEX(Accounts!$P$2:$P$11,$F761)="static",INDEX(Accounts!$Q$2:$Q$11,$F761),IF(INDEX(Accounts!$P$2:$P$11,$F761)="eod_trailing",MAX(INDEX(Accounts!$Q$2:$Q$11,$F761),_xlfn.MAXIFS($C$2:$C$1001,$A$2:$A$1001,$A761,$B$2:$B$1001,"&lt;"&amp;$B761)),MAX(INDEX(Accounts!$Q$2:$Q$11,$F761),_xlfn.MAXIFS($C$2:$C$1001,$A$2:$A$1001,$A761,$B$2:$B$1001,"&lt;"&amp;$B761),_xlfn.MAXIFS($D$2:$D$1001,$A$2:$A$1001,$A761,$B$2:$B$1001,"&lt;="&amp;$B761),$C761)))),"")</f>
        <v/>
      </c>
      <c r="H761" s="15">
        <f>IFERROR(IF(G761="","",IF(INDEX(Accounts!$P$2:$P$11,$F761)="static",INDEX(Accounts!$Q$2:$Q$11,$F761)-INDEX(Accounts!$R$2:$R$11,$F761),IF(INDEX(Accounts!$S$2:$S$11,$F761)="NONE",G761-INDEX(Accounts!$R$2:$R$11,$F761),MIN(G761-INDEX(Accounts!$R$2:$R$11,$F761),INDEX(Accounts!$Q$2:$Q$11,$F761)+INDEX(Accounts!$S$2:$S$11,$F761))))),"")</f>
        <v/>
      </c>
      <c r="I761" s="16">
        <f>IF(AND($A761="",$B761="",$C761="",$D761="",$E761=""),"",IF(OR($A761="",$F761=""),"UNKNOWN_ACCOUNT",IF(OR($B761="",$C761=""),"INCOMPLETE",IFERROR(IF(OR(NOT(ISNUMBER($B761)),NOT(ISNUMBER($C761)),IF(C761="",FALSE,IF(ISNUMBER(C761),OR(C761&lt;=0,C761&gt;100000000,ROUND(C761*100,6)&lt;&gt;INT(ROUND(C761*100,6))),TRUE)),IF(D761="",FALSE,IF(ISNUMBER(D761),OR(D761&lt;=0,D761&gt;100000000,ROUND(D761*100,6)&lt;&gt;INT(ROUND(D761*100,6))),TRUE)),IF(E761="",FALSE,IF(ISNUMBER(E761),OR(E761&lt;=0,E761&gt;100000000,ROUND(E761*100,6)&lt;&gt;INT(ROUND(E761*100,6))),TRUE)),AND($D761&lt;&gt;"",$D761&lt;MAX($C761,$E761)),AND($E761&lt;&gt;"",$E761&gt;MIN($C761,IF($D761="",$C761,$D761))),COUNTIFS($A$2:$A$1001,$A761,$B$2:$B$1001,$B761)&gt;1),"INVALID",IFERROR(IF(IF(INDEX(Accounts!$T$2:$T$11,$F761),ROUND(IF($E761="",$C761,MIN($C761,$E761))-(H761),6)&lt;=0,ROUND(IF($E761="",$C761,MIN($C761,$E761))-(H761),6)&lt;0),"BREACHED","OK"),"INCOMPLETE")),"INVALID"))))</f>
        <v/>
      </c>
      <c r="J761" s="33">
        <f>IF(OR(I761="OK",I761="BREACHED"),-INT(ROUND(-(H761)*100,6))/100,I761)</f>
        <v/>
      </c>
    </row>
    <row r="762" ht="18" customHeight="1">
      <c r="A762" s="9" t="n"/>
      <c r="B762" s="32" t="n"/>
      <c r="C762" s="12" t="n"/>
      <c r="D762" s="12" t="n"/>
      <c r="E762" s="12" t="n"/>
      <c r="F762" s="15">
        <f>IFERROR(MATCH($A762,Accounts!$A$2:$A$11,0),"")</f>
        <v/>
      </c>
      <c r="G762" s="14">
        <f>IFERROR(IF(OR($A762="",$F762=""),"",IF(INDEX(Accounts!$P$2:$P$11,$F762)="static",INDEX(Accounts!$Q$2:$Q$11,$F762),IF(INDEX(Accounts!$P$2:$P$11,$F762)="eod_trailing",MAX(INDEX(Accounts!$Q$2:$Q$11,$F762),_xlfn.MAXIFS($C$2:$C$1001,$A$2:$A$1001,$A762,$B$2:$B$1001,"&lt;"&amp;$B762)),MAX(INDEX(Accounts!$Q$2:$Q$11,$F762),_xlfn.MAXIFS($C$2:$C$1001,$A$2:$A$1001,$A762,$B$2:$B$1001,"&lt;"&amp;$B762),_xlfn.MAXIFS($D$2:$D$1001,$A$2:$A$1001,$A762,$B$2:$B$1001,"&lt;="&amp;$B762),$C762)))),"")</f>
        <v/>
      </c>
      <c r="H762" s="15">
        <f>IFERROR(IF(G762="","",IF(INDEX(Accounts!$P$2:$P$11,$F762)="static",INDEX(Accounts!$Q$2:$Q$11,$F762)-INDEX(Accounts!$R$2:$R$11,$F762),IF(INDEX(Accounts!$S$2:$S$11,$F762)="NONE",G762-INDEX(Accounts!$R$2:$R$11,$F762),MIN(G762-INDEX(Accounts!$R$2:$R$11,$F762),INDEX(Accounts!$Q$2:$Q$11,$F762)+INDEX(Accounts!$S$2:$S$11,$F762))))),"")</f>
        <v/>
      </c>
      <c r="I762" s="16">
        <f>IF(AND($A762="",$B762="",$C762="",$D762="",$E762=""),"",IF(OR($A762="",$F762=""),"UNKNOWN_ACCOUNT",IF(OR($B762="",$C762=""),"INCOMPLETE",IFERROR(IF(OR(NOT(ISNUMBER($B762)),NOT(ISNUMBER($C762)),IF(C762="",FALSE,IF(ISNUMBER(C762),OR(C762&lt;=0,C762&gt;100000000,ROUND(C762*100,6)&lt;&gt;INT(ROUND(C762*100,6))),TRUE)),IF(D762="",FALSE,IF(ISNUMBER(D762),OR(D762&lt;=0,D762&gt;100000000,ROUND(D762*100,6)&lt;&gt;INT(ROUND(D762*100,6))),TRUE)),IF(E762="",FALSE,IF(ISNUMBER(E762),OR(E762&lt;=0,E762&gt;100000000,ROUND(E762*100,6)&lt;&gt;INT(ROUND(E762*100,6))),TRUE)),AND($D762&lt;&gt;"",$D762&lt;MAX($C762,$E762)),AND($E762&lt;&gt;"",$E762&gt;MIN($C762,IF($D762="",$C762,$D762))),COUNTIFS($A$2:$A$1001,$A762,$B$2:$B$1001,$B762)&gt;1),"INVALID",IFERROR(IF(IF(INDEX(Accounts!$T$2:$T$11,$F762),ROUND(IF($E762="",$C762,MIN($C762,$E762))-(H762),6)&lt;=0,ROUND(IF($E762="",$C762,MIN($C762,$E762))-(H762),6)&lt;0),"BREACHED","OK"),"INCOMPLETE")),"INVALID"))))</f>
        <v/>
      </c>
      <c r="J762" s="33">
        <f>IF(OR(I762="OK",I762="BREACHED"),-INT(ROUND(-(H762)*100,6))/100,I762)</f>
        <v/>
      </c>
    </row>
    <row r="763" ht="18" customHeight="1">
      <c r="A763" s="9" t="n"/>
      <c r="B763" s="32" t="n"/>
      <c r="C763" s="12" t="n"/>
      <c r="D763" s="12" t="n"/>
      <c r="E763" s="12" t="n"/>
      <c r="F763" s="15">
        <f>IFERROR(MATCH($A763,Accounts!$A$2:$A$11,0),"")</f>
        <v/>
      </c>
      <c r="G763" s="14">
        <f>IFERROR(IF(OR($A763="",$F763=""),"",IF(INDEX(Accounts!$P$2:$P$11,$F763)="static",INDEX(Accounts!$Q$2:$Q$11,$F763),IF(INDEX(Accounts!$P$2:$P$11,$F763)="eod_trailing",MAX(INDEX(Accounts!$Q$2:$Q$11,$F763),_xlfn.MAXIFS($C$2:$C$1001,$A$2:$A$1001,$A763,$B$2:$B$1001,"&lt;"&amp;$B763)),MAX(INDEX(Accounts!$Q$2:$Q$11,$F763),_xlfn.MAXIFS($C$2:$C$1001,$A$2:$A$1001,$A763,$B$2:$B$1001,"&lt;"&amp;$B763),_xlfn.MAXIFS($D$2:$D$1001,$A$2:$A$1001,$A763,$B$2:$B$1001,"&lt;="&amp;$B763),$C763)))),"")</f>
        <v/>
      </c>
      <c r="H763" s="15">
        <f>IFERROR(IF(G763="","",IF(INDEX(Accounts!$P$2:$P$11,$F763)="static",INDEX(Accounts!$Q$2:$Q$11,$F763)-INDEX(Accounts!$R$2:$R$11,$F763),IF(INDEX(Accounts!$S$2:$S$11,$F763)="NONE",G763-INDEX(Accounts!$R$2:$R$11,$F763),MIN(G763-INDEX(Accounts!$R$2:$R$11,$F763),INDEX(Accounts!$Q$2:$Q$11,$F763)+INDEX(Accounts!$S$2:$S$11,$F763))))),"")</f>
        <v/>
      </c>
      <c r="I763" s="16">
        <f>IF(AND($A763="",$B763="",$C763="",$D763="",$E763=""),"",IF(OR($A763="",$F763=""),"UNKNOWN_ACCOUNT",IF(OR($B763="",$C763=""),"INCOMPLETE",IFERROR(IF(OR(NOT(ISNUMBER($B763)),NOT(ISNUMBER($C763)),IF(C763="",FALSE,IF(ISNUMBER(C763),OR(C763&lt;=0,C763&gt;100000000,ROUND(C763*100,6)&lt;&gt;INT(ROUND(C763*100,6))),TRUE)),IF(D763="",FALSE,IF(ISNUMBER(D763),OR(D763&lt;=0,D763&gt;100000000,ROUND(D763*100,6)&lt;&gt;INT(ROUND(D763*100,6))),TRUE)),IF(E763="",FALSE,IF(ISNUMBER(E763),OR(E763&lt;=0,E763&gt;100000000,ROUND(E763*100,6)&lt;&gt;INT(ROUND(E763*100,6))),TRUE)),AND($D763&lt;&gt;"",$D763&lt;MAX($C763,$E763)),AND($E763&lt;&gt;"",$E763&gt;MIN($C763,IF($D763="",$C763,$D763))),COUNTIFS($A$2:$A$1001,$A763,$B$2:$B$1001,$B763)&gt;1),"INVALID",IFERROR(IF(IF(INDEX(Accounts!$T$2:$T$11,$F763),ROUND(IF($E763="",$C763,MIN($C763,$E763))-(H763),6)&lt;=0,ROUND(IF($E763="",$C763,MIN($C763,$E763))-(H763),6)&lt;0),"BREACHED","OK"),"INCOMPLETE")),"INVALID"))))</f>
        <v/>
      </c>
      <c r="J763" s="33">
        <f>IF(OR(I763="OK",I763="BREACHED"),-INT(ROUND(-(H763)*100,6))/100,I763)</f>
        <v/>
      </c>
    </row>
    <row r="764" ht="18" customHeight="1">
      <c r="A764" s="9" t="n"/>
      <c r="B764" s="32" t="n"/>
      <c r="C764" s="12" t="n"/>
      <c r="D764" s="12" t="n"/>
      <c r="E764" s="12" t="n"/>
      <c r="F764" s="15">
        <f>IFERROR(MATCH($A764,Accounts!$A$2:$A$11,0),"")</f>
        <v/>
      </c>
      <c r="G764" s="14">
        <f>IFERROR(IF(OR($A764="",$F764=""),"",IF(INDEX(Accounts!$P$2:$P$11,$F764)="static",INDEX(Accounts!$Q$2:$Q$11,$F764),IF(INDEX(Accounts!$P$2:$P$11,$F764)="eod_trailing",MAX(INDEX(Accounts!$Q$2:$Q$11,$F764),_xlfn.MAXIFS($C$2:$C$1001,$A$2:$A$1001,$A764,$B$2:$B$1001,"&lt;"&amp;$B764)),MAX(INDEX(Accounts!$Q$2:$Q$11,$F764),_xlfn.MAXIFS($C$2:$C$1001,$A$2:$A$1001,$A764,$B$2:$B$1001,"&lt;"&amp;$B764),_xlfn.MAXIFS($D$2:$D$1001,$A$2:$A$1001,$A764,$B$2:$B$1001,"&lt;="&amp;$B764),$C764)))),"")</f>
        <v/>
      </c>
      <c r="H764" s="15">
        <f>IFERROR(IF(G764="","",IF(INDEX(Accounts!$P$2:$P$11,$F764)="static",INDEX(Accounts!$Q$2:$Q$11,$F764)-INDEX(Accounts!$R$2:$R$11,$F764),IF(INDEX(Accounts!$S$2:$S$11,$F764)="NONE",G764-INDEX(Accounts!$R$2:$R$11,$F764),MIN(G764-INDEX(Accounts!$R$2:$R$11,$F764),INDEX(Accounts!$Q$2:$Q$11,$F764)+INDEX(Accounts!$S$2:$S$11,$F764))))),"")</f>
        <v/>
      </c>
      <c r="I764" s="16">
        <f>IF(AND($A764="",$B764="",$C764="",$D764="",$E764=""),"",IF(OR($A764="",$F764=""),"UNKNOWN_ACCOUNT",IF(OR($B764="",$C764=""),"INCOMPLETE",IFERROR(IF(OR(NOT(ISNUMBER($B764)),NOT(ISNUMBER($C764)),IF(C764="",FALSE,IF(ISNUMBER(C764),OR(C764&lt;=0,C764&gt;100000000,ROUND(C764*100,6)&lt;&gt;INT(ROUND(C764*100,6))),TRUE)),IF(D764="",FALSE,IF(ISNUMBER(D764),OR(D764&lt;=0,D764&gt;100000000,ROUND(D764*100,6)&lt;&gt;INT(ROUND(D764*100,6))),TRUE)),IF(E764="",FALSE,IF(ISNUMBER(E764),OR(E764&lt;=0,E764&gt;100000000,ROUND(E764*100,6)&lt;&gt;INT(ROUND(E764*100,6))),TRUE)),AND($D764&lt;&gt;"",$D764&lt;MAX($C764,$E764)),AND($E764&lt;&gt;"",$E764&gt;MIN($C764,IF($D764="",$C764,$D764))),COUNTIFS($A$2:$A$1001,$A764,$B$2:$B$1001,$B764)&gt;1),"INVALID",IFERROR(IF(IF(INDEX(Accounts!$T$2:$T$11,$F764),ROUND(IF($E764="",$C764,MIN($C764,$E764))-(H764),6)&lt;=0,ROUND(IF($E764="",$C764,MIN($C764,$E764))-(H764),6)&lt;0),"BREACHED","OK"),"INCOMPLETE")),"INVALID"))))</f>
        <v/>
      </c>
      <c r="J764" s="33">
        <f>IF(OR(I764="OK",I764="BREACHED"),-INT(ROUND(-(H764)*100,6))/100,I764)</f>
        <v/>
      </c>
    </row>
    <row r="765" ht="18" customHeight="1">
      <c r="A765" s="9" t="n"/>
      <c r="B765" s="32" t="n"/>
      <c r="C765" s="12" t="n"/>
      <c r="D765" s="12" t="n"/>
      <c r="E765" s="12" t="n"/>
      <c r="F765" s="15">
        <f>IFERROR(MATCH($A765,Accounts!$A$2:$A$11,0),"")</f>
        <v/>
      </c>
      <c r="G765" s="14">
        <f>IFERROR(IF(OR($A765="",$F765=""),"",IF(INDEX(Accounts!$P$2:$P$11,$F765)="static",INDEX(Accounts!$Q$2:$Q$11,$F765),IF(INDEX(Accounts!$P$2:$P$11,$F765)="eod_trailing",MAX(INDEX(Accounts!$Q$2:$Q$11,$F765),_xlfn.MAXIFS($C$2:$C$1001,$A$2:$A$1001,$A765,$B$2:$B$1001,"&lt;"&amp;$B765)),MAX(INDEX(Accounts!$Q$2:$Q$11,$F765),_xlfn.MAXIFS($C$2:$C$1001,$A$2:$A$1001,$A765,$B$2:$B$1001,"&lt;"&amp;$B765),_xlfn.MAXIFS($D$2:$D$1001,$A$2:$A$1001,$A765,$B$2:$B$1001,"&lt;="&amp;$B765),$C765)))),"")</f>
        <v/>
      </c>
      <c r="H765" s="15">
        <f>IFERROR(IF(G765="","",IF(INDEX(Accounts!$P$2:$P$11,$F765)="static",INDEX(Accounts!$Q$2:$Q$11,$F765)-INDEX(Accounts!$R$2:$R$11,$F765),IF(INDEX(Accounts!$S$2:$S$11,$F765)="NONE",G765-INDEX(Accounts!$R$2:$R$11,$F765),MIN(G765-INDEX(Accounts!$R$2:$R$11,$F765),INDEX(Accounts!$Q$2:$Q$11,$F765)+INDEX(Accounts!$S$2:$S$11,$F765))))),"")</f>
        <v/>
      </c>
      <c r="I765" s="16">
        <f>IF(AND($A765="",$B765="",$C765="",$D765="",$E765=""),"",IF(OR($A765="",$F765=""),"UNKNOWN_ACCOUNT",IF(OR($B765="",$C765=""),"INCOMPLETE",IFERROR(IF(OR(NOT(ISNUMBER($B765)),NOT(ISNUMBER($C765)),IF(C765="",FALSE,IF(ISNUMBER(C765),OR(C765&lt;=0,C765&gt;100000000,ROUND(C765*100,6)&lt;&gt;INT(ROUND(C765*100,6))),TRUE)),IF(D765="",FALSE,IF(ISNUMBER(D765),OR(D765&lt;=0,D765&gt;100000000,ROUND(D765*100,6)&lt;&gt;INT(ROUND(D765*100,6))),TRUE)),IF(E765="",FALSE,IF(ISNUMBER(E765),OR(E765&lt;=0,E765&gt;100000000,ROUND(E765*100,6)&lt;&gt;INT(ROUND(E765*100,6))),TRUE)),AND($D765&lt;&gt;"",$D765&lt;MAX($C765,$E765)),AND($E765&lt;&gt;"",$E765&gt;MIN($C765,IF($D765="",$C765,$D765))),COUNTIFS($A$2:$A$1001,$A765,$B$2:$B$1001,$B765)&gt;1),"INVALID",IFERROR(IF(IF(INDEX(Accounts!$T$2:$T$11,$F765),ROUND(IF($E765="",$C765,MIN($C765,$E765))-(H765),6)&lt;=0,ROUND(IF($E765="",$C765,MIN($C765,$E765))-(H765),6)&lt;0),"BREACHED","OK"),"INCOMPLETE")),"INVALID"))))</f>
        <v/>
      </c>
      <c r="J765" s="33">
        <f>IF(OR(I765="OK",I765="BREACHED"),-INT(ROUND(-(H765)*100,6))/100,I765)</f>
        <v/>
      </c>
    </row>
    <row r="766" ht="18" customHeight="1">
      <c r="A766" s="9" t="n"/>
      <c r="B766" s="32" t="n"/>
      <c r="C766" s="12" t="n"/>
      <c r="D766" s="12" t="n"/>
      <c r="E766" s="12" t="n"/>
      <c r="F766" s="15">
        <f>IFERROR(MATCH($A766,Accounts!$A$2:$A$11,0),"")</f>
        <v/>
      </c>
      <c r="G766" s="14">
        <f>IFERROR(IF(OR($A766="",$F766=""),"",IF(INDEX(Accounts!$P$2:$P$11,$F766)="static",INDEX(Accounts!$Q$2:$Q$11,$F766),IF(INDEX(Accounts!$P$2:$P$11,$F766)="eod_trailing",MAX(INDEX(Accounts!$Q$2:$Q$11,$F766),_xlfn.MAXIFS($C$2:$C$1001,$A$2:$A$1001,$A766,$B$2:$B$1001,"&lt;"&amp;$B766)),MAX(INDEX(Accounts!$Q$2:$Q$11,$F766),_xlfn.MAXIFS($C$2:$C$1001,$A$2:$A$1001,$A766,$B$2:$B$1001,"&lt;"&amp;$B766),_xlfn.MAXIFS($D$2:$D$1001,$A$2:$A$1001,$A766,$B$2:$B$1001,"&lt;="&amp;$B766),$C766)))),"")</f>
        <v/>
      </c>
      <c r="H766" s="15">
        <f>IFERROR(IF(G766="","",IF(INDEX(Accounts!$P$2:$P$11,$F766)="static",INDEX(Accounts!$Q$2:$Q$11,$F766)-INDEX(Accounts!$R$2:$R$11,$F766),IF(INDEX(Accounts!$S$2:$S$11,$F766)="NONE",G766-INDEX(Accounts!$R$2:$R$11,$F766),MIN(G766-INDEX(Accounts!$R$2:$R$11,$F766),INDEX(Accounts!$Q$2:$Q$11,$F766)+INDEX(Accounts!$S$2:$S$11,$F766))))),"")</f>
        <v/>
      </c>
      <c r="I766" s="16">
        <f>IF(AND($A766="",$B766="",$C766="",$D766="",$E766=""),"",IF(OR($A766="",$F766=""),"UNKNOWN_ACCOUNT",IF(OR($B766="",$C766=""),"INCOMPLETE",IFERROR(IF(OR(NOT(ISNUMBER($B766)),NOT(ISNUMBER($C766)),IF(C766="",FALSE,IF(ISNUMBER(C766),OR(C766&lt;=0,C766&gt;100000000,ROUND(C766*100,6)&lt;&gt;INT(ROUND(C766*100,6))),TRUE)),IF(D766="",FALSE,IF(ISNUMBER(D766),OR(D766&lt;=0,D766&gt;100000000,ROUND(D766*100,6)&lt;&gt;INT(ROUND(D766*100,6))),TRUE)),IF(E766="",FALSE,IF(ISNUMBER(E766),OR(E766&lt;=0,E766&gt;100000000,ROUND(E766*100,6)&lt;&gt;INT(ROUND(E766*100,6))),TRUE)),AND($D766&lt;&gt;"",$D766&lt;MAX($C766,$E766)),AND($E766&lt;&gt;"",$E766&gt;MIN($C766,IF($D766="",$C766,$D766))),COUNTIFS($A$2:$A$1001,$A766,$B$2:$B$1001,$B766)&gt;1),"INVALID",IFERROR(IF(IF(INDEX(Accounts!$T$2:$T$11,$F766),ROUND(IF($E766="",$C766,MIN($C766,$E766))-(H766),6)&lt;=0,ROUND(IF($E766="",$C766,MIN($C766,$E766))-(H766),6)&lt;0),"BREACHED","OK"),"INCOMPLETE")),"INVALID"))))</f>
        <v/>
      </c>
      <c r="J766" s="33">
        <f>IF(OR(I766="OK",I766="BREACHED"),-INT(ROUND(-(H766)*100,6))/100,I766)</f>
        <v/>
      </c>
    </row>
    <row r="767" ht="18" customHeight="1">
      <c r="A767" s="9" t="n"/>
      <c r="B767" s="32" t="n"/>
      <c r="C767" s="12" t="n"/>
      <c r="D767" s="12" t="n"/>
      <c r="E767" s="12" t="n"/>
      <c r="F767" s="15">
        <f>IFERROR(MATCH($A767,Accounts!$A$2:$A$11,0),"")</f>
        <v/>
      </c>
      <c r="G767" s="14">
        <f>IFERROR(IF(OR($A767="",$F767=""),"",IF(INDEX(Accounts!$P$2:$P$11,$F767)="static",INDEX(Accounts!$Q$2:$Q$11,$F767),IF(INDEX(Accounts!$P$2:$P$11,$F767)="eod_trailing",MAX(INDEX(Accounts!$Q$2:$Q$11,$F767),_xlfn.MAXIFS($C$2:$C$1001,$A$2:$A$1001,$A767,$B$2:$B$1001,"&lt;"&amp;$B767)),MAX(INDEX(Accounts!$Q$2:$Q$11,$F767),_xlfn.MAXIFS($C$2:$C$1001,$A$2:$A$1001,$A767,$B$2:$B$1001,"&lt;"&amp;$B767),_xlfn.MAXIFS($D$2:$D$1001,$A$2:$A$1001,$A767,$B$2:$B$1001,"&lt;="&amp;$B767),$C767)))),"")</f>
        <v/>
      </c>
      <c r="H767" s="15">
        <f>IFERROR(IF(G767="","",IF(INDEX(Accounts!$P$2:$P$11,$F767)="static",INDEX(Accounts!$Q$2:$Q$11,$F767)-INDEX(Accounts!$R$2:$R$11,$F767),IF(INDEX(Accounts!$S$2:$S$11,$F767)="NONE",G767-INDEX(Accounts!$R$2:$R$11,$F767),MIN(G767-INDEX(Accounts!$R$2:$R$11,$F767),INDEX(Accounts!$Q$2:$Q$11,$F767)+INDEX(Accounts!$S$2:$S$11,$F767))))),"")</f>
        <v/>
      </c>
      <c r="I767" s="16">
        <f>IF(AND($A767="",$B767="",$C767="",$D767="",$E767=""),"",IF(OR($A767="",$F767=""),"UNKNOWN_ACCOUNT",IF(OR($B767="",$C767=""),"INCOMPLETE",IFERROR(IF(OR(NOT(ISNUMBER($B767)),NOT(ISNUMBER($C767)),IF(C767="",FALSE,IF(ISNUMBER(C767),OR(C767&lt;=0,C767&gt;100000000,ROUND(C767*100,6)&lt;&gt;INT(ROUND(C767*100,6))),TRUE)),IF(D767="",FALSE,IF(ISNUMBER(D767),OR(D767&lt;=0,D767&gt;100000000,ROUND(D767*100,6)&lt;&gt;INT(ROUND(D767*100,6))),TRUE)),IF(E767="",FALSE,IF(ISNUMBER(E767),OR(E767&lt;=0,E767&gt;100000000,ROUND(E767*100,6)&lt;&gt;INT(ROUND(E767*100,6))),TRUE)),AND($D767&lt;&gt;"",$D767&lt;MAX($C767,$E767)),AND($E767&lt;&gt;"",$E767&gt;MIN($C767,IF($D767="",$C767,$D767))),COUNTIFS($A$2:$A$1001,$A767,$B$2:$B$1001,$B767)&gt;1),"INVALID",IFERROR(IF(IF(INDEX(Accounts!$T$2:$T$11,$F767),ROUND(IF($E767="",$C767,MIN($C767,$E767))-(H767),6)&lt;=0,ROUND(IF($E767="",$C767,MIN($C767,$E767))-(H767),6)&lt;0),"BREACHED","OK"),"INCOMPLETE")),"INVALID"))))</f>
        <v/>
      </c>
      <c r="J767" s="33">
        <f>IF(OR(I767="OK",I767="BREACHED"),-INT(ROUND(-(H767)*100,6))/100,I767)</f>
        <v/>
      </c>
    </row>
    <row r="768" ht="18" customHeight="1">
      <c r="A768" s="9" t="n"/>
      <c r="B768" s="32" t="n"/>
      <c r="C768" s="12" t="n"/>
      <c r="D768" s="12" t="n"/>
      <c r="E768" s="12" t="n"/>
      <c r="F768" s="15">
        <f>IFERROR(MATCH($A768,Accounts!$A$2:$A$11,0),"")</f>
        <v/>
      </c>
      <c r="G768" s="14">
        <f>IFERROR(IF(OR($A768="",$F768=""),"",IF(INDEX(Accounts!$P$2:$P$11,$F768)="static",INDEX(Accounts!$Q$2:$Q$11,$F768),IF(INDEX(Accounts!$P$2:$P$11,$F768)="eod_trailing",MAX(INDEX(Accounts!$Q$2:$Q$11,$F768),_xlfn.MAXIFS($C$2:$C$1001,$A$2:$A$1001,$A768,$B$2:$B$1001,"&lt;"&amp;$B768)),MAX(INDEX(Accounts!$Q$2:$Q$11,$F768),_xlfn.MAXIFS($C$2:$C$1001,$A$2:$A$1001,$A768,$B$2:$B$1001,"&lt;"&amp;$B768),_xlfn.MAXIFS($D$2:$D$1001,$A$2:$A$1001,$A768,$B$2:$B$1001,"&lt;="&amp;$B768),$C768)))),"")</f>
        <v/>
      </c>
      <c r="H768" s="15">
        <f>IFERROR(IF(G768="","",IF(INDEX(Accounts!$P$2:$P$11,$F768)="static",INDEX(Accounts!$Q$2:$Q$11,$F768)-INDEX(Accounts!$R$2:$R$11,$F768),IF(INDEX(Accounts!$S$2:$S$11,$F768)="NONE",G768-INDEX(Accounts!$R$2:$R$11,$F768),MIN(G768-INDEX(Accounts!$R$2:$R$11,$F768),INDEX(Accounts!$Q$2:$Q$11,$F768)+INDEX(Accounts!$S$2:$S$11,$F768))))),"")</f>
        <v/>
      </c>
      <c r="I768" s="16">
        <f>IF(AND($A768="",$B768="",$C768="",$D768="",$E768=""),"",IF(OR($A768="",$F768=""),"UNKNOWN_ACCOUNT",IF(OR($B768="",$C768=""),"INCOMPLETE",IFERROR(IF(OR(NOT(ISNUMBER($B768)),NOT(ISNUMBER($C768)),IF(C768="",FALSE,IF(ISNUMBER(C768),OR(C768&lt;=0,C768&gt;100000000,ROUND(C768*100,6)&lt;&gt;INT(ROUND(C768*100,6))),TRUE)),IF(D768="",FALSE,IF(ISNUMBER(D768),OR(D768&lt;=0,D768&gt;100000000,ROUND(D768*100,6)&lt;&gt;INT(ROUND(D768*100,6))),TRUE)),IF(E768="",FALSE,IF(ISNUMBER(E768),OR(E768&lt;=0,E768&gt;100000000,ROUND(E768*100,6)&lt;&gt;INT(ROUND(E768*100,6))),TRUE)),AND($D768&lt;&gt;"",$D768&lt;MAX($C768,$E768)),AND($E768&lt;&gt;"",$E768&gt;MIN($C768,IF($D768="",$C768,$D768))),COUNTIFS($A$2:$A$1001,$A768,$B$2:$B$1001,$B768)&gt;1),"INVALID",IFERROR(IF(IF(INDEX(Accounts!$T$2:$T$11,$F768),ROUND(IF($E768="",$C768,MIN($C768,$E768))-(H768),6)&lt;=0,ROUND(IF($E768="",$C768,MIN($C768,$E768))-(H768),6)&lt;0),"BREACHED","OK"),"INCOMPLETE")),"INVALID"))))</f>
        <v/>
      </c>
      <c r="J768" s="33">
        <f>IF(OR(I768="OK",I768="BREACHED"),-INT(ROUND(-(H768)*100,6))/100,I768)</f>
        <v/>
      </c>
    </row>
    <row r="769" ht="18" customHeight="1">
      <c r="A769" s="9" t="n"/>
      <c r="B769" s="32" t="n"/>
      <c r="C769" s="12" t="n"/>
      <c r="D769" s="12" t="n"/>
      <c r="E769" s="12" t="n"/>
      <c r="F769" s="15">
        <f>IFERROR(MATCH($A769,Accounts!$A$2:$A$11,0),"")</f>
        <v/>
      </c>
      <c r="G769" s="14">
        <f>IFERROR(IF(OR($A769="",$F769=""),"",IF(INDEX(Accounts!$P$2:$P$11,$F769)="static",INDEX(Accounts!$Q$2:$Q$11,$F769),IF(INDEX(Accounts!$P$2:$P$11,$F769)="eod_trailing",MAX(INDEX(Accounts!$Q$2:$Q$11,$F769),_xlfn.MAXIFS($C$2:$C$1001,$A$2:$A$1001,$A769,$B$2:$B$1001,"&lt;"&amp;$B769)),MAX(INDEX(Accounts!$Q$2:$Q$11,$F769),_xlfn.MAXIFS($C$2:$C$1001,$A$2:$A$1001,$A769,$B$2:$B$1001,"&lt;"&amp;$B769),_xlfn.MAXIFS($D$2:$D$1001,$A$2:$A$1001,$A769,$B$2:$B$1001,"&lt;="&amp;$B769),$C769)))),"")</f>
        <v/>
      </c>
      <c r="H769" s="15">
        <f>IFERROR(IF(G769="","",IF(INDEX(Accounts!$P$2:$P$11,$F769)="static",INDEX(Accounts!$Q$2:$Q$11,$F769)-INDEX(Accounts!$R$2:$R$11,$F769),IF(INDEX(Accounts!$S$2:$S$11,$F769)="NONE",G769-INDEX(Accounts!$R$2:$R$11,$F769),MIN(G769-INDEX(Accounts!$R$2:$R$11,$F769),INDEX(Accounts!$Q$2:$Q$11,$F769)+INDEX(Accounts!$S$2:$S$11,$F769))))),"")</f>
        <v/>
      </c>
      <c r="I769" s="16">
        <f>IF(AND($A769="",$B769="",$C769="",$D769="",$E769=""),"",IF(OR($A769="",$F769=""),"UNKNOWN_ACCOUNT",IF(OR($B769="",$C769=""),"INCOMPLETE",IFERROR(IF(OR(NOT(ISNUMBER($B769)),NOT(ISNUMBER($C769)),IF(C769="",FALSE,IF(ISNUMBER(C769),OR(C769&lt;=0,C769&gt;100000000,ROUND(C769*100,6)&lt;&gt;INT(ROUND(C769*100,6))),TRUE)),IF(D769="",FALSE,IF(ISNUMBER(D769),OR(D769&lt;=0,D769&gt;100000000,ROUND(D769*100,6)&lt;&gt;INT(ROUND(D769*100,6))),TRUE)),IF(E769="",FALSE,IF(ISNUMBER(E769),OR(E769&lt;=0,E769&gt;100000000,ROUND(E769*100,6)&lt;&gt;INT(ROUND(E769*100,6))),TRUE)),AND($D769&lt;&gt;"",$D769&lt;MAX($C769,$E769)),AND($E769&lt;&gt;"",$E769&gt;MIN($C769,IF($D769="",$C769,$D769))),COUNTIFS($A$2:$A$1001,$A769,$B$2:$B$1001,$B769)&gt;1),"INVALID",IFERROR(IF(IF(INDEX(Accounts!$T$2:$T$11,$F769),ROUND(IF($E769="",$C769,MIN($C769,$E769))-(H769),6)&lt;=0,ROUND(IF($E769="",$C769,MIN($C769,$E769))-(H769),6)&lt;0),"BREACHED","OK"),"INCOMPLETE")),"INVALID"))))</f>
        <v/>
      </c>
      <c r="J769" s="33">
        <f>IF(OR(I769="OK",I769="BREACHED"),-INT(ROUND(-(H769)*100,6))/100,I769)</f>
        <v/>
      </c>
    </row>
    <row r="770" ht="18" customHeight="1">
      <c r="A770" s="9" t="n"/>
      <c r="B770" s="32" t="n"/>
      <c r="C770" s="12" t="n"/>
      <c r="D770" s="12" t="n"/>
      <c r="E770" s="12" t="n"/>
      <c r="F770" s="15">
        <f>IFERROR(MATCH($A770,Accounts!$A$2:$A$11,0),"")</f>
        <v/>
      </c>
      <c r="G770" s="14">
        <f>IFERROR(IF(OR($A770="",$F770=""),"",IF(INDEX(Accounts!$P$2:$P$11,$F770)="static",INDEX(Accounts!$Q$2:$Q$11,$F770),IF(INDEX(Accounts!$P$2:$P$11,$F770)="eod_trailing",MAX(INDEX(Accounts!$Q$2:$Q$11,$F770),_xlfn.MAXIFS($C$2:$C$1001,$A$2:$A$1001,$A770,$B$2:$B$1001,"&lt;"&amp;$B770)),MAX(INDEX(Accounts!$Q$2:$Q$11,$F770),_xlfn.MAXIFS($C$2:$C$1001,$A$2:$A$1001,$A770,$B$2:$B$1001,"&lt;"&amp;$B770),_xlfn.MAXIFS($D$2:$D$1001,$A$2:$A$1001,$A770,$B$2:$B$1001,"&lt;="&amp;$B770),$C770)))),"")</f>
        <v/>
      </c>
      <c r="H770" s="15">
        <f>IFERROR(IF(G770="","",IF(INDEX(Accounts!$P$2:$P$11,$F770)="static",INDEX(Accounts!$Q$2:$Q$11,$F770)-INDEX(Accounts!$R$2:$R$11,$F770),IF(INDEX(Accounts!$S$2:$S$11,$F770)="NONE",G770-INDEX(Accounts!$R$2:$R$11,$F770),MIN(G770-INDEX(Accounts!$R$2:$R$11,$F770),INDEX(Accounts!$Q$2:$Q$11,$F770)+INDEX(Accounts!$S$2:$S$11,$F770))))),"")</f>
        <v/>
      </c>
      <c r="I770" s="16">
        <f>IF(AND($A770="",$B770="",$C770="",$D770="",$E770=""),"",IF(OR($A770="",$F770=""),"UNKNOWN_ACCOUNT",IF(OR($B770="",$C770=""),"INCOMPLETE",IFERROR(IF(OR(NOT(ISNUMBER($B770)),NOT(ISNUMBER($C770)),IF(C770="",FALSE,IF(ISNUMBER(C770),OR(C770&lt;=0,C770&gt;100000000,ROUND(C770*100,6)&lt;&gt;INT(ROUND(C770*100,6))),TRUE)),IF(D770="",FALSE,IF(ISNUMBER(D770),OR(D770&lt;=0,D770&gt;100000000,ROUND(D770*100,6)&lt;&gt;INT(ROUND(D770*100,6))),TRUE)),IF(E770="",FALSE,IF(ISNUMBER(E770),OR(E770&lt;=0,E770&gt;100000000,ROUND(E770*100,6)&lt;&gt;INT(ROUND(E770*100,6))),TRUE)),AND($D770&lt;&gt;"",$D770&lt;MAX($C770,$E770)),AND($E770&lt;&gt;"",$E770&gt;MIN($C770,IF($D770="",$C770,$D770))),COUNTIFS($A$2:$A$1001,$A770,$B$2:$B$1001,$B770)&gt;1),"INVALID",IFERROR(IF(IF(INDEX(Accounts!$T$2:$T$11,$F770),ROUND(IF($E770="",$C770,MIN($C770,$E770))-(H770),6)&lt;=0,ROUND(IF($E770="",$C770,MIN($C770,$E770))-(H770),6)&lt;0),"BREACHED","OK"),"INCOMPLETE")),"INVALID"))))</f>
        <v/>
      </c>
      <c r="J770" s="33">
        <f>IF(OR(I770="OK",I770="BREACHED"),-INT(ROUND(-(H770)*100,6))/100,I770)</f>
        <v/>
      </c>
    </row>
    <row r="771" ht="18" customHeight="1">
      <c r="A771" s="9" t="n"/>
      <c r="B771" s="32" t="n"/>
      <c r="C771" s="12" t="n"/>
      <c r="D771" s="12" t="n"/>
      <c r="E771" s="12" t="n"/>
      <c r="F771" s="15">
        <f>IFERROR(MATCH($A771,Accounts!$A$2:$A$11,0),"")</f>
        <v/>
      </c>
      <c r="G771" s="14">
        <f>IFERROR(IF(OR($A771="",$F771=""),"",IF(INDEX(Accounts!$P$2:$P$11,$F771)="static",INDEX(Accounts!$Q$2:$Q$11,$F771),IF(INDEX(Accounts!$P$2:$P$11,$F771)="eod_trailing",MAX(INDEX(Accounts!$Q$2:$Q$11,$F771),_xlfn.MAXIFS($C$2:$C$1001,$A$2:$A$1001,$A771,$B$2:$B$1001,"&lt;"&amp;$B771)),MAX(INDEX(Accounts!$Q$2:$Q$11,$F771),_xlfn.MAXIFS($C$2:$C$1001,$A$2:$A$1001,$A771,$B$2:$B$1001,"&lt;"&amp;$B771),_xlfn.MAXIFS($D$2:$D$1001,$A$2:$A$1001,$A771,$B$2:$B$1001,"&lt;="&amp;$B771),$C771)))),"")</f>
        <v/>
      </c>
      <c r="H771" s="15">
        <f>IFERROR(IF(G771="","",IF(INDEX(Accounts!$P$2:$P$11,$F771)="static",INDEX(Accounts!$Q$2:$Q$11,$F771)-INDEX(Accounts!$R$2:$R$11,$F771),IF(INDEX(Accounts!$S$2:$S$11,$F771)="NONE",G771-INDEX(Accounts!$R$2:$R$11,$F771),MIN(G771-INDEX(Accounts!$R$2:$R$11,$F771),INDEX(Accounts!$Q$2:$Q$11,$F771)+INDEX(Accounts!$S$2:$S$11,$F771))))),"")</f>
        <v/>
      </c>
      <c r="I771" s="16">
        <f>IF(AND($A771="",$B771="",$C771="",$D771="",$E771=""),"",IF(OR($A771="",$F771=""),"UNKNOWN_ACCOUNT",IF(OR($B771="",$C771=""),"INCOMPLETE",IFERROR(IF(OR(NOT(ISNUMBER($B771)),NOT(ISNUMBER($C771)),IF(C771="",FALSE,IF(ISNUMBER(C771),OR(C771&lt;=0,C771&gt;100000000,ROUND(C771*100,6)&lt;&gt;INT(ROUND(C771*100,6))),TRUE)),IF(D771="",FALSE,IF(ISNUMBER(D771),OR(D771&lt;=0,D771&gt;100000000,ROUND(D771*100,6)&lt;&gt;INT(ROUND(D771*100,6))),TRUE)),IF(E771="",FALSE,IF(ISNUMBER(E771),OR(E771&lt;=0,E771&gt;100000000,ROUND(E771*100,6)&lt;&gt;INT(ROUND(E771*100,6))),TRUE)),AND($D771&lt;&gt;"",$D771&lt;MAX($C771,$E771)),AND($E771&lt;&gt;"",$E771&gt;MIN($C771,IF($D771="",$C771,$D771))),COUNTIFS($A$2:$A$1001,$A771,$B$2:$B$1001,$B771)&gt;1),"INVALID",IFERROR(IF(IF(INDEX(Accounts!$T$2:$T$11,$F771),ROUND(IF($E771="",$C771,MIN($C771,$E771))-(H771),6)&lt;=0,ROUND(IF($E771="",$C771,MIN($C771,$E771))-(H771),6)&lt;0),"BREACHED","OK"),"INCOMPLETE")),"INVALID"))))</f>
        <v/>
      </c>
      <c r="J771" s="33">
        <f>IF(OR(I771="OK",I771="BREACHED"),-INT(ROUND(-(H771)*100,6))/100,I771)</f>
        <v/>
      </c>
    </row>
    <row r="772" ht="18" customHeight="1">
      <c r="A772" s="9" t="n"/>
      <c r="B772" s="32" t="n"/>
      <c r="C772" s="12" t="n"/>
      <c r="D772" s="12" t="n"/>
      <c r="E772" s="12" t="n"/>
      <c r="F772" s="15">
        <f>IFERROR(MATCH($A772,Accounts!$A$2:$A$11,0),"")</f>
        <v/>
      </c>
      <c r="G772" s="14">
        <f>IFERROR(IF(OR($A772="",$F772=""),"",IF(INDEX(Accounts!$P$2:$P$11,$F772)="static",INDEX(Accounts!$Q$2:$Q$11,$F772),IF(INDEX(Accounts!$P$2:$P$11,$F772)="eod_trailing",MAX(INDEX(Accounts!$Q$2:$Q$11,$F772),_xlfn.MAXIFS($C$2:$C$1001,$A$2:$A$1001,$A772,$B$2:$B$1001,"&lt;"&amp;$B772)),MAX(INDEX(Accounts!$Q$2:$Q$11,$F772),_xlfn.MAXIFS($C$2:$C$1001,$A$2:$A$1001,$A772,$B$2:$B$1001,"&lt;"&amp;$B772),_xlfn.MAXIFS($D$2:$D$1001,$A$2:$A$1001,$A772,$B$2:$B$1001,"&lt;="&amp;$B772),$C772)))),"")</f>
        <v/>
      </c>
      <c r="H772" s="15">
        <f>IFERROR(IF(G772="","",IF(INDEX(Accounts!$P$2:$P$11,$F772)="static",INDEX(Accounts!$Q$2:$Q$11,$F772)-INDEX(Accounts!$R$2:$R$11,$F772),IF(INDEX(Accounts!$S$2:$S$11,$F772)="NONE",G772-INDEX(Accounts!$R$2:$R$11,$F772),MIN(G772-INDEX(Accounts!$R$2:$R$11,$F772),INDEX(Accounts!$Q$2:$Q$11,$F772)+INDEX(Accounts!$S$2:$S$11,$F772))))),"")</f>
        <v/>
      </c>
      <c r="I772" s="16">
        <f>IF(AND($A772="",$B772="",$C772="",$D772="",$E772=""),"",IF(OR($A772="",$F772=""),"UNKNOWN_ACCOUNT",IF(OR($B772="",$C772=""),"INCOMPLETE",IFERROR(IF(OR(NOT(ISNUMBER($B772)),NOT(ISNUMBER($C772)),IF(C772="",FALSE,IF(ISNUMBER(C772),OR(C772&lt;=0,C772&gt;100000000,ROUND(C772*100,6)&lt;&gt;INT(ROUND(C772*100,6))),TRUE)),IF(D772="",FALSE,IF(ISNUMBER(D772),OR(D772&lt;=0,D772&gt;100000000,ROUND(D772*100,6)&lt;&gt;INT(ROUND(D772*100,6))),TRUE)),IF(E772="",FALSE,IF(ISNUMBER(E772),OR(E772&lt;=0,E772&gt;100000000,ROUND(E772*100,6)&lt;&gt;INT(ROUND(E772*100,6))),TRUE)),AND($D772&lt;&gt;"",$D772&lt;MAX($C772,$E772)),AND($E772&lt;&gt;"",$E772&gt;MIN($C772,IF($D772="",$C772,$D772))),COUNTIFS($A$2:$A$1001,$A772,$B$2:$B$1001,$B772)&gt;1),"INVALID",IFERROR(IF(IF(INDEX(Accounts!$T$2:$T$11,$F772),ROUND(IF($E772="",$C772,MIN($C772,$E772))-(H772),6)&lt;=0,ROUND(IF($E772="",$C772,MIN($C772,$E772))-(H772),6)&lt;0),"BREACHED","OK"),"INCOMPLETE")),"INVALID"))))</f>
        <v/>
      </c>
      <c r="J772" s="33">
        <f>IF(OR(I772="OK",I772="BREACHED"),-INT(ROUND(-(H772)*100,6))/100,I772)</f>
        <v/>
      </c>
    </row>
    <row r="773" ht="18" customHeight="1">
      <c r="A773" s="9" t="n"/>
      <c r="B773" s="32" t="n"/>
      <c r="C773" s="12" t="n"/>
      <c r="D773" s="12" t="n"/>
      <c r="E773" s="12" t="n"/>
      <c r="F773" s="15">
        <f>IFERROR(MATCH($A773,Accounts!$A$2:$A$11,0),"")</f>
        <v/>
      </c>
      <c r="G773" s="14">
        <f>IFERROR(IF(OR($A773="",$F773=""),"",IF(INDEX(Accounts!$P$2:$P$11,$F773)="static",INDEX(Accounts!$Q$2:$Q$11,$F773),IF(INDEX(Accounts!$P$2:$P$11,$F773)="eod_trailing",MAX(INDEX(Accounts!$Q$2:$Q$11,$F773),_xlfn.MAXIFS($C$2:$C$1001,$A$2:$A$1001,$A773,$B$2:$B$1001,"&lt;"&amp;$B773)),MAX(INDEX(Accounts!$Q$2:$Q$11,$F773),_xlfn.MAXIFS($C$2:$C$1001,$A$2:$A$1001,$A773,$B$2:$B$1001,"&lt;"&amp;$B773),_xlfn.MAXIFS($D$2:$D$1001,$A$2:$A$1001,$A773,$B$2:$B$1001,"&lt;="&amp;$B773),$C773)))),"")</f>
        <v/>
      </c>
      <c r="H773" s="15">
        <f>IFERROR(IF(G773="","",IF(INDEX(Accounts!$P$2:$P$11,$F773)="static",INDEX(Accounts!$Q$2:$Q$11,$F773)-INDEX(Accounts!$R$2:$R$11,$F773),IF(INDEX(Accounts!$S$2:$S$11,$F773)="NONE",G773-INDEX(Accounts!$R$2:$R$11,$F773),MIN(G773-INDEX(Accounts!$R$2:$R$11,$F773),INDEX(Accounts!$Q$2:$Q$11,$F773)+INDEX(Accounts!$S$2:$S$11,$F773))))),"")</f>
        <v/>
      </c>
      <c r="I773" s="16">
        <f>IF(AND($A773="",$B773="",$C773="",$D773="",$E773=""),"",IF(OR($A773="",$F773=""),"UNKNOWN_ACCOUNT",IF(OR($B773="",$C773=""),"INCOMPLETE",IFERROR(IF(OR(NOT(ISNUMBER($B773)),NOT(ISNUMBER($C773)),IF(C773="",FALSE,IF(ISNUMBER(C773),OR(C773&lt;=0,C773&gt;100000000,ROUND(C773*100,6)&lt;&gt;INT(ROUND(C773*100,6))),TRUE)),IF(D773="",FALSE,IF(ISNUMBER(D773),OR(D773&lt;=0,D773&gt;100000000,ROUND(D773*100,6)&lt;&gt;INT(ROUND(D773*100,6))),TRUE)),IF(E773="",FALSE,IF(ISNUMBER(E773),OR(E773&lt;=0,E773&gt;100000000,ROUND(E773*100,6)&lt;&gt;INT(ROUND(E773*100,6))),TRUE)),AND($D773&lt;&gt;"",$D773&lt;MAX($C773,$E773)),AND($E773&lt;&gt;"",$E773&gt;MIN($C773,IF($D773="",$C773,$D773))),COUNTIFS($A$2:$A$1001,$A773,$B$2:$B$1001,$B773)&gt;1),"INVALID",IFERROR(IF(IF(INDEX(Accounts!$T$2:$T$11,$F773),ROUND(IF($E773="",$C773,MIN($C773,$E773))-(H773),6)&lt;=0,ROUND(IF($E773="",$C773,MIN($C773,$E773))-(H773),6)&lt;0),"BREACHED","OK"),"INCOMPLETE")),"INVALID"))))</f>
        <v/>
      </c>
      <c r="J773" s="33">
        <f>IF(OR(I773="OK",I773="BREACHED"),-INT(ROUND(-(H773)*100,6))/100,I773)</f>
        <v/>
      </c>
    </row>
    <row r="774" ht="18" customHeight="1">
      <c r="A774" s="9" t="n"/>
      <c r="B774" s="32" t="n"/>
      <c r="C774" s="12" t="n"/>
      <c r="D774" s="12" t="n"/>
      <c r="E774" s="12" t="n"/>
      <c r="F774" s="15">
        <f>IFERROR(MATCH($A774,Accounts!$A$2:$A$11,0),"")</f>
        <v/>
      </c>
      <c r="G774" s="14">
        <f>IFERROR(IF(OR($A774="",$F774=""),"",IF(INDEX(Accounts!$P$2:$P$11,$F774)="static",INDEX(Accounts!$Q$2:$Q$11,$F774),IF(INDEX(Accounts!$P$2:$P$11,$F774)="eod_trailing",MAX(INDEX(Accounts!$Q$2:$Q$11,$F774),_xlfn.MAXIFS($C$2:$C$1001,$A$2:$A$1001,$A774,$B$2:$B$1001,"&lt;"&amp;$B774)),MAX(INDEX(Accounts!$Q$2:$Q$11,$F774),_xlfn.MAXIFS($C$2:$C$1001,$A$2:$A$1001,$A774,$B$2:$B$1001,"&lt;"&amp;$B774),_xlfn.MAXIFS($D$2:$D$1001,$A$2:$A$1001,$A774,$B$2:$B$1001,"&lt;="&amp;$B774),$C774)))),"")</f>
        <v/>
      </c>
      <c r="H774" s="15">
        <f>IFERROR(IF(G774="","",IF(INDEX(Accounts!$P$2:$P$11,$F774)="static",INDEX(Accounts!$Q$2:$Q$11,$F774)-INDEX(Accounts!$R$2:$R$11,$F774),IF(INDEX(Accounts!$S$2:$S$11,$F774)="NONE",G774-INDEX(Accounts!$R$2:$R$11,$F774),MIN(G774-INDEX(Accounts!$R$2:$R$11,$F774),INDEX(Accounts!$Q$2:$Q$11,$F774)+INDEX(Accounts!$S$2:$S$11,$F774))))),"")</f>
        <v/>
      </c>
      <c r="I774" s="16">
        <f>IF(AND($A774="",$B774="",$C774="",$D774="",$E774=""),"",IF(OR($A774="",$F774=""),"UNKNOWN_ACCOUNT",IF(OR($B774="",$C774=""),"INCOMPLETE",IFERROR(IF(OR(NOT(ISNUMBER($B774)),NOT(ISNUMBER($C774)),IF(C774="",FALSE,IF(ISNUMBER(C774),OR(C774&lt;=0,C774&gt;100000000,ROUND(C774*100,6)&lt;&gt;INT(ROUND(C774*100,6))),TRUE)),IF(D774="",FALSE,IF(ISNUMBER(D774),OR(D774&lt;=0,D774&gt;100000000,ROUND(D774*100,6)&lt;&gt;INT(ROUND(D774*100,6))),TRUE)),IF(E774="",FALSE,IF(ISNUMBER(E774),OR(E774&lt;=0,E774&gt;100000000,ROUND(E774*100,6)&lt;&gt;INT(ROUND(E774*100,6))),TRUE)),AND($D774&lt;&gt;"",$D774&lt;MAX($C774,$E774)),AND($E774&lt;&gt;"",$E774&gt;MIN($C774,IF($D774="",$C774,$D774))),COUNTIFS($A$2:$A$1001,$A774,$B$2:$B$1001,$B774)&gt;1),"INVALID",IFERROR(IF(IF(INDEX(Accounts!$T$2:$T$11,$F774),ROUND(IF($E774="",$C774,MIN($C774,$E774))-(H774),6)&lt;=0,ROUND(IF($E774="",$C774,MIN($C774,$E774))-(H774),6)&lt;0),"BREACHED","OK"),"INCOMPLETE")),"INVALID"))))</f>
        <v/>
      </c>
      <c r="J774" s="33">
        <f>IF(OR(I774="OK",I774="BREACHED"),-INT(ROUND(-(H774)*100,6))/100,I774)</f>
        <v/>
      </c>
    </row>
    <row r="775" ht="18" customHeight="1">
      <c r="A775" s="9" t="n"/>
      <c r="B775" s="32" t="n"/>
      <c r="C775" s="12" t="n"/>
      <c r="D775" s="12" t="n"/>
      <c r="E775" s="12" t="n"/>
      <c r="F775" s="15">
        <f>IFERROR(MATCH($A775,Accounts!$A$2:$A$11,0),"")</f>
        <v/>
      </c>
      <c r="G775" s="14">
        <f>IFERROR(IF(OR($A775="",$F775=""),"",IF(INDEX(Accounts!$P$2:$P$11,$F775)="static",INDEX(Accounts!$Q$2:$Q$11,$F775),IF(INDEX(Accounts!$P$2:$P$11,$F775)="eod_trailing",MAX(INDEX(Accounts!$Q$2:$Q$11,$F775),_xlfn.MAXIFS($C$2:$C$1001,$A$2:$A$1001,$A775,$B$2:$B$1001,"&lt;"&amp;$B775)),MAX(INDEX(Accounts!$Q$2:$Q$11,$F775),_xlfn.MAXIFS($C$2:$C$1001,$A$2:$A$1001,$A775,$B$2:$B$1001,"&lt;"&amp;$B775),_xlfn.MAXIFS($D$2:$D$1001,$A$2:$A$1001,$A775,$B$2:$B$1001,"&lt;="&amp;$B775),$C775)))),"")</f>
        <v/>
      </c>
      <c r="H775" s="15">
        <f>IFERROR(IF(G775="","",IF(INDEX(Accounts!$P$2:$P$11,$F775)="static",INDEX(Accounts!$Q$2:$Q$11,$F775)-INDEX(Accounts!$R$2:$R$11,$F775),IF(INDEX(Accounts!$S$2:$S$11,$F775)="NONE",G775-INDEX(Accounts!$R$2:$R$11,$F775),MIN(G775-INDEX(Accounts!$R$2:$R$11,$F775),INDEX(Accounts!$Q$2:$Q$11,$F775)+INDEX(Accounts!$S$2:$S$11,$F775))))),"")</f>
        <v/>
      </c>
      <c r="I775" s="16">
        <f>IF(AND($A775="",$B775="",$C775="",$D775="",$E775=""),"",IF(OR($A775="",$F775=""),"UNKNOWN_ACCOUNT",IF(OR($B775="",$C775=""),"INCOMPLETE",IFERROR(IF(OR(NOT(ISNUMBER($B775)),NOT(ISNUMBER($C775)),IF(C775="",FALSE,IF(ISNUMBER(C775),OR(C775&lt;=0,C775&gt;100000000,ROUND(C775*100,6)&lt;&gt;INT(ROUND(C775*100,6))),TRUE)),IF(D775="",FALSE,IF(ISNUMBER(D775),OR(D775&lt;=0,D775&gt;100000000,ROUND(D775*100,6)&lt;&gt;INT(ROUND(D775*100,6))),TRUE)),IF(E775="",FALSE,IF(ISNUMBER(E775),OR(E775&lt;=0,E775&gt;100000000,ROUND(E775*100,6)&lt;&gt;INT(ROUND(E775*100,6))),TRUE)),AND($D775&lt;&gt;"",$D775&lt;MAX($C775,$E775)),AND($E775&lt;&gt;"",$E775&gt;MIN($C775,IF($D775="",$C775,$D775))),COUNTIFS($A$2:$A$1001,$A775,$B$2:$B$1001,$B775)&gt;1),"INVALID",IFERROR(IF(IF(INDEX(Accounts!$T$2:$T$11,$F775),ROUND(IF($E775="",$C775,MIN($C775,$E775))-(H775),6)&lt;=0,ROUND(IF($E775="",$C775,MIN($C775,$E775))-(H775),6)&lt;0),"BREACHED","OK"),"INCOMPLETE")),"INVALID"))))</f>
        <v/>
      </c>
      <c r="J775" s="33">
        <f>IF(OR(I775="OK",I775="BREACHED"),-INT(ROUND(-(H775)*100,6))/100,I775)</f>
        <v/>
      </c>
    </row>
    <row r="776" ht="18" customHeight="1">
      <c r="A776" s="9" t="n"/>
      <c r="B776" s="32" t="n"/>
      <c r="C776" s="12" t="n"/>
      <c r="D776" s="12" t="n"/>
      <c r="E776" s="12" t="n"/>
      <c r="F776" s="15">
        <f>IFERROR(MATCH($A776,Accounts!$A$2:$A$11,0),"")</f>
        <v/>
      </c>
      <c r="G776" s="14">
        <f>IFERROR(IF(OR($A776="",$F776=""),"",IF(INDEX(Accounts!$P$2:$P$11,$F776)="static",INDEX(Accounts!$Q$2:$Q$11,$F776),IF(INDEX(Accounts!$P$2:$P$11,$F776)="eod_trailing",MAX(INDEX(Accounts!$Q$2:$Q$11,$F776),_xlfn.MAXIFS($C$2:$C$1001,$A$2:$A$1001,$A776,$B$2:$B$1001,"&lt;"&amp;$B776)),MAX(INDEX(Accounts!$Q$2:$Q$11,$F776),_xlfn.MAXIFS($C$2:$C$1001,$A$2:$A$1001,$A776,$B$2:$B$1001,"&lt;"&amp;$B776),_xlfn.MAXIFS($D$2:$D$1001,$A$2:$A$1001,$A776,$B$2:$B$1001,"&lt;="&amp;$B776),$C776)))),"")</f>
        <v/>
      </c>
      <c r="H776" s="15">
        <f>IFERROR(IF(G776="","",IF(INDEX(Accounts!$P$2:$P$11,$F776)="static",INDEX(Accounts!$Q$2:$Q$11,$F776)-INDEX(Accounts!$R$2:$R$11,$F776),IF(INDEX(Accounts!$S$2:$S$11,$F776)="NONE",G776-INDEX(Accounts!$R$2:$R$11,$F776),MIN(G776-INDEX(Accounts!$R$2:$R$11,$F776),INDEX(Accounts!$Q$2:$Q$11,$F776)+INDEX(Accounts!$S$2:$S$11,$F776))))),"")</f>
        <v/>
      </c>
      <c r="I776" s="16">
        <f>IF(AND($A776="",$B776="",$C776="",$D776="",$E776=""),"",IF(OR($A776="",$F776=""),"UNKNOWN_ACCOUNT",IF(OR($B776="",$C776=""),"INCOMPLETE",IFERROR(IF(OR(NOT(ISNUMBER($B776)),NOT(ISNUMBER($C776)),IF(C776="",FALSE,IF(ISNUMBER(C776),OR(C776&lt;=0,C776&gt;100000000,ROUND(C776*100,6)&lt;&gt;INT(ROUND(C776*100,6))),TRUE)),IF(D776="",FALSE,IF(ISNUMBER(D776),OR(D776&lt;=0,D776&gt;100000000,ROUND(D776*100,6)&lt;&gt;INT(ROUND(D776*100,6))),TRUE)),IF(E776="",FALSE,IF(ISNUMBER(E776),OR(E776&lt;=0,E776&gt;100000000,ROUND(E776*100,6)&lt;&gt;INT(ROUND(E776*100,6))),TRUE)),AND($D776&lt;&gt;"",$D776&lt;MAX($C776,$E776)),AND($E776&lt;&gt;"",$E776&gt;MIN($C776,IF($D776="",$C776,$D776))),COUNTIFS($A$2:$A$1001,$A776,$B$2:$B$1001,$B776)&gt;1),"INVALID",IFERROR(IF(IF(INDEX(Accounts!$T$2:$T$11,$F776),ROUND(IF($E776="",$C776,MIN($C776,$E776))-(H776),6)&lt;=0,ROUND(IF($E776="",$C776,MIN($C776,$E776))-(H776),6)&lt;0),"BREACHED","OK"),"INCOMPLETE")),"INVALID"))))</f>
        <v/>
      </c>
      <c r="J776" s="33">
        <f>IF(OR(I776="OK",I776="BREACHED"),-INT(ROUND(-(H776)*100,6))/100,I776)</f>
        <v/>
      </c>
    </row>
    <row r="777" ht="18" customHeight="1">
      <c r="A777" s="9" t="n"/>
      <c r="B777" s="32" t="n"/>
      <c r="C777" s="12" t="n"/>
      <c r="D777" s="12" t="n"/>
      <c r="E777" s="12" t="n"/>
      <c r="F777" s="15">
        <f>IFERROR(MATCH($A777,Accounts!$A$2:$A$11,0),"")</f>
        <v/>
      </c>
      <c r="G777" s="14">
        <f>IFERROR(IF(OR($A777="",$F777=""),"",IF(INDEX(Accounts!$P$2:$P$11,$F777)="static",INDEX(Accounts!$Q$2:$Q$11,$F777),IF(INDEX(Accounts!$P$2:$P$11,$F777)="eod_trailing",MAX(INDEX(Accounts!$Q$2:$Q$11,$F777),_xlfn.MAXIFS($C$2:$C$1001,$A$2:$A$1001,$A777,$B$2:$B$1001,"&lt;"&amp;$B777)),MAX(INDEX(Accounts!$Q$2:$Q$11,$F777),_xlfn.MAXIFS($C$2:$C$1001,$A$2:$A$1001,$A777,$B$2:$B$1001,"&lt;"&amp;$B777),_xlfn.MAXIFS($D$2:$D$1001,$A$2:$A$1001,$A777,$B$2:$B$1001,"&lt;="&amp;$B777),$C777)))),"")</f>
        <v/>
      </c>
      <c r="H777" s="15">
        <f>IFERROR(IF(G777="","",IF(INDEX(Accounts!$P$2:$P$11,$F777)="static",INDEX(Accounts!$Q$2:$Q$11,$F777)-INDEX(Accounts!$R$2:$R$11,$F777),IF(INDEX(Accounts!$S$2:$S$11,$F777)="NONE",G777-INDEX(Accounts!$R$2:$R$11,$F777),MIN(G777-INDEX(Accounts!$R$2:$R$11,$F777),INDEX(Accounts!$Q$2:$Q$11,$F777)+INDEX(Accounts!$S$2:$S$11,$F777))))),"")</f>
        <v/>
      </c>
      <c r="I777" s="16">
        <f>IF(AND($A777="",$B777="",$C777="",$D777="",$E777=""),"",IF(OR($A777="",$F777=""),"UNKNOWN_ACCOUNT",IF(OR($B777="",$C777=""),"INCOMPLETE",IFERROR(IF(OR(NOT(ISNUMBER($B777)),NOT(ISNUMBER($C777)),IF(C777="",FALSE,IF(ISNUMBER(C777),OR(C777&lt;=0,C777&gt;100000000,ROUND(C777*100,6)&lt;&gt;INT(ROUND(C777*100,6))),TRUE)),IF(D777="",FALSE,IF(ISNUMBER(D777),OR(D777&lt;=0,D777&gt;100000000,ROUND(D777*100,6)&lt;&gt;INT(ROUND(D777*100,6))),TRUE)),IF(E777="",FALSE,IF(ISNUMBER(E777),OR(E777&lt;=0,E777&gt;100000000,ROUND(E777*100,6)&lt;&gt;INT(ROUND(E777*100,6))),TRUE)),AND($D777&lt;&gt;"",$D777&lt;MAX($C777,$E777)),AND($E777&lt;&gt;"",$E777&gt;MIN($C777,IF($D777="",$C777,$D777))),COUNTIFS($A$2:$A$1001,$A777,$B$2:$B$1001,$B777)&gt;1),"INVALID",IFERROR(IF(IF(INDEX(Accounts!$T$2:$T$11,$F777),ROUND(IF($E777="",$C777,MIN($C777,$E777))-(H777),6)&lt;=0,ROUND(IF($E777="",$C777,MIN($C777,$E777))-(H777),6)&lt;0),"BREACHED","OK"),"INCOMPLETE")),"INVALID"))))</f>
        <v/>
      </c>
      <c r="J777" s="33">
        <f>IF(OR(I777="OK",I777="BREACHED"),-INT(ROUND(-(H777)*100,6))/100,I777)</f>
        <v/>
      </c>
    </row>
    <row r="778" ht="18" customHeight="1">
      <c r="A778" s="9" t="n"/>
      <c r="B778" s="32" t="n"/>
      <c r="C778" s="12" t="n"/>
      <c r="D778" s="12" t="n"/>
      <c r="E778" s="12" t="n"/>
      <c r="F778" s="15">
        <f>IFERROR(MATCH($A778,Accounts!$A$2:$A$11,0),"")</f>
        <v/>
      </c>
      <c r="G778" s="14">
        <f>IFERROR(IF(OR($A778="",$F778=""),"",IF(INDEX(Accounts!$P$2:$P$11,$F778)="static",INDEX(Accounts!$Q$2:$Q$11,$F778),IF(INDEX(Accounts!$P$2:$P$11,$F778)="eod_trailing",MAX(INDEX(Accounts!$Q$2:$Q$11,$F778),_xlfn.MAXIFS($C$2:$C$1001,$A$2:$A$1001,$A778,$B$2:$B$1001,"&lt;"&amp;$B778)),MAX(INDEX(Accounts!$Q$2:$Q$11,$F778),_xlfn.MAXIFS($C$2:$C$1001,$A$2:$A$1001,$A778,$B$2:$B$1001,"&lt;"&amp;$B778),_xlfn.MAXIFS($D$2:$D$1001,$A$2:$A$1001,$A778,$B$2:$B$1001,"&lt;="&amp;$B778),$C778)))),"")</f>
        <v/>
      </c>
      <c r="H778" s="15">
        <f>IFERROR(IF(G778="","",IF(INDEX(Accounts!$P$2:$P$11,$F778)="static",INDEX(Accounts!$Q$2:$Q$11,$F778)-INDEX(Accounts!$R$2:$R$11,$F778),IF(INDEX(Accounts!$S$2:$S$11,$F778)="NONE",G778-INDEX(Accounts!$R$2:$R$11,$F778),MIN(G778-INDEX(Accounts!$R$2:$R$11,$F778),INDEX(Accounts!$Q$2:$Q$11,$F778)+INDEX(Accounts!$S$2:$S$11,$F778))))),"")</f>
        <v/>
      </c>
      <c r="I778" s="16">
        <f>IF(AND($A778="",$B778="",$C778="",$D778="",$E778=""),"",IF(OR($A778="",$F778=""),"UNKNOWN_ACCOUNT",IF(OR($B778="",$C778=""),"INCOMPLETE",IFERROR(IF(OR(NOT(ISNUMBER($B778)),NOT(ISNUMBER($C778)),IF(C778="",FALSE,IF(ISNUMBER(C778),OR(C778&lt;=0,C778&gt;100000000,ROUND(C778*100,6)&lt;&gt;INT(ROUND(C778*100,6))),TRUE)),IF(D778="",FALSE,IF(ISNUMBER(D778),OR(D778&lt;=0,D778&gt;100000000,ROUND(D778*100,6)&lt;&gt;INT(ROUND(D778*100,6))),TRUE)),IF(E778="",FALSE,IF(ISNUMBER(E778),OR(E778&lt;=0,E778&gt;100000000,ROUND(E778*100,6)&lt;&gt;INT(ROUND(E778*100,6))),TRUE)),AND($D778&lt;&gt;"",$D778&lt;MAX($C778,$E778)),AND($E778&lt;&gt;"",$E778&gt;MIN($C778,IF($D778="",$C778,$D778))),COUNTIFS($A$2:$A$1001,$A778,$B$2:$B$1001,$B778)&gt;1),"INVALID",IFERROR(IF(IF(INDEX(Accounts!$T$2:$T$11,$F778),ROUND(IF($E778="",$C778,MIN($C778,$E778))-(H778),6)&lt;=0,ROUND(IF($E778="",$C778,MIN($C778,$E778))-(H778),6)&lt;0),"BREACHED","OK"),"INCOMPLETE")),"INVALID"))))</f>
        <v/>
      </c>
      <c r="J778" s="33">
        <f>IF(OR(I778="OK",I778="BREACHED"),-INT(ROUND(-(H778)*100,6))/100,I778)</f>
        <v/>
      </c>
    </row>
    <row r="779" ht="18" customHeight="1">
      <c r="A779" s="9" t="n"/>
      <c r="B779" s="32" t="n"/>
      <c r="C779" s="12" t="n"/>
      <c r="D779" s="12" t="n"/>
      <c r="E779" s="12" t="n"/>
      <c r="F779" s="15">
        <f>IFERROR(MATCH($A779,Accounts!$A$2:$A$11,0),"")</f>
        <v/>
      </c>
      <c r="G779" s="14">
        <f>IFERROR(IF(OR($A779="",$F779=""),"",IF(INDEX(Accounts!$P$2:$P$11,$F779)="static",INDEX(Accounts!$Q$2:$Q$11,$F779),IF(INDEX(Accounts!$P$2:$P$11,$F779)="eod_trailing",MAX(INDEX(Accounts!$Q$2:$Q$11,$F779),_xlfn.MAXIFS($C$2:$C$1001,$A$2:$A$1001,$A779,$B$2:$B$1001,"&lt;"&amp;$B779)),MAX(INDEX(Accounts!$Q$2:$Q$11,$F779),_xlfn.MAXIFS($C$2:$C$1001,$A$2:$A$1001,$A779,$B$2:$B$1001,"&lt;"&amp;$B779),_xlfn.MAXIFS($D$2:$D$1001,$A$2:$A$1001,$A779,$B$2:$B$1001,"&lt;="&amp;$B779),$C779)))),"")</f>
        <v/>
      </c>
      <c r="H779" s="15">
        <f>IFERROR(IF(G779="","",IF(INDEX(Accounts!$P$2:$P$11,$F779)="static",INDEX(Accounts!$Q$2:$Q$11,$F779)-INDEX(Accounts!$R$2:$R$11,$F779),IF(INDEX(Accounts!$S$2:$S$11,$F779)="NONE",G779-INDEX(Accounts!$R$2:$R$11,$F779),MIN(G779-INDEX(Accounts!$R$2:$R$11,$F779),INDEX(Accounts!$Q$2:$Q$11,$F779)+INDEX(Accounts!$S$2:$S$11,$F779))))),"")</f>
        <v/>
      </c>
      <c r="I779" s="16">
        <f>IF(AND($A779="",$B779="",$C779="",$D779="",$E779=""),"",IF(OR($A779="",$F779=""),"UNKNOWN_ACCOUNT",IF(OR($B779="",$C779=""),"INCOMPLETE",IFERROR(IF(OR(NOT(ISNUMBER($B779)),NOT(ISNUMBER($C779)),IF(C779="",FALSE,IF(ISNUMBER(C779),OR(C779&lt;=0,C779&gt;100000000,ROUND(C779*100,6)&lt;&gt;INT(ROUND(C779*100,6))),TRUE)),IF(D779="",FALSE,IF(ISNUMBER(D779),OR(D779&lt;=0,D779&gt;100000000,ROUND(D779*100,6)&lt;&gt;INT(ROUND(D779*100,6))),TRUE)),IF(E779="",FALSE,IF(ISNUMBER(E779),OR(E779&lt;=0,E779&gt;100000000,ROUND(E779*100,6)&lt;&gt;INT(ROUND(E779*100,6))),TRUE)),AND($D779&lt;&gt;"",$D779&lt;MAX($C779,$E779)),AND($E779&lt;&gt;"",$E779&gt;MIN($C779,IF($D779="",$C779,$D779))),COUNTIFS($A$2:$A$1001,$A779,$B$2:$B$1001,$B779)&gt;1),"INVALID",IFERROR(IF(IF(INDEX(Accounts!$T$2:$T$11,$F779),ROUND(IF($E779="",$C779,MIN($C779,$E779))-(H779),6)&lt;=0,ROUND(IF($E779="",$C779,MIN($C779,$E779))-(H779),6)&lt;0),"BREACHED","OK"),"INCOMPLETE")),"INVALID"))))</f>
        <v/>
      </c>
      <c r="J779" s="33">
        <f>IF(OR(I779="OK",I779="BREACHED"),-INT(ROUND(-(H779)*100,6))/100,I779)</f>
        <v/>
      </c>
    </row>
    <row r="780" ht="18" customHeight="1">
      <c r="A780" s="9" t="n"/>
      <c r="B780" s="32" t="n"/>
      <c r="C780" s="12" t="n"/>
      <c r="D780" s="12" t="n"/>
      <c r="E780" s="12" t="n"/>
      <c r="F780" s="15">
        <f>IFERROR(MATCH($A780,Accounts!$A$2:$A$11,0),"")</f>
        <v/>
      </c>
      <c r="G780" s="14">
        <f>IFERROR(IF(OR($A780="",$F780=""),"",IF(INDEX(Accounts!$P$2:$P$11,$F780)="static",INDEX(Accounts!$Q$2:$Q$11,$F780),IF(INDEX(Accounts!$P$2:$P$11,$F780)="eod_trailing",MAX(INDEX(Accounts!$Q$2:$Q$11,$F780),_xlfn.MAXIFS($C$2:$C$1001,$A$2:$A$1001,$A780,$B$2:$B$1001,"&lt;"&amp;$B780)),MAX(INDEX(Accounts!$Q$2:$Q$11,$F780),_xlfn.MAXIFS($C$2:$C$1001,$A$2:$A$1001,$A780,$B$2:$B$1001,"&lt;"&amp;$B780),_xlfn.MAXIFS($D$2:$D$1001,$A$2:$A$1001,$A780,$B$2:$B$1001,"&lt;="&amp;$B780),$C780)))),"")</f>
        <v/>
      </c>
      <c r="H780" s="15">
        <f>IFERROR(IF(G780="","",IF(INDEX(Accounts!$P$2:$P$11,$F780)="static",INDEX(Accounts!$Q$2:$Q$11,$F780)-INDEX(Accounts!$R$2:$R$11,$F780),IF(INDEX(Accounts!$S$2:$S$11,$F780)="NONE",G780-INDEX(Accounts!$R$2:$R$11,$F780),MIN(G780-INDEX(Accounts!$R$2:$R$11,$F780),INDEX(Accounts!$Q$2:$Q$11,$F780)+INDEX(Accounts!$S$2:$S$11,$F780))))),"")</f>
        <v/>
      </c>
      <c r="I780" s="16">
        <f>IF(AND($A780="",$B780="",$C780="",$D780="",$E780=""),"",IF(OR($A780="",$F780=""),"UNKNOWN_ACCOUNT",IF(OR($B780="",$C780=""),"INCOMPLETE",IFERROR(IF(OR(NOT(ISNUMBER($B780)),NOT(ISNUMBER($C780)),IF(C780="",FALSE,IF(ISNUMBER(C780),OR(C780&lt;=0,C780&gt;100000000,ROUND(C780*100,6)&lt;&gt;INT(ROUND(C780*100,6))),TRUE)),IF(D780="",FALSE,IF(ISNUMBER(D780),OR(D780&lt;=0,D780&gt;100000000,ROUND(D780*100,6)&lt;&gt;INT(ROUND(D780*100,6))),TRUE)),IF(E780="",FALSE,IF(ISNUMBER(E780),OR(E780&lt;=0,E780&gt;100000000,ROUND(E780*100,6)&lt;&gt;INT(ROUND(E780*100,6))),TRUE)),AND($D780&lt;&gt;"",$D780&lt;MAX($C780,$E780)),AND($E780&lt;&gt;"",$E780&gt;MIN($C780,IF($D780="",$C780,$D780))),COUNTIFS($A$2:$A$1001,$A780,$B$2:$B$1001,$B780)&gt;1),"INVALID",IFERROR(IF(IF(INDEX(Accounts!$T$2:$T$11,$F780),ROUND(IF($E780="",$C780,MIN($C780,$E780))-(H780),6)&lt;=0,ROUND(IF($E780="",$C780,MIN($C780,$E780))-(H780),6)&lt;0),"BREACHED","OK"),"INCOMPLETE")),"INVALID"))))</f>
        <v/>
      </c>
      <c r="J780" s="33">
        <f>IF(OR(I780="OK",I780="BREACHED"),-INT(ROUND(-(H780)*100,6))/100,I780)</f>
        <v/>
      </c>
    </row>
    <row r="781" ht="18" customHeight="1">
      <c r="A781" s="9" t="n"/>
      <c r="B781" s="32" t="n"/>
      <c r="C781" s="12" t="n"/>
      <c r="D781" s="12" t="n"/>
      <c r="E781" s="12" t="n"/>
      <c r="F781" s="15">
        <f>IFERROR(MATCH($A781,Accounts!$A$2:$A$11,0),"")</f>
        <v/>
      </c>
      <c r="G781" s="14">
        <f>IFERROR(IF(OR($A781="",$F781=""),"",IF(INDEX(Accounts!$P$2:$P$11,$F781)="static",INDEX(Accounts!$Q$2:$Q$11,$F781),IF(INDEX(Accounts!$P$2:$P$11,$F781)="eod_trailing",MAX(INDEX(Accounts!$Q$2:$Q$11,$F781),_xlfn.MAXIFS($C$2:$C$1001,$A$2:$A$1001,$A781,$B$2:$B$1001,"&lt;"&amp;$B781)),MAX(INDEX(Accounts!$Q$2:$Q$11,$F781),_xlfn.MAXIFS($C$2:$C$1001,$A$2:$A$1001,$A781,$B$2:$B$1001,"&lt;"&amp;$B781),_xlfn.MAXIFS($D$2:$D$1001,$A$2:$A$1001,$A781,$B$2:$B$1001,"&lt;="&amp;$B781),$C781)))),"")</f>
        <v/>
      </c>
      <c r="H781" s="15">
        <f>IFERROR(IF(G781="","",IF(INDEX(Accounts!$P$2:$P$11,$F781)="static",INDEX(Accounts!$Q$2:$Q$11,$F781)-INDEX(Accounts!$R$2:$R$11,$F781),IF(INDEX(Accounts!$S$2:$S$11,$F781)="NONE",G781-INDEX(Accounts!$R$2:$R$11,$F781),MIN(G781-INDEX(Accounts!$R$2:$R$11,$F781),INDEX(Accounts!$Q$2:$Q$11,$F781)+INDEX(Accounts!$S$2:$S$11,$F781))))),"")</f>
        <v/>
      </c>
      <c r="I781" s="16">
        <f>IF(AND($A781="",$B781="",$C781="",$D781="",$E781=""),"",IF(OR($A781="",$F781=""),"UNKNOWN_ACCOUNT",IF(OR($B781="",$C781=""),"INCOMPLETE",IFERROR(IF(OR(NOT(ISNUMBER($B781)),NOT(ISNUMBER($C781)),IF(C781="",FALSE,IF(ISNUMBER(C781),OR(C781&lt;=0,C781&gt;100000000,ROUND(C781*100,6)&lt;&gt;INT(ROUND(C781*100,6))),TRUE)),IF(D781="",FALSE,IF(ISNUMBER(D781),OR(D781&lt;=0,D781&gt;100000000,ROUND(D781*100,6)&lt;&gt;INT(ROUND(D781*100,6))),TRUE)),IF(E781="",FALSE,IF(ISNUMBER(E781),OR(E781&lt;=0,E781&gt;100000000,ROUND(E781*100,6)&lt;&gt;INT(ROUND(E781*100,6))),TRUE)),AND($D781&lt;&gt;"",$D781&lt;MAX($C781,$E781)),AND($E781&lt;&gt;"",$E781&gt;MIN($C781,IF($D781="",$C781,$D781))),COUNTIFS($A$2:$A$1001,$A781,$B$2:$B$1001,$B781)&gt;1),"INVALID",IFERROR(IF(IF(INDEX(Accounts!$T$2:$T$11,$F781),ROUND(IF($E781="",$C781,MIN($C781,$E781))-(H781),6)&lt;=0,ROUND(IF($E781="",$C781,MIN($C781,$E781))-(H781),6)&lt;0),"BREACHED","OK"),"INCOMPLETE")),"INVALID"))))</f>
        <v/>
      </c>
      <c r="J781" s="33">
        <f>IF(OR(I781="OK",I781="BREACHED"),-INT(ROUND(-(H781)*100,6))/100,I781)</f>
        <v/>
      </c>
    </row>
    <row r="782" ht="18" customHeight="1">
      <c r="A782" s="9" t="n"/>
      <c r="B782" s="32" t="n"/>
      <c r="C782" s="12" t="n"/>
      <c r="D782" s="12" t="n"/>
      <c r="E782" s="12" t="n"/>
      <c r="F782" s="15">
        <f>IFERROR(MATCH($A782,Accounts!$A$2:$A$11,0),"")</f>
        <v/>
      </c>
      <c r="G782" s="14">
        <f>IFERROR(IF(OR($A782="",$F782=""),"",IF(INDEX(Accounts!$P$2:$P$11,$F782)="static",INDEX(Accounts!$Q$2:$Q$11,$F782),IF(INDEX(Accounts!$P$2:$P$11,$F782)="eod_trailing",MAX(INDEX(Accounts!$Q$2:$Q$11,$F782),_xlfn.MAXIFS($C$2:$C$1001,$A$2:$A$1001,$A782,$B$2:$B$1001,"&lt;"&amp;$B782)),MAX(INDEX(Accounts!$Q$2:$Q$11,$F782),_xlfn.MAXIFS($C$2:$C$1001,$A$2:$A$1001,$A782,$B$2:$B$1001,"&lt;"&amp;$B782),_xlfn.MAXIFS($D$2:$D$1001,$A$2:$A$1001,$A782,$B$2:$B$1001,"&lt;="&amp;$B782),$C782)))),"")</f>
        <v/>
      </c>
      <c r="H782" s="15">
        <f>IFERROR(IF(G782="","",IF(INDEX(Accounts!$P$2:$P$11,$F782)="static",INDEX(Accounts!$Q$2:$Q$11,$F782)-INDEX(Accounts!$R$2:$R$11,$F782),IF(INDEX(Accounts!$S$2:$S$11,$F782)="NONE",G782-INDEX(Accounts!$R$2:$R$11,$F782),MIN(G782-INDEX(Accounts!$R$2:$R$11,$F782),INDEX(Accounts!$Q$2:$Q$11,$F782)+INDEX(Accounts!$S$2:$S$11,$F782))))),"")</f>
        <v/>
      </c>
      <c r="I782" s="16">
        <f>IF(AND($A782="",$B782="",$C782="",$D782="",$E782=""),"",IF(OR($A782="",$F782=""),"UNKNOWN_ACCOUNT",IF(OR($B782="",$C782=""),"INCOMPLETE",IFERROR(IF(OR(NOT(ISNUMBER($B782)),NOT(ISNUMBER($C782)),IF(C782="",FALSE,IF(ISNUMBER(C782),OR(C782&lt;=0,C782&gt;100000000,ROUND(C782*100,6)&lt;&gt;INT(ROUND(C782*100,6))),TRUE)),IF(D782="",FALSE,IF(ISNUMBER(D782),OR(D782&lt;=0,D782&gt;100000000,ROUND(D782*100,6)&lt;&gt;INT(ROUND(D782*100,6))),TRUE)),IF(E782="",FALSE,IF(ISNUMBER(E782),OR(E782&lt;=0,E782&gt;100000000,ROUND(E782*100,6)&lt;&gt;INT(ROUND(E782*100,6))),TRUE)),AND($D782&lt;&gt;"",$D782&lt;MAX($C782,$E782)),AND($E782&lt;&gt;"",$E782&gt;MIN($C782,IF($D782="",$C782,$D782))),COUNTIFS($A$2:$A$1001,$A782,$B$2:$B$1001,$B782)&gt;1),"INVALID",IFERROR(IF(IF(INDEX(Accounts!$T$2:$T$11,$F782),ROUND(IF($E782="",$C782,MIN($C782,$E782))-(H782),6)&lt;=0,ROUND(IF($E782="",$C782,MIN($C782,$E782))-(H782),6)&lt;0),"BREACHED","OK"),"INCOMPLETE")),"INVALID"))))</f>
        <v/>
      </c>
      <c r="J782" s="33">
        <f>IF(OR(I782="OK",I782="BREACHED"),-INT(ROUND(-(H782)*100,6))/100,I782)</f>
        <v/>
      </c>
    </row>
    <row r="783" ht="18" customHeight="1">
      <c r="A783" s="9" t="n"/>
      <c r="B783" s="32" t="n"/>
      <c r="C783" s="12" t="n"/>
      <c r="D783" s="12" t="n"/>
      <c r="E783" s="12" t="n"/>
      <c r="F783" s="15">
        <f>IFERROR(MATCH($A783,Accounts!$A$2:$A$11,0),"")</f>
        <v/>
      </c>
      <c r="G783" s="14">
        <f>IFERROR(IF(OR($A783="",$F783=""),"",IF(INDEX(Accounts!$P$2:$P$11,$F783)="static",INDEX(Accounts!$Q$2:$Q$11,$F783),IF(INDEX(Accounts!$P$2:$P$11,$F783)="eod_trailing",MAX(INDEX(Accounts!$Q$2:$Q$11,$F783),_xlfn.MAXIFS($C$2:$C$1001,$A$2:$A$1001,$A783,$B$2:$B$1001,"&lt;"&amp;$B783)),MAX(INDEX(Accounts!$Q$2:$Q$11,$F783),_xlfn.MAXIFS($C$2:$C$1001,$A$2:$A$1001,$A783,$B$2:$B$1001,"&lt;"&amp;$B783),_xlfn.MAXIFS($D$2:$D$1001,$A$2:$A$1001,$A783,$B$2:$B$1001,"&lt;="&amp;$B783),$C783)))),"")</f>
        <v/>
      </c>
      <c r="H783" s="15">
        <f>IFERROR(IF(G783="","",IF(INDEX(Accounts!$P$2:$P$11,$F783)="static",INDEX(Accounts!$Q$2:$Q$11,$F783)-INDEX(Accounts!$R$2:$R$11,$F783),IF(INDEX(Accounts!$S$2:$S$11,$F783)="NONE",G783-INDEX(Accounts!$R$2:$R$11,$F783),MIN(G783-INDEX(Accounts!$R$2:$R$11,$F783),INDEX(Accounts!$Q$2:$Q$11,$F783)+INDEX(Accounts!$S$2:$S$11,$F783))))),"")</f>
        <v/>
      </c>
      <c r="I783" s="16">
        <f>IF(AND($A783="",$B783="",$C783="",$D783="",$E783=""),"",IF(OR($A783="",$F783=""),"UNKNOWN_ACCOUNT",IF(OR($B783="",$C783=""),"INCOMPLETE",IFERROR(IF(OR(NOT(ISNUMBER($B783)),NOT(ISNUMBER($C783)),IF(C783="",FALSE,IF(ISNUMBER(C783),OR(C783&lt;=0,C783&gt;100000000,ROUND(C783*100,6)&lt;&gt;INT(ROUND(C783*100,6))),TRUE)),IF(D783="",FALSE,IF(ISNUMBER(D783),OR(D783&lt;=0,D783&gt;100000000,ROUND(D783*100,6)&lt;&gt;INT(ROUND(D783*100,6))),TRUE)),IF(E783="",FALSE,IF(ISNUMBER(E783),OR(E783&lt;=0,E783&gt;100000000,ROUND(E783*100,6)&lt;&gt;INT(ROUND(E783*100,6))),TRUE)),AND($D783&lt;&gt;"",$D783&lt;MAX($C783,$E783)),AND($E783&lt;&gt;"",$E783&gt;MIN($C783,IF($D783="",$C783,$D783))),COUNTIFS($A$2:$A$1001,$A783,$B$2:$B$1001,$B783)&gt;1),"INVALID",IFERROR(IF(IF(INDEX(Accounts!$T$2:$T$11,$F783),ROUND(IF($E783="",$C783,MIN($C783,$E783))-(H783),6)&lt;=0,ROUND(IF($E783="",$C783,MIN($C783,$E783))-(H783),6)&lt;0),"BREACHED","OK"),"INCOMPLETE")),"INVALID"))))</f>
        <v/>
      </c>
      <c r="J783" s="33">
        <f>IF(OR(I783="OK",I783="BREACHED"),-INT(ROUND(-(H783)*100,6))/100,I783)</f>
        <v/>
      </c>
    </row>
    <row r="784" ht="18" customHeight="1">
      <c r="A784" s="9" t="n"/>
      <c r="B784" s="32" t="n"/>
      <c r="C784" s="12" t="n"/>
      <c r="D784" s="12" t="n"/>
      <c r="E784" s="12" t="n"/>
      <c r="F784" s="15">
        <f>IFERROR(MATCH($A784,Accounts!$A$2:$A$11,0),"")</f>
        <v/>
      </c>
      <c r="G784" s="14">
        <f>IFERROR(IF(OR($A784="",$F784=""),"",IF(INDEX(Accounts!$P$2:$P$11,$F784)="static",INDEX(Accounts!$Q$2:$Q$11,$F784),IF(INDEX(Accounts!$P$2:$P$11,$F784)="eod_trailing",MAX(INDEX(Accounts!$Q$2:$Q$11,$F784),_xlfn.MAXIFS($C$2:$C$1001,$A$2:$A$1001,$A784,$B$2:$B$1001,"&lt;"&amp;$B784)),MAX(INDEX(Accounts!$Q$2:$Q$11,$F784),_xlfn.MAXIFS($C$2:$C$1001,$A$2:$A$1001,$A784,$B$2:$B$1001,"&lt;"&amp;$B784),_xlfn.MAXIFS($D$2:$D$1001,$A$2:$A$1001,$A784,$B$2:$B$1001,"&lt;="&amp;$B784),$C784)))),"")</f>
        <v/>
      </c>
      <c r="H784" s="15">
        <f>IFERROR(IF(G784="","",IF(INDEX(Accounts!$P$2:$P$11,$F784)="static",INDEX(Accounts!$Q$2:$Q$11,$F784)-INDEX(Accounts!$R$2:$R$11,$F784),IF(INDEX(Accounts!$S$2:$S$11,$F784)="NONE",G784-INDEX(Accounts!$R$2:$R$11,$F784),MIN(G784-INDEX(Accounts!$R$2:$R$11,$F784),INDEX(Accounts!$Q$2:$Q$11,$F784)+INDEX(Accounts!$S$2:$S$11,$F784))))),"")</f>
        <v/>
      </c>
      <c r="I784" s="16">
        <f>IF(AND($A784="",$B784="",$C784="",$D784="",$E784=""),"",IF(OR($A784="",$F784=""),"UNKNOWN_ACCOUNT",IF(OR($B784="",$C784=""),"INCOMPLETE",IFERROR(IF(OR(NOT(ISNUMBER($B784)),NOT(ISNUMBER($C784)),IF(C784="",FALSE,IF(ISNUMBER(C784),OR(C784&lt;=0,C784&gt;100000000,ROUND(C784*100,6)&lt;&gt;INT(ROUND(C784*100,6))),TRUE)),IF(D784="",FALSE,IF(ISNUMBER(D784),OR(D784&lt;=0,D784&gt;100000000,ROUND(D784*100,6)&lt;&gt;INT(ROUND(D784*100,6))),TRUE)),IF(E784="",FALSE,IF(ISNUMBER(E784),OR(E784&lt;=0,E784&gt;100000000,ROUND(E784*100,6)&lt;&gt;INT(ROUND(E784*100,6))),TRUE)),AND($D784&lt;&gt;"",$D784&lt;MAX($C784,$E784)),AND($E784&lt;&gt;"",$E784&gt;MIN($C784,IF($D784="",$C784,$D784))),COUNTIFS($A$2:$A$1001,$A784,$B$2:$B$1001,$B784)&gt;1),"INVALID",IFERROR(IF(IF(INDEX(Accounts!$T$2:$T$11,$F784),ROUND(IF($E784="",$C784,MIN($C784,$E784))-(H784),6)&lt;=0,ROUND(IF($E784="",$C784,MIN($C784,$E784))-(H784),6)&lt;0),"BREACHED","OK"),"INCOMPLETE")),"INVALID"))))</f>
        <v/>
      </c>
      <c r="J784" s="33">
        <f>IF(OR(I784="OK",I784="BREACHED"),-INT(ROUND(-(H784)*100,6))/100,I784)</f>
        <v/>
      </c>
    </row>
    <row r="785" ht="18" customHeight="1">
      <c r="A785" s="9" t="n"/>
      <c r="B785" s="32" t="n"/>
      <c r="C785" s="12" t="n"/>
      <c r="D785" s="12" t="n"/>
      <c r="E785" s="12" t="n"/>
      <c r="F785" s="15">
        <f>IFERROR(MATCH($A785,Accounts!$A$2:$A$11,0),"")</f>
        <v/>
      </c>
      <c r="G785" s="14">
        <f>IFERROR(IF(OR($A785="",$F785=""),"",IF(INDEX(Accounts!$P$2:$P$11,$F785)="static",INDEX(Accounts!$Q$2:$Q$11,$F785),IF(INDEX(Accounts!$P$2:$P$11,$F785)="eod_trailing",MAX(INDEX(Accounts!$Q$2:$Q$11,$F785),_xlfn.MAXIFS($C$2:$C$1001,$A$2:$A$1001,$A785,$B$2:$B$1001,"&lt;"&amp;$B785)),MAX(INDEX(Accounts!$Q$2:$Q$11,$F785),_xlfn.MAXIFS($C$2:$C$1001,$A$2:$A$1001,$A785,$B$2:$B$1001,"&lt;"&amp;$B785),_xlfn.MAXIFS($D$2:$D$1001,$A$2:$A$1001,$A785,$B$2:$B$1001,"&lt;="&amp;$B785),$C785)))),"")</f>
        <v/>
      </c>
      <c r="H785" s="15">
        <f>IFERROR(IF(G785="","",IF(INDEX(Accounts!$P$2:$P$11,$F785)="static",INDEX(Accounts!$Q$2:$Q$11,$F785)-INDEX(Accounts!$R$2:$R$11,$F785),IF(INDEX(Accounts!$S$2:$S$11,$F785)="NONE",G785-INDEX(Accounts!$R$2:$R$11,$F785),MIN(G785-INDEX(Accounts!$R$2:$R$11,$F785),INDEX(Accounts!$Q$2:$Q$11,$F785)+INDEX(Accounts!$S$2:$S$11,$F785))))),"")</f>
        <v/>
      </c>
      <c r="I785" s="16">
        <f>IF(AND($A785="",$B785="",$C785="",$D785="",$E785=""),"",IF(OR($A785="",$F785=""),"UNKNOWN_ACCOUNT",IF(OR($B785="",$C785=""),"INCOMPLETE",IFERROR(IF(OR(NOT(ISNUMBER($B785)),NOT(ISNUMBER($C785)),IF(C785="",FALSE,IF(ISNUMBER(C785),OR(C785&lt;=0,C785&gt;100000000,ROUND(C785*100,6)&lt;&gt;INT(ROUND(C785*100,6))),TRUE)),IF(D785="",FALSE,IF(ISNUMBER(D785),OR(D785&lt;=0,D785&gt;100000000,ROUND(D785*100,6)&lt;&gt;INT(ROUND(D785*100,6))),TRUE)),IF(E785="",FALSE,IF(ISNUMBER(E785),OR(E785&lt;=0,E785&gt;100000000,ROUND(E785*100,6)&lt;&gt;INT(ROUND(E785*100,6))),TRUE)),AND($D785&lt;&gt;"",$D785&lt;MAX($C785,$E785)),AND($E785&lt;&gt;"",$E785&gt;MIN($C785,IF($D785="",$C785,$D785))),COUNTIFS($A$2:$A$1001,$A785,$B$2:$B$1001,$B785)&gt;1),"INVALID",IFERROR(IF(IF(INDEX(Accounts!$T$2:$T$11,$F785),ROUND(IF($E785="",$C785,MIN($C785,$E785))-(H785),6)&lt;=0,ROUND(IF($E785="",$C785,MIN($C785,$E785))-(H785),6)&lt;0),"BREACHED","OK"),"INCOMPLETE")),"INVALID"))))</f>
        <v/>
      </c>
      <c r="J785" s="33">
        <f>IF(OR(I785="OK",I785="BREACHED"),-INT(ROUND(-(H785)*100,6))/100,I785)</f>
        <v/>
      </c>
    </row>
    <row r="786" ht="18" customHeight="1">
      <c r="A786" s="9" t="n"/>
      <c r="B786" s="32" t="n"/>
      <c r="C786" s="12" t="n"/>
      <c r="D786" s="12" t="n"/>
      <c r="E786" s="12" t="n"/>
      <c r="F786" s="15">
        <f>IFERROR(MATCH($A786,Accounts!$A$2:$A$11,0),"")</f>
        <v/>
      </c>
      <c r="G786" s="14">
        <f>IFERROR(IF(OR($A786="",$F786=""),"",IF(INDEX(Accounts!$P$2:$P$11,$F786)="static",INDEX(Accounts!$Q$2:$Q$11,$F786),IF(INDEX(Accounts!$P$2:$P$11,$F786)="eod_trailing",MAX(INDEX(Accounts!$Q$2:$Q$11,$F786),_xlfn.MAXIFS($C$2:$C$1001,$A$2:$A$1001,$A786,$B$2:$B$1001,"&lt;"&amp;$B786)),MAX(INDEX(Accounts!$Q$2:$Q$11,$F786),_xlfn.MAXIFS($C$2:$C$1001,$A$2:$A$1001,$A786,$B$2:$B$1001,"&lt;"&amp;$B786),_xlfn.MAXIFS($D$2:$D$1001,$A$2:$A$1001,$A786,$B$2:$B$1001,"&lt;="&amp;$B786),$C786)))),"")</f>
        <v/>
      </c>
      <c r="H786" s="15">
        <f>IFERROR(IF(G786="","",IF(INDEX(Accounts!$P$2:$P$11,$F786)="static",INDEX(Accounts!$Q$2:$Q$11,$F786)-INDEX(Accounts!$R$2:$R$11,$F786),IF(INDEX(Accounts!$S$2:$S$11,$F786)="NONE",G786-INDEX(Accounts!$R$2:$R$11,$F786),MIN(G786-INDEX(Accounts!$R$2:$R$11,$F786),INDEX(Accounts!$Q$2:$Q$11,$F786)+INDEX(Accounts!$S$2:$S$11,$F786))))),"")</f>
        <v/>
      </c>
      <c r="I786" s="16">
        <f>IF(AND($A786="",$B786="",$C786="",$D786="",$E786=""),"",IF(OR($A786="",$F786=""),"UNKNOWN_ACCOUNT",IF(OR($B786="",$C786=""),"INCOMPLETE",IFERROR(IF(OR(NOT(ISNUMBER($B786)),NOT(ISNUMBER($C786)),IF(C786="",FALSE,IF(ISNUMBER(C786),OR(C786&lt;=0,C786&gt;100000000,ROUND(C786*100,6)&lt;&gt;INT(ROUND(C786*100,6))),TRUE)),IF(D786="",FALSE,IF(ISNUMBER(D786),OR(D786&lt;=0,D786&gt;100000000,ROUND(D786*100,6)&lt;&gt;INT(ROUND(D786*100,6))),TRUE)),IF(E786="",FALSE,IF(ISNUMBER(E786),OR(E786&lt;=0,E786&gt;100000000,ROUND(E786*100,6)&lt;&gt;INT(ROUND(E786*100,6))),TRUE)),AND($D786&lt;&gt;"",$D786&lt;MAX($C786,$E786)),AND($E786&lt;&gt;"",$E786&gt;MIN($C786,IF($D786="",$C786,$D786))),COUNTIFS($A$2:$A$1001,$A786,$B$2:$B$1001,$B786)&gt;1),"INVALID",IFERROR(IF(IF(INDEX(Accounts!$T$2:$T$11,$F786),ROUND(IF($E786="",$C786,MIN($C786,$E786))-(H786),6)&lt;=0,ROUND(IF($E786="",$C786,MIN($C786,$E786))-(H786),6)&lt;0),"BREACHED","OK"),"INCOMPLETE")),"INVALID"))))</f>
        <v/>
      </c>
      <c r="J786" s="33">
        <f>IF(OR(I786="OK",I786="BREACHED"),-INT(ROUND(-(H786)*100,6))/100,I786)</f>
        <v/>
      </c>
    </row>
    <row r="787" ht="18" customHeight="1">
      <c r="A787" s="9" t="n"/>
      <c r="B787" s="32" t="n"/>
      <c r="C787" s="12" t="n"/>
      <c r="D787" s="12" t="n"/>
      <c r="E787" s="12" t="n"/>
      <c r="F787" s="15">
        <f>IFERROR(MATCH($A787,Accounts!$A$2:$A$11,0),"")</f>
        <v/>
      </c>
      <c r="G787" s="14">
        <f>IFERROR(IF(OR($A787="",$F787=""),"",IF(INDEX(Accounts!$P$2:$P$11,$F787)="static",INDEX(Accounts!$Q$2:$Q$11,$F787),IF(INDEX(Accounts!$P$2:$P$11,$F787)="eod_trailing",MAX(INDEX(Accounts!$Q$2:$Q$11,$F787),_xlfn.MAXIFS($C$2:$C$1001,$A$2:$A$1001,$A787,$B$2:$B$1001,"&lt;"&amp;$B787)),MAX(INDEX(Accounts!$Q$2:$Q$11,$F787),_xlfn.MAXIFS($C$2:$C$1001,$A$2:$A$1001,$A787,$B$2:$B$1001,"&lt;"&amp;$B787),_xlfn.MAXIFS($D$2:$D$1001,$A$2:$A$1001,$A787,$B$2:$B$1001,"&lt;="&amp;$B787),$C787)))),"")</f>
        <v/>
      </c>
      <c r="H787" s="15">
        <f>IFERROR(IF(G787="","",IF(INDEX(Accounts!$P$2:$P$11,$F787)="static",INDEX(Accounts!$Q$2:$Q$11,$F787)-INDEX(Accounts!$R$2:$R$11,$F787),IF(INDEX(Accounts!$S$2:$S$11,$F787)="NONE",G787-INDEX(Accounts!$R$2:$R$11,$F787),MIN(G787-INDEX(Accounts!$R$2:$R$11,$F787),INDEX(Accounts!$Q$2:$Q$11,$F787)+INDEX(Accounts!$S$2:$S$11,$F787))))),"")</f>
        <v/>
      </c>
      <c r="I787" s="16">
        <f>IF(AND($A787="",$B787="",$C787="",$D787="",$E787=""),"",IF(OR($A787="",$F787=""),"UNKNOWN_ACCOUNT",IF(OR($B787="",$C787=""),"INCOMPLETE",IFERROR(IF(OR(NOT(ISNUMBER($B787)),NOT(ISNUMBER($C787)),IF(C787="",FALSE,IF(ISNUMBER(C787),OR(C787&lt;=0,C787&gt;100000000,ROUND(C787*100,6)&lt;&gt;INT(ROUND(C787*100,6))),TRUE)),IF(D787="",FALSE,IF(ISNUMBER(D787),OR(D787&lt;=0,D787&gt;100000000,ROUND(D787*100,6)&lt;&gt;INT(ROUND(D787*100,6))),TRUE)),IF(E787="",FALSE,IF(ISNUMBER(E787),OR(E787&lt;=0,E787&gt;100000000,ROUND(E787*100,6)&lt;&gt;INT(ROUND(E787*100,6))),TRUE)),AND($D787&lt;&gt;"",$D787&lt;MAX($C787,$E787)),AND($E787&lt;&gt;"",$E787&gt;MIN($C787,IF($D787="",$C787,$D787))),COUNTIFS($A$2:$A$1001,$A787,$B$2:$B$1001,$B787)&gt;1),"INVALID",IFERROR(IF(IF(INDEX(Accounts!$T$2:$T$11,$F787),ROUND(IF($E787="",$C787,MIN($C787,$E787))-(H787),6)&lt;=0,ROUND(IF($E787="",$C787,MIN($C787,$E787))-(H787),6)&lt;0),"BREACHED","OK"),"INCOMPLETE")),"INVALID"))))</f>
        <v/>
      </c>
      <c r="J787" s="33">
        <f>IF(OR(I787="OK",I787="BREACHED"),-INT(ROUND(-(H787)*100,6))/100,I787)</f>
        <v/>
      </c>
    </row>
    <row r="788" ht="18" customHeight="1">
      <c r="A788" s="9" t="n"/>
      <c r="B788" s="32" t="n"/>
      <c r="C788" s="12" t="n"/>
      <c r="D788" s="12" t="n"/>
      <c r="E788" s="12" t="n"/>
      <c r="F788" s="15">
        <f>IFERROR(MATCH($A788,Accounts!$A$2:$A$11,0),"")</f>
        <v/>
      </c>
      <c r="G788" s="14">
        <f>IFERROR(IF(OR($A788="",$F788=""),"",IF(INDEX(Accounts!$P$2:$P$11,$F788)="static",INDEX(Accounts!$Q$2:$Q$11,$F788),IF(INDEX(Accounts!$P$2:$P$11,$F788)="eod_trailing",MAX(INDEX(Accounts!$Q$2:$Q$11,$F788),_xlfn.MAXIFS($C$2:$C$1001,$A$2:$A$1001,$A788,$B$2:$B$1001,"&lt;"&amp;$B788)),MAX(INDEX(Accounts!$Q$2:$Q$11,$F788),_xlfn.MAXIFS($C$2:$C$1001,$A$2:$A$1001,$A788,$B$2:$B$1001,"&lt;"&amp;$B788),_xlfn.MAXIFS($D$2:$D$1001,$A$2:$A$1001,$A788,$B$2:$B$1001,"&lt;="&amp;$B788),$C788)))),"")</f>
        <v/>
      </c>
      <c r="H788" s="15">
        <f>IFERROR(IF(G788="","",IF(INDEX(Accounts!$P$2:$P$11,$F788)="static",INDEX(Accounts!$Q$2:$Q$11,$F788)-INDEX(Accounts!$R$2:$R$11,$F788),IF(INDEX(Accounts!$S$2:$S$11,$F788)="NONE",G788-INDEX(Accounts!$R$2:$R$11,$F788),MIN(G788-INDEX(Accounts!$R$2:$R$11,$F788),INDEX(Accounts!$Q$2:$Q$11,$F788)+INDEX(Accounts!$S$2:$S$11,$F788))))),"")</f>
        <v/>
      </c>
      <c r="I788" s="16">
        <f>IF(AND($A788="",$B788="",$C788="",$D788="",$E788=""),"",IF(OR($A788="",$F788=""),"UNKNOWN_ACCOUNT",IF(OR($B788="",$C788=""),"INCOMPLETE",IFERROR(IF(OR(NOT(ISNUMBER($B788)),NOT(ISNUMBER($C788)),IF(C788="",FALSE,IF(ISNUMBER(C788),OR(C788&lt;=0,C788&gt;100000000,ROUND(C788*100,6)&lt;&gt;INT(ROUND(C788*100,6))),TRUE)),IF(D788="",FALSE,IF(ISNUMBER(D788),OR(D788&lt;=0,D788&gt;100000000,ROUND(D788*100,6)&lt;&gt;INT(ROUND(D788*100,6))),TRUE)),IF(E788="",FALSE,IF(ISNUMBER(E788),OR(E788&lt;=0,E788&gt;100000000,ROUND(E788*100,6)&lt;&gt;INT(ROUND(E788*100,6))),TRUE)),AND($D788&lt;&gt;"",$D788&lt;MAX($C788,$E788)),AND($E788&lt;&gt;"",$E788&gt;MIN($C788,IF($D788="",$C788,$D788))),COUNTIFS($A$2:$A$1001,$A788,$B$2:$B$1001,$B788)&gt;1),"INVALID",IFERROR(IF(IF(INDEX(Accounts!$T$2:$T$11,$F788),ROUND(IF($E788="",$C788,MIN($C788,$E788))-(H788),6)&lt;=0,ROUND(IF($E788="",$C788,MIN($C788,$E788))-(H788),6)&lt;0),"BREACHED","OK"),"INCOMPLETE")),"INVALID"))))</f>
        <v/>
      </c>
      <c r="J788" s="33">
        <f>IF(OR(I788="OK",I788="BREACHED"),-INT(ROUND(-(H788)*100,6))/100,I788)</f>
        <v/>
      </c>
    </row>
    <row r="789" ht="18" customHeight="1">
      <c r="A789" s="9" t="n"/>
      <c r="B789" s="32" t="n"/>
      <c r="C789" s="12" t="n"/>
      <c r="D789" s="12" t="n"/>
      <c r="E789" s="12" t="n"/>
      <c r="F789" s="15">
        <f>IFERROR(MATCH($A789,Accounts!$A$2:$A$11,0),"")</f>
        <v/>
      </c>
      <c r="G789" s="14">
        <f>IFERROR(IF(OR($A789="",$F789=""),"",IF(INDEX(Accounts!$P$2:$P$11,$F789)="static",INDEX(Accounts!$Q$2:$Q$11,$F789),IF(INDEX(Accounts!$P$2:$P$11,$F789)="eod_trailing",MAX(INDEX(Accounts!$Q$2:$Q$11,$F789),_xlfn.MAXIFS($C$2:$C$1001,$A$2:$A$1001,$A789,$B$2:$B$1001,"&lt;"&amp;$B789)),MAX(INDEX(Accounts!$Q$2:$Q$11,$F789),_xlfn.MAXIFS($C$2:$C$1001,$A$2:$A$1001,$A789,$B$2:$B$1001,"&lt;"&amp;$B789),_xlfn.MAXIFS($D$2:$D$1001,$A$2:$A$1001,$A789,$B$2:$B$1001,"&lt;="&amp;$B789),$C789)))),"")</f>
        <v/>
      </c>
      <c r="H789" s="15">
        <f>IFERROR(IF(G789="","",IF(INDEX(Accounts!$P$2:$P$11,$F789)="static",INDEX(Accounts!$Q$2:$Q$11,$F789)-INDEX(Accounts!$R$2:$R$11,$F789),IF(INDEX(Accounts!$S$2:$S$11,$F789)="NONE",G789-INDEX(Accounts!$R$2:$R$11,$F789),MIN(G789-INDEX(Accounts!$R$2:$R$11,$F789),INDEX(Accounts!$Q$2:$Q$11,$F789)+INDEX(Accounts!$S$2:$S$11,$F789))))),"")</f>
        <v/>
      </c>
      <c r="I789" s="16">
        <f>IF(AND($A789="",$B789="",$C789="",$D789="",$E789=""),"",IF(OR($A789="",$F789=""),"UNKNOWN_ACCOUNT",IF(OR($B789="",$C789=""),"INCOMPLETE",IFERROR(IF(OR(NOT(ISNUMBER($B789)),NOT(ISNUMBER($C789)),IF(C789="",FALSE,IF(ISNUMBER(C789),OR(C789&lt;=0,C789&gt;100000000,ROUND(C789*100,6)&lt;&gt;INT(ROUND(C789*100,6))),TRUE)),IF(D789="",FALSE,IF(ISNUMBER(D789),OR(D789&lt;=0,D789&gt;100000000,ROUND(D789*100,6)&lt;&gt;INT(ROUND(D789*100,6))),TRUE)),IF(E789="",FALSE,IF(ISNUMBER(E789),OR(E789&lt;=0,E789&gt;100000000,ROUND(E789*100,6)&lt;&gt;INT(ROUND(E789*100,6))),TRUE)),AND($D789&lt;&gt;"",$D789&lt;MAX($C789,$E789)),AND($E789&lt;&gt;"",$E789&gt;MIN($C789,IF($D789="",$C789,$D789))),COUNTIFS($A$2:$A$1001,$A789,$B$2:$B$1001,$B789)&gt;1),"INVALID",IFERROR(IF(IF(INDEX(Accounts!$T$2:$T$11,$F789),ROUND(IF($E789="",$C789,MIN($C789,$E789))-(H789),6)&lt;=0,ROUND(IF($E789="",$C789,MIN($C789,$E789))-(H789),6)&lt;0),"BREACHED","OK"),"INCOMPLETE")),"INVALID"))))</f>
        <v/>
      </c>
      <c r="J789" s="33">
        <f>IF(OR(I789="OK",I789="BREACHED"),-INT(ROUND(-(H789)*100,6))/100,I789)</f>
        <v/>
      </c>
    </row>
    <row r="790" ht="18" customHeight="1">
      <c r="A790" s="9" t="n"/>
      <c r="B790" s="32" t="n"/>
      <c r="C790" s="12" t="n"/>
      <c r="D790" s="12" t="n"/>
      <c r="E790" s="12" t="n"/>
      <c r="F790" s="15">
        <f>IFERROR(MATCH($A790,Accounts!$A$2:$A$11,0),"")</f>
        <v/>
      </c>
      <c r="G790" s="14">
        <f>IFERROR(IF(OR($A790="",$F790=""),"",IF(INDEX(Accounts!$P$2:$P$11,$F790)="static",INDEX(Accounts!$Q$2:$Q$11,$F790),IF(INDEX(Accounts!$P$2:$P$11,$F790)="eod_trailing",MAX(INDEX(Accounts!$Q$2:$Q$11,$F790),_xlfn.MAXIFS($C$2:$C$1001,$A$2:$A$1001,$A790,$B$2:$B$1001,"&lt;"&amp;$B790)),MAX(INDEX(Accounts!$Q$2:$Q$11,$F790),_xlfn.MAXIFS($C$2:$C$1001,$A$2:$A$1001,$A790,$B$2:$B$1001,"&lt;"&amp;$B790),_xlfn.MAXIFS($D$2:$D$1001,$A$2:$A$1001,$A790,$B$2:$B$1001,"&lt;="&amp;$B790),$C790)))),"")</f>
        <v/>
      </c>
      <c r="H790" s="15">
        <f>IFERROR(IF(G790="","",IF(INDEX(Accounts!$P$2:$P$11,$F790)="static",INDEX(Accounts!$Q$2:$Q$11,$F790)-INDEX(Accounts!$R$2:$R$11,$F790),IF(INDEX(Accounts!$S$2:$S$11,$F790)="NONE",G790-INDEX(Accounts!$R$2:$R$11,$F790),MIN(G790-INDEX(Accounts!$R$2:$R$11,$F790),INDEX(Accounts!$Q$2:$Q$11,$F790)+INDEX(Accounts!$S$2:$S$11,$F790))))),"")</f>
        <v/>
      </c>
      <c r="I790" s="16">
        <f>IF(AND($A790="",$B790="",$C790="",$D790="",$E790=""),"",IF(OR($A790="",$F790=""),"UNKNOWN_ACCOUNT",IF(OR($B790="",$C790=""),"INCOMPLETE",IFERROR(IF(OR(NOT(ISNUMBER($B790)),NOT(ISNUMBER($C790)),IF(C790="",FALSE,IF(ISNUMBER(C790),OR(C790&lt;=0,C790&gt;100000000,ROUND(C790*100,6)&lt;&gt;INT(ROUND(C790*100,6))),TRUE)),IF(D790="",FALSE,IF(ISNUMBER(D790),OR(D790&lt;=0,D790&gt;100000000,ROUND(D790*100,6)&lt;&gt;INT(ROUND(D790*100,6))),TRUE)),IF(E790="",FALSE,IF(ISNUMBER(E790),OR(E790&lt;=0,E790&gt;100000000,ROUND(E790*100,6)&lt;&gt;INT(ROUND(E790*100,6))),TRUE)),AND($D790&lt;&gt;"",$D790&lt;MAX($C790,$E790)),AND($E790&lt;&gt;"",$E790&gt;MIN($C790,IF($D790="",$C790,$D790))),COUNTIFS($A$2:$A$1001,$A790,$B$2:$B$1001,$B790)&gt;1),"INVALID",IFERROR(IF(IF(INDEX(Accounts!$T$2:$T$11,$F790),ROUND(IF($E790="",$C790,MIN($C790,$E790))-(H790),6)&lt;=0,ROUND(IF($E790="",$C790,MIN($C790,$E790))-(H790),6)&lt;0),"BREACHED","OK"),"INCOMPLETE")),"INVALID"))))</f>
        <v/>
      </c>
      <c r="J790" s="33">
        <f>IF(OR(I790="OK",I790="BREACHED"),-INT(ROUND(-(H790)*100,6))/100,I790)</f>
        <v/>
      </c>
    </row>
    <row r="791" ht="18" customHeight="1">
      <c r="A791" s="9" t="n"/>
      <c r="B791" s="32" t="n"/>
      <c r="C791" s="12" t="n"/>
      <c r="D791" s="12" t="n"/>
      <c r="E791" s="12" t="n"/>
      <c r="F791" s="15">
        <f>IFERROR(MATCH($A791,Accounts!$A$2:$A$11,0),"")</f>
        <v/>
      </c>
      <c r="G791" s="14">
        <f>IFERROR(IF(OR($A791="",$F791=""),"",IF(INDEX(Accounts!$P$2:$P$11,$F791)="static",INDEX(Accounts!$Q$2:$Q$11,$F791),IF(INDEX(Accounts!$P$2:$P$11,$F791)="eod_trailing",MAX(INDEX(Accounts!$Q$2:$Q$11,$F791),_xlfn.MAXIFS($C$2:$C$1001,$A$2:$A$1001,$A791,$B$2:$B$1001,"&lt;"&amp;$B791)),MAX(INDEX(Accounts!$Q$2:$Q$11,$F791),_xlfn.MAXIFS($C$2:$C$1001,$A$2:$A$1001,$A791,$B$2:$B$1001,"&lt;"&amp;$B791),_xlfn.MAXIFS($D$2:$D$1001,$A$2:$A$1001,$A791,$B$2:$B$1001,"&lt;="&amp;$B791),$C791)))),"")</f>
        <v/>
      </c>
      <c r="H791" s="15">
        <f>IFERROR(IF(G791="","",IF(INDEX(Accounts!$P$2:$P$11,$F791)="static",INDEX(Accounts!$Q$2:$Q$11,$F791)-INDEX(Accounts!$R$2:$R$11,$F791),IF(INDEX(Accounts!$S$2:$S$11,$F791)="NONE",G791-INDEX(Accounts!$R$2:$R$11,$F791),MIN(G791-INDEX(Accounts!$R$2:$R$11,$F791),INDEX(Accounts!$Q$2:$Q$11,$F791)+INDEX(Accounts!$S$2:$S$11,$F791))))),"")</f>
        <v/>
      </c>
      <c r="I791" s="16">
        <f>IF(AND($A791="",$B791="",$C791="",$D791="",$E791=""),"",IF(OR($A791="",$F791=""),"UNKNOWN_ACCOUNT",IF(OR($B791="",$C791=""),"INCOMPLETE",IFERROR(IF(OR(NOT(ISNUMBER($B791)),NOT(ISNUMBER($C791)),IF(C791="",FALSE,IF(ISNUMBER(C791),OR(C791&lt;=0,C791&gt;100000000,ROUND(C791*100,6)&lt;&gt;INT(ROUND(C791*100,6))),TRUE)),IF(D791="",FALSE,IF(ISNUMBER(D791),OR(D791&lt;=0,D791&gt;100000000,ROUND(D791*100,6)&lt;&gt;INT(ROUND(D791*100,6))),TRUE)),IF(E791="",FALSE,IF(ISNUMBER(E791),OR(E791&lt;=0,E791&gt;100000000,ROUND(E791*100,6)&lt;&gt;INT(ROUND(E791*100,6))),TRUE)),AND($D791&lt;&gt;"",$D791&lt;MAX($C791,$E791)),AND($E791&lt;&gt;"",$E791&gt;MIN($C791,IF($D791="",$C791,$D791))),COUNTIFS($A$2:$A$1001,$A791,$B$2:$B$1001,$B791)&gt;1),"INVALID",IFERROR(IF(IF(INDEX(Accounts!$T$2:$T$11,$F791),ROUND(IF($E791="",$C791,MIN($C791,$E791))-(H791),6)&lt;=0,ROUND(IF($E791="",$C791,MIN($C791,$E791))-(H791),6)&lt;0),"BREACHED","OK"),"INCOMPLETE")),"INVALID"))))</f>
        <v/>
      </c>
      <c r="J791" s="33">
        <f>IF(OR(I791="OK",I791="BREACHED"),-INT(ROUND(-(H791)*100,6))/100,I791)</f>
        <v/>
      </c>
    </row>
    <row r="792" ht="18" customHeight="1">
      <c r="A792" s="9" t="n"/>
      <c r="B792" s="32" t="n"/>
      <c r="C792" s="12" t="n"/>
      <c r="D792" s="12" t="n"/>
      <c r="E792" s="12" t="n"/>
      <c r="F792" s="15">
        <f>IFERROR(MATCH($A792,Accounts!$A$2:$A$11,0),"")</f>
        <v/>
      </c>
      <c r="G792" s="14">
        <f>IFERROR(IF(OR($A792="",$F792=""),"",IF(INDEX(Accounts!$P$2:$P$11,$F792)="static",INDEX(Accounts!$Q$2:$Q$11,$F792),IF(INDEX(Accounts!$P$2:$P$11,$F792)="eod_trailing",MAX(INDEX(Accounts!$Q$2:$Q$11,$F792),_xlfn.MAXIFS($C$2:$C$1001,$A$2:$A$1001,$A792,$B$2:$B$1001,"&lt;"&amp;$B792)),MAX(INDEX(Accounts!$Q$2:$Q$11,$F792),_xlfn.MAXIFS($C$2:$C$1001,$A$2:$A$1001,$A792,$B$2:$B$1001,"&lt;"&amp;$B792),_xlfn.MAXIFS($D$2:$D$1001,$A$2:$A$1001,$A792,$B$2:$B$1001,"&lt;="&amp;$B792),$C792)))),"")</f>
        <v/>
      </c>
      <c r="H792" s="15">
        <f>IFERROR(IF(G792="","",IF(INDEX(Accounts!$P$2:$P$11,$F792)="static",INDEX(Accounts!$Q$2:$Q$11,$F792)-INDEX(Accounts!$R$2:$R$11,$F792),IF(INDEX(Accounts!$S$2:$S$11,$F792)="NONE",G792-INDEX(Accounts!$R$2:$R$11,$F792),MIN(G792-INDEX(Accounts!$R$2:$R$11,$F792),INDEX(Accounts!$Q$2:$Q$11,$F792)+INDEX(Accounts!$S$2:$S$11,$F792))))),"")</f>
        <v/>
      </c>
      <c r="I792" s="16">
        <f>IF(AND($A792="",$B792="",$C792="",$D792="",$E792=""),"",IF(OR($A792="",$F792=""),"UNKNOWN_ACCOUNT",IF(OR($B792="",$C792=""),"INCOMPLETE",IFERROR(IF(OR(NOT(ISNUMBER($B792)),NOT(ISNUMBER($C792)),IF(C792="",FALSE,IF(ISNUMBER(C792),OR(C792&lt;=0,C792&gt;100000000,ROUND(C792*100,6)&lt;&gt;INT(ROUND(C792*100,6))),TRUE)),IF(D792="",FALSE,IF(ISNUMBER(D792),OR(D792&lt;=0,D792&gt;100000000,ROUND(D792*100,6)&lt;&gt;INT(ROUND(D792*100,6))),TRUE)),IF(E792="",FALSE,IF(ISNUMBER(E792),OR(E792&lt;=0,E792&gt;100000000,ROUND(E792*100,6)&lt;&gt;INT(ROUND(E792*100,6))),TRUE)),AND($D792&lt;&gt;"",$D792&lt;MAX($C792,$E792)),AND($E792&lt;&gt;"",$E792&gt;MIN($C792,IF($D792="",$C792,$D792))),COUNTIFS($A$2:$A$1001,$A792,$B$2:$B$1001,$B792)&gt;1),"INVALID",IFERROR(IF(IF(INDEX(Accounts!$T$2:$T$11,$F792),ROUND(IF($E792="",$C792,MIN($C792,$E792))-(H792),6)&lt;=0,ROUND(IF($E792="",$C792,MIN($C792,$E792))-(H792),6)&lt;0),"BREACHED","OK"),"INCOMPLETE")),"INVALID"))))</f>
        <v/>
      </c>
      <c r="J792" s="33">
        <f>IF(OR(I792="OK",I792="BREACHED"),-INT(ROUND(-(H792)*100,6))/100,I792)</f>
        <v/>
      </c>
    </row>
    <row r="793" ht="18" customHeight="1">
      <c r="A793" s="9" t="n"/>
      <c r="B793" s="32" t="n"/>
      <c r="C793" s="12" t="n"/>
      <c r="D793" s="12" t="n"/>
      <c r="E793" s="12" t="n"/>
      <c r="F793" s="15">
        <f>IFERROR(MATCH($A793,Accounts!$A$2:$A$11,0),"")</f>
        <v/>
      </c>
      <c r="G793" s="14">
        <f>IFERROR(IF(OR($A793="",$F793=""),"",IF(INDEX(Accounts!$P$2:$P$11,$F793)="static",INDEX(Accounts!$Q$2:$Q$11,$F793),IF(INDEX(Accounts!$P$2:$P$11,$F793)="eod_trailing",MAX(INDEX(Accounts!$Q$2:$Q$11,$F793),_xlfn.MAXIFS($C$2:$C$1001,$A$2:$A$1001,$A793,$B$2:$B$1001,"&lt;"&amp;$B793)),MAX(INDEX(Accounts!$Q$2:$Q$11,$F793),_xlfn.MAXIFS($C$2:$C$1001,$A$2:$A$1001,$A793,$B$2:$B$1001,"&lt;"&amp;$B793),_xlfn.MAXIFS($D$2:$D$1001,$A$2:$A$1001,$A793,$B$2:$B$1001,"&lt;="&amp;$B793),$C793)))),"")</f>
        <v/>
      </c>
      <c r="H793" s="15">
        <f>IFERROR(IF(G793="","",IF(INDEX(Accounts!$P$2:$P$11,$F793)="static",INDEX(Accounts!$Q$2:$Q$11,$F793)-INDEX(Accounts!$R$2:$R$11,$F793),IF(INDEX(Accounts!$S$2:$S$11,$F793)="NONE",G793-INDEX(Accounts!$R$2:$R$11,$F793),MIN(G793-INDEX(Accounts!$R$2:$R$11,$F793),INDEX(Accounts!$Q$2:$Q$11,$F793)+INDEX(Accounts!$S$2:$S$11,$F793))))),"")</f>
        <v/>
      </c>
      <c r="I793" s="16">
        <f>IF(AND($A793="",$B793="",$C793="",$D793="",$E793=""),"",IF(OR($A793="",$F793=""),"UNKNOWN_ACCOUNT",IF(OR($B793="",$C793=""),"INCOMPLETE",IFERROR(IF(OR(NOT(ISNUMBER($B793)),NOT(ISNUMBER($C793)),IF(C793="",FALSE,IF(ISNUMBER(C793),OR(C793&lt;=0,C793&gt;100000000,ROUND(C793*100,6)&lt;&gt;INT(ROUND(C793*100,6))),TRUE)),IF(D793="",FALSE,IF(ISNUMBER(D793),OR(D793&lt;=0,D793&gt;100000000,ROUND(D793*100,6)&lt;&gt;INT(ROUND(D793*100,6))),TRUE)),IF(E793="",FALSE,IF(ISNUMBER(E793),OR(E793&lt;=0,E793&gt;100000000,ROUND(E793*100,6)&lt;&gt;INT(ROUND(E793*100,6))),TRUE)),AND($D793&lt;&gt;"",$D793&lt;MAX($C793,$E793)),AND($E793&lt;&gt;"",$E793&gt;MIN($C793,IF($D793="",$C793,$D793))),COUNTIFS($A$2:$A$1001,$A793,$B$2:$B$1001,$B793)&gt;1),"INVALID",IFERROR(IF(IF(INDEX(Accounts!$T$2:$T$11,$F793),ROUND(IF($E793="",$C793,MIN($C793,$E793))-(H793),6)&lt;=0,ROUND(IF($E793="",$C793,MIN($C793,$E793))-(H793),6)&lt;0),"BREACHED","OK"),"INCOMPLETE")),"INVALID"))))</f>
        <v/>
      </c>
      <c r="J793" s="33">
        <f>IF(OR(I793="OK",I793="BREACHED"),-INT(ROUND(-(H793)*100,6))/100,I793)</f>
        <v/>
      </c>
    </row>
    <row r="794" ht="18" customHeight="1">
      <c r="A794" s="9" t="n"/>
      <c r="B794" s="32" t="n"/>
      <c r="C794" s="12" t="n"/>
      <c r="D794" s="12" t="n"/>
      <c r="E794" s="12" t="n"/>
      <c r="F794" s="15">
        <f>IFERROR(MATCH($A794,Accounts!$A$2:$A$11,0),"")</f>
        <v/>
      </c>
      <c r="G794" s="14">
        <f>IFERROR(IF(OR($A794="",$F794=""),"",IF(INDEX(Accounts!$P$2:$P$11,$F794)="static",INDEX(Accounts!$Q$2:$Q$11,$F794),IF(INDEX(Accounts!$P$2:$P$11,$F794)="eod_trailing",MAX(INDEX(Accounts!$Q$2:$Q$11,$F794),_xlfn.MAXIFS($C$2:$C$1001,$A$2:$A$1001,$A794,$B$2:$B$1001,"&lt;"&amp;$B794)),MAX(INDEX(Accounts!$Q$2:$Q$11,$F794),_xlfn.MAXIFS($C$2:$C$1001,$A$2:$A$1001,$A794,$B$2:$B$1001,"&lt;"&amp;$B794),_xlfn.MAXIFS($D$2:$D$1001,$A$2:$A$1001,$A794,$B$2:$B$1001,"&lt;="&amp;$B794),$C794)))),"")</f>
        <v/>
      </c>
      <c r="H794" s="15">
        <f>IFERROR(IF(G794="","",IF(INDEX(Accounts!$P$2:$P$11,$F794)="static",INDEX(Accounts!$Q$2:$Q$11,$F794)-INDEX(Accounts!$R$2:$R$11,$F794),IF(INDEX(Accounts!$S$2:$S$11,$F794)="NONE",G794-INDEX(Accounts!$R$2:$R$11,$F794),MIN(G794-INDEX(Accounts!$R$2:$R$11,$F794),INDEX(Accounts!$Q$2:$Q$11,$F794)+INDEX(Accounts!$S$2:$S$11,$F794))))),"")</f>
        <v/>
      </c>
      <c r="I794" s="16">
        <f>IF(AND($A794="",$B794="",$C794="",$D794="",$E794=""),"",IF(OR($A794="",$F794=""),"UNKNOWN_ACCOUNT",IF(OR($B794="",$C794=""),"INCOMPLETE",IFERROR(IF(OR(NOT(ISNUMBER($B794)),NOT(ISNUMBER($C794)),IF(C794="",FALSE,IF(ISNUMBER(C794),OR(C794&lt;=0,C794&gt;100000000,ROUND(C794*100,6)&lt;&gt;INT(ROUND(C794*100,6))),TRUE)),IF(D794="",FALSE,IF(ISNUMBER(D794),OR(D794&lt;=0,D794&gt;100000000,ROUND(D794*100,6)&lt;&gt;INT(ROUND(D794*100,6))),TRUE)),IF(E794="",FALSE,IF(ISNUMBER(E794),OR(E794&lt;=0,E794&gt;100000000,ROUND(E794*100,6)&lt;&gt;INT(ROUND(E794*100,6))),TRUE)),AND($D794&lt;&gt;"",$D794&lt;MAX($C794,$E794)),AND($E794&lt;&gt;"",$E794&gt;MIN($C794,IF($D794="",$C794,$D794))),COUNTIFS($A$2:$A$1001,$A794,$B$2:$B$1001,$B794)&gt;1),"INVALID",IFERROR(IF(IF(INDEX(Accounts!$T$2:$T$11,$F794),ROUND(IF($E794="",$C794,MIN($C794,$E794))-(H794),6)&lt;=0,ROUND(IF($E794="",$C794,MIN($C794,$E794))-(H794),6)&lt;0),"BREACHED","OK"),"INCOMPLETE")),"INVALID"))))</f>
        <v/>
      </c>
      <c r="J794" s="33">
        <f>IF(OR(I794="OK",I794="BREACHED"),-INT(ROUND(-(H794)*100,6))/100,I794)</f>
        <v/>
      </c>
    </row>
    <row r="795" ht="18" customHeight="1">
      <c r="A795" s="9" t="n"/>
      <c r="B795" s="32" t="n"/>
      <c r="C795" s="12" t="n"/>
      <c r="D795" s="12" t="n"/>
      <c r="E795" s="12" t="n"/>
      <c r="F795" s="15">
        <f>IFERROR(MATCH($A795,Accounts!$A$2:$A$11,0),"")</f>
        <v/>
      </c>
      <c r="G795" s="14">
        <f>IFERROR(IF(OR($A795="",$F795=""),"",IF(INDEX(Accounts!$P$2:$P$11,$F795)="static",INDEX(Accounts!$Q$2:$Q$11,$F795),IF(INDEX(Accounts!$P$2:$P$11,$F795)="eod_trailing",MAX(INDEX(Accounts!$Q$2:$Q$11,$F795),_xlfn.MAXIFS($C$2:$C$1001,$A$2:$A$1001,$A795,$B$2:$B$1001,"&lt;"&amp;$B795)),MAX(INDEX(Accounts!$Q$2:$Q$11,$F795),_xlfn.MAXIFS($C$2:$C$1001,$A$2:$A$1001,$A795,$B$2:$B$1001,"&lt;"&amp;$B795),_xlfn.MAXIFS($D$2:$D$1001,$A$2:$A$1001,$A795,$B$2:$B$1001,"&lt;="&amp;$B795),$C795)))),"")</f>
        <v/>
      </c>
      <c r="H795" s="15">
        <f>IFERROR(IF(G795="","",IF(INDEX(Accounts!$P$2:$P$11,$F795)="static",INDEX(Accounts!$Q$2:$Q$11,$F795)-INDEX(Accounts!$R$2:$R$11,$F795),IF(INDEX(Accounts!$S$2:$S$11,$F795)="NONE",G795-INDEX(Accounts!$R$2:$R$11,$F795),MIN(G795-INDEX(Accounts!$R$2:$R$11,$F795),INDEX(Accounts!$Q$2:$Q$11,$F795)+INDEX(Accounts!$S$2:$S$11,$F795))))),"")</f>
        <v/>
      </c>
      <c r="I795" s="16">
        <f>IF(AND($A795="",$B795="",$C795="",$D795="",$E795=""),"",IF(OR($A795="",$F795=""),"UNKNOWN_ACCOUNT",IF(OR($B795="",$C795=""),"INCOMPLETE",IFERROR(IF(OR(NOT(ISNUMBER($B795)),NOT(ISNUMBER($C795)),IF(C795="",FALSE,IF(ISNUMBER(C795),OR(C795&lt;=0,C795&gt;100000000,ROUND(C795*100,6)&lt;&gt;INT(ROUND(C795*100,6))),TRUE)),IF(D795="",FALSE,IF(ISNUMBER(D795),OR(D795&lt;=0,D795&gt;100000000,ROUND(D795*100,6)&lt;&gt;INT(ROUND(D795*100,6))),TRUE)),IF(E795="",FALSE,IF(ISNUMBER(E795),OR(E795&lt;=0,E795&gt;100000000,ROUND(E795*100,6)&lt;&gt;INT(ROUND(E795*100,6))),TRUE)),AND($D795&lt;&gt;"",$D795&lt;MAX($C795,$E795)),AND($E795&lt;&gt;"",$E795&gt;MIN($C795,IF($D795="",$C795,$D795))),COUNTIFS($A$2:$A$1001,$A795,$B$2:$B$1001,$B795)&gt;1),"INVALID",IFERROR(IF(IF(INDEX(Accounts!$T$2:$T$11,$F795),ROUND(IF($E795="",$C795,MIN($C795,$E795))-(H795),6)&lt;=0,ROUND(IF($E795="",$C795,MIN($C795,$E795))-(H795),6)&lt;0),"BREACHED","OK"),"INCOMPLETE")),"INVALID"))))</f>
        <v/>
      </c>
      <c r="J795" s="33">
        <f>IF(OR(I795="OK",I795="BREACHED"),-INT(ROUND(-(H795)*100,6))/100,I795)</f>
        <v/>
      </c>
    </row>
    <row r="796" ht="18" customHeight="1">
      <c r="A796" s="9" t="n"/>
      <c r="B796" s="32" t="n"/>
      <c r="C796" s="12" t="n"/>
      <c r="D796" s="12" t="n"/>
      <c r="E796" s="12" t="n"/>
      <c r="F796" s="15">
        <f>IFERROR(MATCH($A796,Accounts!$A$2:$A$11,0),"")</f>
        <v/>
      </c>
      <c r="G796" s="14">
        <f>IFERROR(IF(OR($A796="",$F796=""),"",IF(INDEX(Accounts!$P$2:$P$11,$F796)="static",INDEX(Accounts!$Q$2:$Q$11,$F796),IF(INDEX(Accounts!$P$2:$P$11,$F796)="eod_trailing",MAX(INDEX(Accounts!$Q$2:$Q$11,$F796),_xlfn.MAXIFS($C$2:$C$1001,$A$2:$A$1001,$A796,$B$2:$B$1001,"&lt;"&amp;$B796)),MAX(INDEX(Accounts!$Q$2:$Q$11,$F796),_xlfn.MAXIFS($C$2:$C$1001,$A$2:$A$1001,$A796,$B$2:$B$1001,"&lt;"&amp;$B796),_xlfn.MAXIFS($D$2:$D$1001,$A$2:$A$1001,$A796,$B$2:$B$1001,"&lt;="&amp;$B796),$C796)))),"")</f>
        <v/>
      </c>
      <c r="H796" s="15">
        <f>IFERROR(IF(G796="","",IF(INDEX(Accounts!$P$2:$P$11,$F796)="static",INDEX(Accounts!$Q$2:$Q$11,$F796)-INDEX(Accounts!$R$2:$R$11,$F796),IF(INDEX(Accounts!$S$2:$S$11,$F796)="NONE",G796-INDEX(Accounts!$R$2:$R$11,$F796),MIN(G796-INDEX(Accounts!$R$2:$R$11,$F796),INDEX(Accounts!$Q$2:$Q$11,$F796)+INDEX(Accounts!$S$2:$S$11,$F796))))),"")</f>
        <v/>
      </c>
      <c r="I796" s="16">
        <f>IF(AND($A796="",$B796="",$C796="",$D796="",$E796=""),"",IF(OR($A796="",$F796=""),"UNKNOWN_ACCOUNT",IF(OR($B796="",$C796=""),"INCOMPLETE",IFERROR(IF(OR(NOT(ISNUMBER($B796)),NOT(ISNUMBER($C796)),IF(C796="",FALSE,IF(ISNUMBER(C796),OR(C796&lt;=0,C796&gt;100000000,ROUND(C796*100,6)&lt;&gt;INT(ROUND(C796*100,6))),TRUE)),IF(D796="",FALSE,IF(ISNUMBER(D796),OR(D796&lt;=0,D796&gt;100000000,ROUND(D796*100,6)&lt;&gt;INT(ROUND(D796*100,6))),TRUE)),IF(E796="",FALSE,IF(ISNUMBER(E796),OR(E796&lt;=0,E796&gt;100000000,ROUND(E796*100,6)&lt;&gt;INT(ROUND(E796*100,6))),TRUE)),AND($D796&lt;&gt;"",$D796&lt;MAX($C796,$E796)),AND($E796&lt;&gt;"",$E796&gt;MIN($C796,IF($D796="",$C796,$D796))),COUNTIFS($A$2:$A$1001,$A796,$B$2:$B$1001,$B796)&gt;1),"INVALID",IFERROR(IF(IF(INDEX(Accounts!$T$2:$T$11,$F796),ROUND(IF($E796="",$C796,MIN($C796,$E796))-(H796),6)&lt;=0,ROUND(IF($E796="",$C796,MIN($C796,$E796))-(H796),6)&lt;0),"BREACHED","OK"),"INCOMPLETE")),"INVALID"))))</f>
        <v/>
      </c>
      <c r="J796" s="33">
        <f>IF(OR(I796="OK",I796="BREACHED"),-INT(ROUND(-(H796)*100,6))/100,I796)</f>
        <v/>
      </c>
    </row>
    <row r="797" ht="18" customHeight="1">
      <c r="A797" s="9" t="n"/>
      <c r="B797" s="32" t="n"/>
      <c r="C797" s="12" t="n"/>
      <c r="D797" s="12" t="n"/>
      <c r="E797" s="12" t="n"/>
      <c r="F797" s="15">
        <f>IFERROR(MATCH($A797,Accounts!$A$2:$A$11,0),"")</f>
        <v/>
      </c>
      <c r="G797" s="14">
        <f>IFERROR(IF(OR($A797="",$F797=""),"",IF(INDEX(Accounts!$P$2:$P$11,$F797)="static",INDEX(Accounts!$Q$2:$Q$11,$F797),IF(INDEX(Accounts!$P$2:$P$11,$F797)="eod_trailing",MAX(INDEX(Accounts!$Q$2:$Q$11,$F797),_xlfn.MAXIFS($C$2:$C$1001,$A$2:$A$1001,$A797,$B$2:$B$1001,"&lt;"&amp;$B797)),MAX(INDEX(Accounts!$Q$2:$Q$11,$F797),_xlfn.MAXIFS($C$2:$C$1001,$A$2:$A$1001,$A797,$B$2:$B$1001,"&lt;"&amp;$B797),_xlfn.MAXIFS($D$2:$D$1001,$A$2:$A$1001,$A797,$B$2:$B$1001,"&lt;="&amp;$B797),$C797)))),"")</f>
        <v/>
      </c>
      <c r="H797" s="15">
        <f>IFERROR(IF(G797="","",IF(INDEX(Accounts!$P$2:$P$11,$F797)="static",INDEX(Accounts!$Q$2:$Q$11,$F797)-INDEX(Accounts!$R$2:$R$11,$F797),IF(INDEX(Accounts!$S$2:$S$11,$F797)="NONE",G797-INDEX(Accounts!$R$2:$R$11,$F797),MIN(G797-INDEX(Accounts!$R$2:$R$11,$F797),INDEX(Accounts!$Q$2:$Q$11,$F797)+INDEX(Accounts!$S$2:$S$11,$F797))))),"")</f>
        <v/>
      </c>
      <c r="I797" s="16">
        <f>IF(AND($A797="",$B797="",$C797="",$D797="",$E797=""),"",IF(OR($A797="",$F797=""),"UNKNOWN_ACCOUNT",IF(OR($B797="",$C797=""),"INCOMPLETE",IFERROR(IF(OR(NOT(ISNUMBER($B797)),NOT(ISNUMBER($C797)),IF(C797="",FALSE,IF(ISNUMBER(C797),OR(C797&lt;=0,C797&gt;100000000,ROUND(C797*100,6)&lt;&gt;INT(ROUND(C797*100,6))),TRUE)),IF(D797="",FALSE,IF(ISNUMBER(D797),OR(D797&lt;=0,D797&gt;100000000,ROUND(D797*100,6)&lt;&gt;INT(ROUND(D797*100,6))),TRUE)),IF(E797="",FALSE,IF(ISNUMBER(E797),OR(E797&lt;=0,E797&gt;100000000,ROUND(E797*100,6)&lt;&gt;INT(ROUND(E797*100,6))),TRUE)),AND($D797&lt;&gt;"",$D797&lt;MAX($C797,$E797)),AND($E797&lt;&gt;"",$E797&gt;MIN($C797,IF($D797="",$C797,$D797))),COUNTIFS($A$2:$A$1001,$A797,$B$2:$B$1001,$B797)&gt;1),"INVALID",IFERROR(IF(IF(INDEX(Accounts!$T$2:$T$11,$F797),ROUND(IF($E797="",$C797,MIN($C797,$E797))-(H797),6)&lt;=0,ROUND(IF($E797="",$C797,MIN($C797,$E797))-(H797),6)&lt;0),"BREACHED","OK"),"INCOMPLETE")),"INVALID"))))</f>
        <v/>
      </c>
      <c r="J797" s="33">
        <f>IF(OR(I797="OK",I797="BREACHED"),-INT(ROUND(-(H797)*100,6))/100,I797)</f>
        <v/>
      </c>
    </row>
    <row r="798" ht="18" customHeight="1">
      <c r="A798" s="9" t="n"/>
      <c r="B798" s="32" t="n"/>
      <c r="C798" s="12" t="n"/>
      <c r="D798" s="12" t="n"/>
      <c r="E798" s="12" t="n"/>
      <c r="F798" s="15">
        <f>IFERROR(MATCH($A798,Accounts!$A$2:$A$11,0),"")</f>
        <v/>
      </c>
      <c r="G798" s="14">
        <f>IFERROR(IF(OR($A798="",$F798=""),"",IF(INDEX(Accounts!$P$2:$P$11,$F798)="static",INDEX(Accounts!$Q$2:$Q$11,$F798),IF(INDEX(Accounts!$P$2:$P$11,$F798)="eod_trailing",MAX(INDEX(Accounts!$Q$2:$Q$11,$F798),_xlfn.MAXIFS($C$2:$C$1001,$A$2:$A$1001,$A798,$B$2:$B$1001,"&lt;"&amp;$B798)),MAX(INDEX(Accounts!$Q$2:$Q$11,$F798),_xlfn.MAXIFS($C$2:$C$1001,$A$2:$A$1001,$A798,$B$2:$B$1001,"&lt;"&amp;$B798),_xlfn.MAXIFS($D$2:$D$1001,$A$2:$A$1001,$A798,$B$2:$B$1001,"&lt;="&amp;$B798),$C798)))),"")</f>
        <v/>
      </c>
      <c r="H798" s="15">
        <f>IFERROR(IF(G798="","",IF(INDEX(Accounts!$P$2:$P$11,$F798)="static",INDEX(Accounts!$Q$2:$Q$11,$F798)-INDEX(Accounts!$R$2:$R$11,$F798),IF(INDEX(Accounts!$S$2:$S$11,$F798)="NONE",G798-INDEX(Accounts!$R$2:$R$11,$F798),MIN(G798-INDEX(Accounts!$R$2:$R$11,$F798),INDEX(Accounts!$Q$2:$Q$11,$F798)+INDEX(Accounts!$S$2:$S$11,$F798))))),"")</f>
        <v/>
      </c>
      <c r="I798" s="16">
        <f>IF(AND($A798="",$B798="",$C798="",$D798="",$E798=""),"",IF(OR($A798="",$F798=""),"UNKNOWN_ACCOUNT",IF(OR($B798="",$C798=""),"INCOMPLETE",IFERROR(IF(OR(NOT(ISNUMBER($B798)),NOT(ISNUMBER($C798)),IF(C798="",FALSE,IF(ISNUMBER(C798),OR(C798&lt;=0,C798&gt;100000000,ROUND(C798*100,6)&lt;&gt;INT(ROUND(C798*100,6))),TRUE)),IF(D798="",FALSE,IF(ISNUMBER(D798),OR(D798&lt;=0,D798&gt;100000000,ROUND(D798*100,6)&lt;&gt;INT(ROUND(D798*100,6))),TRUE)),IF(E798="",FALSE,IF(ISNUMBER(E798),OR(E798&lt;=0,E798&gt;100000000,ROUND(E798*100,6)&lt;&gt;INT(ROUND(E798*100,6))),TRUE)),AND($D798&lt;&gt;"",$D798&lt;MAX($C798,$E798)),AND($E798&lt;&gt;"",$E798&gt;MIN($C798,IF($D798="",$C798,$D798))),COUNTIFS($A$2:$A$1001,$A798,$B$2:$B$1001,$B798)&gt;1),"INVALID",IFERROR(IF(IF(INDEX(Accounts!$T$2:$T$11,$F798),ROUND(IF($E798="",$C798,MIN($C798,$E798))-(H798),6)&lt;=0,ROUND(IF($E798="",$C798,MIN($C798,$E798))-(H798),6)&lt;0),"BREACHED","OK"),"INCOMPLETE")),"INVALID"))))</f>
        <v/>
      </c>
      <c r="J798" s="33">
        <f>IF(OR(I798="OK",I798="BREACHED"),-INT(ROUND(-(H798)*100,6))/100,I798)</f>
        <v/>
      </c>
    </row>
    <row r="799" ht="18" customHeight="1">
      <c r="A799" s="9" t="n"/>
      <c r="B799" s="32" t="n"/>
      <c r="C799" s="12" t="n"/>
      <c r="D799" s="12" t="n"/>
      <c r="E799" s="12" t="n"/>
      <c r="F799" s="15">
        <f>IFERROR(MATCH($A799,Accounts!$A$2:$A$11,0),"")</f>
        <v/>
      </c>
      <c r="G799" s="14">
        <f>IFERROR(IF(OR($A799="",$F799=""),"",IF(INDEX(Accounts!$P$2:$P$11,$F799)="static",INDEX(Accounts!$Q$2:$Q$11,$F799),IF(INDEX(Accounts!$P$2:$P$11,$F799)="eod_trailing",MAX(INDEX(Accounts!$Q$2:$Q$11,$F799),_xlfn.MAXIFS($C$2:$C$1001,$A$2:$A$1001,$A799,$B$2:$B$1001,"&lt;"&amp;$B799)),MAX(INDEX(Accounts!$Q$2:$Q$11,$F799),_xlfn.MAXIFS($C$2:$C$1001,$A$2:$A$1001,$A799,$B$2:$B$1001,"&lt;"&amp;$B799),_xlfn.MAXIFS($D$2:$D$1001,$A$2:$A$1001,$A799,$B$2:$B$1001,"&lt;="&amp;$B799),$C799)))),"")</f>
        <v/>
      </c>
      <c r="H799" s="15">
        <f>IFERROR(IF(G799="","",IF(INDEX(Accounts!$P$2:$P$11,$F799)="static",INDEX(Accounts!$Q$2:$Q$11,$F799)-INDEX(Accounts!$R$2:$R$11,$F799),IF(INDEX(Accounts!$S$2:$S$11,$F799)="NONE",G799-INDEX(Accounts!$R$2:$R$11,$F799),MIN(G799-INDEX(Accounts!$R$2:$R$11,$F799),INDEX(Accounts!$Q$2:$Q$11,$F799)+INDEX(Accounts!$S$2:$S$11,$F799))))),"")</f>
        <v/>
      </c>
      <c r="I799" s="16">
        <f>IF(AND($A799="",$B799="",$C799="",$D799="",$E799=""),"",IF(OR($A799="",$F799=""),"UNKNOWN_ACCOUNT",IF(OR($B799="",$C799=""),"INCOMPLETE",IFERROR(IF(OR(NOT(ISNUMBER($B799)),NOT(ISNUMBER($C799)),IF(C799="",FALSE,IF(ISNUMBER(C799),OR(C799&lt;=0,C799&gt;100000000,ROUND(C799*100,6)&lt;&gt;INT(ROUND(C799*100,6))),TRUE)),IF(D799="",FALSE,IF(ISNUMBER(D799),OR(D799&lt;=0,D799&gt;100000000,ROUND(D799*100,6)&lt;&gt;INT(ROUND(D799*100,6))),TRUE)),IF(E799="",FALSE,IF(ISNUMBER(E799),OR(E799&lt;=0,E799&gt;100000000,ROUND(E799*100,6)&lt;&gt;INT(ROUND(E799*100,6))),TRUE)),AND($D799&lt;&gt;"",$D799&lt;MAX($C799,$E799)),AND($E799&lt;&gt;"",$E799&gt;MIN($C799,IF($D799="",$C799,$D799))),COUNTIFS($A$2:$A$1001,$A799,$B$2:$B$1001,$B799)&gt;1),"INVALID",IFERROR(IF(IF(INDEX(Accounts!$T$2:$T$11,$F799),ROUND(IF($E799="",$C799,MIN($C799,$E799))-(H799),6)&lt;=0,ROUND(IF($E799="",$C799,MIN($C799,$E799))-(H799),6)&lt;0),"BREACHED","OK"),"INCOMPLETE")),"INVALID"))))</f>
        <v/>
      </c>
      <c r="J799" s="33">
        <f>IF(OR(I799="OK",I799="BREACHED"),-INT(ROUND(-(H799)*100,6))/100,I799)</f>
        <v/>
      </c>
    </row>
    <row r="800" ht="18" customHeight="1">
      <c r="A800" s="9" t="n"/>
      <c r="B800" s="32" t="n"/>
      <c r="C800" s="12" t="n"/>
      <c r="D800" s="12" t="n"/>
      <c r="E800" s="12" t="n"/>
      <c r="F800" s="15">
        <f>IFERROR(MATCH($A800,Accounts!$A$2:$A$11,0),"")</f>
        <v/>
      </c>
      <c r="G800" s="14">
        <f>IFERROR(IF(OR($A800="",$F800=""),"",IF(INDEX(Accounts!$P$2:$P$11,$F800)="static",INDEX(Accounts!$Q$2:$Q$11,$F800),IF(INDEX(Accounts!$P$2:$P$11,$F800)="eod_trailing",MAX(INDEX(Accounts!$Q$2:$Q$11,$F800),_xlfn.MAXIFS($C$2:$C$1001,$A$2:$A$1001,$A800,$B$2:$B$1001,"&lt;"&amp;$B800)),MAX(INDEX(Accounts!$Q$2:$Q$11,$F800),_xlfn.MAXIFS($C$2:$C$1001,$A$2:$A$1001,$A800,$B$2:$B$1001,"&lt;"&amp;$B800),_xlfn.MAXIFS($D$2:$D$1001,$A$2:$A$1001,$A800,$B$2:$B$1001,"&lt;="&amp;$B800),$C800)))),"")</f>
        <v/>
      </c>
      <c r="H800" s="15">
        <f>IFERROR(IF(G800="","",IF(INDEX(Accounts!$P$2:$P$11,$F800)="static",INDEX(Accounts!$Q$2:$Q$11,$F800)-INDEX(Accounts!$R$2:$R$11,$F800),IF(INDEX(Accounts!$S$2:$S$11,$F800)="NONE",G800-INDEX(Accounts!$R$2:$R$11,$F800),MIN(G800-INDEX(Accounts!$R$2:$R$11,$F800),INDEX(Accounts!$Q$2:$Q$11,$F800)+INDEX(Accounts!$S$2:$S$11,$F800))))),"")</f>
        <v/>
      </c>
      <c r="I800" s="16">
        <f>IF(AND($A800="",$B800="",$C800="",$D800="",$E800=""),"",IF(OR($A800="",$F800=""),"UNKNOWN_ACCOUNT",IF(OR($B800="",$C800=""),"INCOMPLETE",IFERROR(IF(OR(NOT(ISNUMBER($B800)),NOT(ISNUMBER($C800)),IF(C800="",FALSE,IF(ISNUMBER(C800),OR(C800&lt;=0,C800&gt;100000000,ROUND(C800*100,6)&lt;&gt;INT(ROUND(C800*100,6))),TRUE)),IF(D800="",FALSE,IF(ISNUMBER(D800),OR(D800&lt;=0,D800&gt;100000000,ROUND(D800*100,6)&lt;&gt;INT(ROUND(D800*100,6))),TRUE)),IF(E800="",FALSE,IF(ISNUMBER(E800),OR(E800&lt;=0,E800&gt;100000000,ROUND(E800*100,6)&lt;&gt;INT(ROUND(E800*100,6))),TRUE)),AND($D800&lt;&gt;"",$D800&lt;MAX($C800,$E800)),AND($E800&lt;&gt;"",$E800&gt;MIN($C800,IF($D800="",$C800,$D800))),COUNTIFS($A$2:$A$1001,$A800,$B$2:$B$1001,$B800)&gt;1),"INVALID",IFERROR(IF(IF(INDEX(Accounts!$T$2:$T$11,$F800),ROUND(IF($E800="",$C800,MIN($C800,$E800))-(H800),6)&lt;=0,ROUND(IF($E800="",$C800,MIN($C800,$E800))-(H800),6)&lt;0),"BREACHED","OK"),"INCOMPLETE")),"INVALID"))))</f>
        <v/>
      </c>
      <c r="J800" s="33">
        <f>IF(OR(I800="OK",I800="BREACHED"),-INT(ROUND(-(H800)*100,6))/100,I800)</f>
        <v/>
      </c>
    </row>
    <row r="801" ht="18" customHeight="1">
      <c r="A801" s="9" t="n"/>
      <c r="B801" s="32" t="n"/>
      <c r="C801" s="12" t="n"/>
      <c r="D801" s="12" t="n"/>
      <c r="E801" s="12" t="n"/>
      <c r="F801" s="15">
        <f>IFERROR(MATCH($A801,Accounts!$A$2:$A$11,0),"")</f>
        <v/>
      </c>
      <c r="G801" s="14">
        <f>IFERROR(IF(OR($A801="",$F801=""),"",IF(INDEX(Accounts!$P$2:$P$11,$F801)="static",INDEX(Accounts!$Q$2:$Q$11,$F801),IF(INDEX(Accounts!$P$2:$P$11,$F801)="eod_trailing",MAX(INDEX(Accounts!$Q$2:$Q$11,$F801),_xlfn.MAXIFS($C$2:$C$1001,$A$2:$A$1001,$A801,$B$2:$B$1001,"&lt;"&amp;$B801)),MAX(INDEX(Accounts!$Q$2:$Q$11,$F801),_xlfn.MAXIFS($C$2:$C$1001,$A$2:$A$1001,$A801,$B$2:$B$1001,"&lt;"&amp;$B801),_xlfn.MAXIFS($D$2:$D$1001,$A$2:$A$1001,$A801,$B$2:$B$1001,"&lt;="&amp;$B801),$C801)))),"")</f>
        <v/>
      </c>
      <c r="H801" s="15">
        <f>IFERROR(IF(G801="","",IF(INDEX(Accounts!$P$2:$P$11,$F801)="static",INDEX(Accounts!$Q$2:$Q$11,$F801)-INDEX(Accounts!$R$2:$R$11,$F801),IF(INDEX(Accounts!$S$2:$S$11,$F801)="NONE",G801-INDEX(Accounts!$R$2:$R$11,$F801),MIN(G801-INDEX(Accounts!$R$2:$R$11,$F801),INDEX(Accounts!$Q$2:$Q$11,$F801)+INDEX(Accounts!$S$2:$S$11,$F801))))),"")</f>
        <v/>
      </c>
      <c r="I801" s="16">
        <f>IF(AND($A801="",$B801="",$C801="",$D801="",$E801=""),"",IF(OR($A801="",$F801=""),"UNKNOWN_ACCOUNT",IF(OR($B801="",$C801=""),"INCOMPLETE",IFERROR(IF(OR(NOT(ISNUMBER($B801)),NOT(ISNUMBER($C801)),IF(C801="",FALSE,IF(ISNUMBER(C801),OR(C801&lt;=0,C801&gt;100000000,ROUND(C801*100,6)&lt;&gt;INT(ROUND(C801*100,6))),TRUE)),IF(D801="",FALSE,IF(ISNUMBER(D801),OR(D801&lt;=0,D801&gt;100000000,ROUND(D801*100,6)&lt;&gt;INT(ROUND(D801*100,6))),TRUE)),IF(E801="",FALSE,IF(ISNUMBER(E801),OR(E801&lt;=0,E801&gt;100000000,ROUND(E801*100,6)&lt;&gt;INT(ROUND(E801*100,6))),TRUE)),AND($D801&lt;&gt;"",$D801&lt;MAX($C801,$E801)),AND($E801&lt;&gt;"",$E801&gt;MIN($C801,IF($D801="",$C801,$D801))),COUNTIFS($A$2:$A$1001,$A801,$B$2:$B$1001,$B801)&gt;1),"INVALID",IFERROR(IF(IF(INDEX(Accounts!$T$2:$T$11,$F801),ROUND(IF($E801="",$C801,MIN($C801,$E801))-(H801),6)&lt;=0,ROUND(IF($E801="",$C801,MIN($C801,$E801))-(H801),6)&lt;0),"BREACHED","OK"),"INCOMPLETE")),"INVALID"))))</f>
        <v/>
      </c>
      <c r="J801" s="33">
        <f>IF(OR(I801="OK",I801="BREACHED"),-INT(ROUND(-(H801)*100,6))/100,I801)</f>
        <v/>
      </c>
    </row>
    <row r="802" ht="18" customHeight="1">
      <c r="A802" s="9" t="n"/>
      <c r="B802" s="32" t="n"/>
      <c r="C802" s="12" t="n"/>
      <c r="D802" s="12" t="n"/>
      <c r="E802" s="12" t="n"/>
      <c r="F802" s="15">
        <f>IFERROR(MATCH($A802,Accounts!$A$2:$A$11,0),"")</f>
        <v/>
      </c>
      <c r="G802" s="14">
        <f>IFERROR(IF(OR($A802="",$F802=""),"",IF(INDEX(Accounts!$P$2:$P$11,$F802)="static",INDEX(Accounts!$Q$2:$Q$11,$F802),IF(INDEX(Accounts!$P$2:$P$11,$F802)="eod_trailing",MAX(INDEX(Accounts!$Q$2:$Q$11,$F802),_xlfn.MAXIFS($C$2:$C$1001,$A$2:$A$1001,$A802,$B$2:$B$1001,"&lt;"&amp;$B802)),MAX(INDEX(Accounts!$Q$2:$Q$11,$F802),_xlfn.MAXIFS($C$2:$C$1001,$A$2:$A$1001,$A802,$B$2:$B$1001,"&lt;"&amp;$B802),_xlfn.MAXIFS($D$2:$D$1001,$A$2:$A$1001,$A802,$B$2:$B$1001,"&lt;="&amp;$B802),$C802)))),"")</f>
        <v/>
      </c>
      <c r="H802" s="15">
        <f>IFERROR(IF(G802="","",IF(INDEX(Accounts!$P$2:$P$11,$F802)="static",INDEX(Accounts!$Q$2:$Q$11,$F802)-INDEX(Accounts!$R$2:$R$11,$F802),IF(INDEX(Accounts!$S$2:$S$11,$F802)="NONE",G802-INDEX(Accounts!$R$2:$R$11,$F802),MIN(G802-INDEX(Accounts!$R$2:$R$11,$F802),INDEX(Accounts!$Q$2:$Q$11,$F802)+INDEX(Accounts!$S$2:$S$11,$F802))))),"")</f>
        <v/>
      </c>
      <c r="I802" s="16">
        <f>IF(AND($A802="",$B802="",$C802="",$D802="",$E802=""),"",IF(OR($A802="",$F802=""),"UNKNOWN_ACCOUNT",IF(OR($B802="",$C802=""),"INCOMPLETE",IFERROR(IF(OR(NOT(ISNUMBER($B802)),NOT(ISNUMBER($C802)),IF(C802="",FALSE,IF(ISNUMBER(C802),OR(C802&lt;=0,C802&gt;100000000,ROUND(C802*100,6)&lt;&gt;INT(ROUND(C802*100,6))),TRUE)),IF(D802="",FALSE,IF(ISNUMBER(D802),OR(D802&lt;=0,D802&gt;100000000,ROUND(D802*100,6)&lt;&gt;INT(ROUND(D802*100,6))),TRUE)),IF(E802="",FALSE,IF(ISNUMBER(E802),OR(E802&lt;=0,E802&gt;100000000,ROUND(E802*100,6)&lt;&gt;INT(ROUND(E802*100,6))),TRUE)),AND($D802&lt;&gt;"",$D802&lt;MAX($C802,$E802)),AND($E802&lt;&gt;"",$E802&gt;MIN($C802,IF($D802="",$C802,$D802))),COUNTIFS($A$2:$A$1001,$A802,$B$2:$B$1001,$B802)&gt;1),"INVALID",IFERROR(IF(IF(INDEX(Accounts!$T$2:$T$11,$F802),ROUND(IF($E802="",$C802,MIN($C802,$E802))-(H802),6)&lt;=0,ROUND(IF($E802="",$C802,MIN($C802,$E802))-(H802),6)&lt;0),"BREACHED","OK"),"INCOMPLETE")),"INVALID"))))</f>
        <v/>
      </c>
      <c r="J802" s="33">
        <f>IF(OR(I802="OK",I802="BREACHED"),-INT(ROUND(-(H802)*100,6))/100,I802)</f>
        <v/>
      </c>
    </row>
    <row r="803" ht="18" customHeight="1">
      <c r="A803" s="9" t="n"/>
      <c r="B803" s="32" t="n"/>
      <c r="C803" s="12" t="n"/>
      <c r="D803" s="12" t="n"/>
      <c r="E803" s="12" t="n"/>
      <c r="F803" s="15">
        <f>IFERROR(MATCH($A803,Accounts!$A$2:$A$11,0),"")</f>
        <v/>
      </c>
      <c r="G803" s="14">
        <f>IFERROR(IF(OR($A803="",$F803=""),"",IF(INDEX(Accounts!$P$2:$P$11,$F803)="static",INDEX(Accounts!$Q$2:$Q$11,$F803),IF(INDEX(Accounts!$P$2:$P$11,$F803)="eod_trailing",MAX(INDEX(Accounts!$Q$2:$Q$11,$F803),_xlfn.MAXIFS($C$2:$C$1001,$A$2:$A$1001,$A803,$B$2:$B$1001,"&lt;"&amp;$B803)),MAX(INDEX(Accounts!$Q$2:$Q$11,$F803),_xlfn.MAXIFS($C$2:$C$1001,$A$2:$A$1001,$A803,$B$2:$B$1001,"&lt;"&amp;$B803),_xlfn.MAXIFS($D$2:$D$1001,$A$2:$A$1001,$A803,$B$2:$B$1001,"&lt;="&amp;$B803),$C803)))),"")</f>
        <v/>
      </c>
      <c r="H803" s="15">
        <f>IFERROR(IF(G803="","",IF(INDEX(Accounts!$P$2:$P$11,$F803)="static",INDEX(Accounts!$Q$2:$Q$11,$F803)-INDEX(Accounts!$R$2:$R$11,$F803),IF(INDEX(Accounts!$S$2:$S$11,$F803)="NONE",G803-INDEX(Accounts!$R$2:$R$11,$F803),MIN(G803-INDEX(Accounts!$R$2:$R$11,$F803),INDEX(Accounts!$Q$2:$Q$11,$F803)+INDEX(Accounts!$S$2:$S$11,$F803))))),"")</f>
        <v/>
      </c>
      <c r="I803" s="16">
        <f>IF(AND($A803="",$B803="",$C803="",$D803="",$E803=""),"",IF(OR($A803="",$F803=""),"UNKNOWN_ACCOUNT",IF(OR($B803="",$C803=""),"INCOMPLETE",IFERROR(IF(OR(NOT(ISNUMBER($B803)),NOT(ISNUMBER($C803)),IF(C803="",FALSE,IF(ISNUMBER(C803),OR(C803&lt;=0,C803&gt;100000000,ROUND(C803*100,6)&lt;&gt;INT(ROUND(C803*100,6))),TRUE)),IF(D803="",FALSE,IF(ISNUMBER(D803),OR(D803&lt;=0,D803&gt;100000000,ROUND(D803*100,6)&lt;&gt;INT(ROUND(D803*100,6))),TRUE)),IF(E803="",FALSE,IF(ISNUMBER(E803),OR(E803&lt;=0,E803&gt;100000000,ROUND(E803*100,6)&lt;&gt;INT(ROUND(E803*100,6))),TRUE)),AND($D803&lt;&gt;"",$D803&lt;MAX($C803,$E803)),AND($E803&lt;&gt;"",$E803&gt;MIN($C803,IF($D803="",$C803,$D803))),COUNTIFS($A$2:$A$1001,$A803,$B$2:$B$1001,$B803)&gt;1),"INVALID",IFERROR(IF(IF(INDEX(Accounts!$T$2:$T$11,$F803),ROUND(IF($E803="",$C803,MIN($C803,$E803))-(H803),6)&lt;=0,ROUND(IF($E803="",$C803,MIN($C803,$E803))-(H803),6)&lt;0),"BREACHED","OK"),"INCOMPLETE")),"INVALID"))))</f>
        <v/>
      </c>
      <c r="J803" s="33">
        <f>IF(OR(I803="OK",I803="BREACHED"),-INT(ROUND(-(H803)*100,6))/100,I803)</f>
        <v/>
      </c>
    </row>
    <row r="804" ht="18" customHeight="1">
      <c r="A804" s="9" t="n"/>
      <c r="B804" s="32" t="n"/>
      <c r="C804" s="12" t="n"/>
      <c r="D804" s="12" t="n"/>
      <c r="E804" s="12" t="n"/>
      <c r="F804" s="15">
        <f>IFERROR(MATCH($A804,Accounts!$A$2:$A$11,0),"")</f>
        <v/>
      </c>
      <c r="G804" s="14">
        <f>IFERROR(IF(OR($A804="",$F804=""),"",IF(INDEX(Accounts!$P$2:$P$11,$F804)="static",INDEX(Accounts!$Q$2:$Q$11,$F804),IF(INDEX(Accounts!$P$2:$P$11,$F804)="eod_trailing",MAX(INDEX(Accounts!$Q$2:$Q$11,$F804),_xlfn.MAXIFS($C$2:$C$1001,$A$2:$A$1001,$A804,$B$2:$B$1001,"&lt;"&amp;$B804)),MAX(INDEX(Accounts!$Q$2:$Q$11,$F804),_xlfn.MAXIFS($C$2:$C$1001,$A$2:$A$1001,$A804,$B$2:$B$1001,"&lt;"&amp;$B804),_xlfn.MAXIFS($D$2:$D$1001,$A$2:$A$1001,$A804,$B$2:$B$1001,"&lt;="&amp;$B804),$C804)))),"")</f>
        <v/>
      </c>
      <c r="H804" s="15">
        <f>IFERROR(IF(G804="","",IF(INDEX(Accounts!$P$2:$P$11,$F804)="static",INDEX(Accounts!$Q$2:$Q$11,$F804)-INDEX(Accounts!$R$2:$R$11,$F804),IF(INDEX(Accounts!$S$2:$S$11,$F804)="NONE",G804-INDEX(Accounts!$R$2:$R$11,$F804),MIN(G804-INDEX(Accounts!$R$2:$R$11,$F804),INDEX(Accounts!$Q$2:$Q$11,$F804)+INDEX(Accounts!$S$2:$S$11,$F804))))),"")</f>
        <v/>
      </c>
      <c r="I804" s="16">
        <f>IF(AND($A804="",$B804="",$C804="",$D804="",$E804=""),"",IF(OR($A804="",$F804=""),"UNKNOWN_ACCOUNT",IF(OR($B804="",$C804=""),"INCOMPLETE",IFERROR(IF(OR(NOT(ISNUMBER($B804)),NOT(ISNUMBER($C804)),IF(C804="",FALSE,IF(ISNUMBER(C804),OR(C804&lt;=0,C804&gt;100000000,ROUND(C804*100,6)&lt;&gt;INT(ROUND(C804*100,6))),TRUE)),IF(D804="",FALSE,IF(ISNUMBER(D804),OR(D804&lt;=0,D804&gt;100000000,ROUND(D804*100,6)&lt;&gt;INT(ROUND(D804*100,6))),TRUE)),IF(E804="",FALSE,IF(ISNUMBER(E804),OR(E804&lt;=0,E804&gt;100000000,ROUND(E804*100,6)&lt;&gt;INT(ROUND(E804*100,6))),TRUE)),AND($D804&lt;&gt;"",$D804&lt;MAX($C804,$E804)),AND($E804&lt;&gt;"",$E804&gt;MIN($C804,IF($D804="",$C804,$D804))),COUNTIFS($A$2:$A$1001,$A804,$B$2:$B$1001,$B804)&gt;1),"INVALID",IFERROR(IF(IF(INDEX(Accounts!$T$2:$T$11,$F804),ROUND(IF($E804="",$C804,MIN($C804,$E804))-(H804),6)&lt;=0,ROUND(IF($E804="",$C804,MIN($C804,$E804))-(H804),6)&lt;0),"BREACHED","OK"),"INCOMPLETE")),"INVALID"))))</f>
        <v/>
      </c>
      <c r="J804" s="33">
        <f>IF(OR(I804="OK",I804="BREACHED"),-INT(ROUND(-(H804)*100,6))/100,I804)</f>
        <v/>
      </c>
    </row>
    <row r="805" ht="18" customHeight="1">
      <c r="A805" s="9" t="n"/>
      <c r="B805" s="32" t="n"/>
      <c r="C805" s="12" t="n"/>
      <c r="D805" s="12" t="n"/>
      <c r="E805" s="12" t="n"/>
      <c r="F805" s="15">
        <f>IFERROR(MATCH($A805,Accounts!$A$2:$A$11,0),"")</f>
        <v/>
      </c>
      <c r="G805" s="14">
        <f>IFERROR(IF(OR($A805="",$F805=""),"",IF(INDEX(Accounts!$P$2:$P$11,$F805)="static",INDEX(Accounts!$Q$2:$Q$11,$F805),IF(INDEX(Accounts!$P$2:$P$11,$F805)="eod_trailing",MAX(INDEX(Accounts!$Q$2:$Q$11,$F805),_xlfn.MAXIFS($C$2:$C$1001,$A$2:$A$1001,$A805,$B$2:$B$1001,"&lt;"&amp;$B805)),MAX(INDEX(Accounts!$Q$2:$Q$11,$F805),_xlfn.MAXIFS($C$2:$C$1001,$A$2:$A$1001,$A805,$B$2:$B$1001,"&lt;"&amp;$B805),_xlfn.MAXIFS($D$2:$D$1001,$A$2:$A$1001,$A805,$B$2:$B$1001,"&lt;="&amp;$B805),$C805)))),"")</f>
        <v/>
      </c>
      <c r="H805" s="15">
        <f>IFERROR(IF(G805="","",IF(INDEX(Accounts!$P$2:$P$11,$F805)="static",INDEX(Accounts!$Q$2:$Q$11,$F805)-INDEX(Accounts!$R$2:$R$11,$F805),IF(INDEX(Accounts!$S$2:$S$11,$F805)="NONE",G805-INDEX(Accounts!$R$2:$R$11,$F805),MIN(G805-INDEX(Accounts!$R$2:$R$11,$F805),INDEX(Accounts!$Q$2:$Q$11,$F805)+INDEX(Accounts!$S$2:$S$11,$F805))))),"")</f>
        <v/>
      </c>
      <c r="I805" s="16">
        <f>IF(AND($A805="",$B805="",$C805="",$D805="",$E805=""),"",IF(OR($A805="",$F805=""),"UNKNOWN_ACCOUNT",IF(OR($B805="",$C805=""),"INCOMPLETE",IFERROR(IF(OR(NOT(ISNUMBER($B805)),NOT(ISNUMBER($C805)),IF(C805="",FALSE,IF(ISNUMBER(C805),OR(C805&lt;=0,C805&gt;100000000,ROUND(C805*100,6)&lt;&gt;INT(ROUND(C805*100,6))),TRUE)),IF(D805="",FALSE,IF(ISNUMBER(D805),OR(D805&lt;=0,D805&gt;100000000,ROUND(D805*100,6)&lt;&gt;INT(ROUND(D805*100,6))),TRUE)),IF(E805="",FALSE,IF(ISNUMBER(E805),OR(E805&lt;=0,E805&gt;100000000,ROUND(E805*100,6)&lt;&gt;INT(ROUND(E805*100,6))),TRUE)),AND($D805&lt;&gt;"",$D805&lt;MAX($C805,$E805)),AND($E805&lt;&gt;"",$E805&gt;MIN($C805,IF($D805="",$C805,$D805))),COUNTIFS($A$2:$A$1001,$A805,$B$2:$B$1001,$B805)&gt;1),"INVALID",IFERROR(IF(IF(INDEX(Accounts!$T$2:$T$11,$F805),ROUND(IF($E805="",$C805,MIN($C805,$E805))-(H805),6)&lt;=0,ROUND(IF($E805="",$C805,MIN($C805,$E805))-(H805),6)&lt;0),"BREACHED","OK"),"INCOMPLETE")),"INVALID"))))</f>
        <v/>
      </c>
      <c r="J805" s="33">
        <f>IF(OR(I805="OK",I805="BREACHED"),-INT(ROUND(-(H805)*100,6))/100,I805)</f>
        <v/>
      </c>
    </row>
    <row r="806" ht="18" customHeight="1">
      <c r="A806" s="9" t="n"/>
      <c r="B806" s="32" t="n"/>
      <c r="C806" s="12" t="n"/>
      <c r="D806" s="12" t="n"/>
      <c r="E806" s="12" t="n"/>
      <c r="F806" s="15">
        <f>IFERROR(MATCH($A806,Accounts!$A$2:$A$11,0),"")</f>
        <v/>
      </c>
      <c r="G806" s="14">
        <f>IFERROR(IF(OR($A806="",$F806=""),"",IF(INDEX(Accounts!$P$2:$P$11,$F806)="static",INDEX(Accounts!$Q$2:$Q$11,$F806),IF(INDEX(Accounts!$P$2:$P$11,$F806)="eod_trailing",MAX(INDEX(Accounts!$Q$2:$Q$11,$F806),_xlfn.MAXIFS($C$2:$C$1001,$A$2:$A$1001,$A806,$B$2:$B$1001,"&lt;"&amp;$B806)),MAX(INDEX(Accounts!$Q$2:$Q$11,$F806),_xlfn.MAXIFS($C$2:$C$1001,$A$2:$A$1001,$A806,$B$2:$B$1001,"&lt;"&amp;$B806),_xlfn.MAXIFS($D$2:$D$1001,$A$2:$A$1001,$A806,$B$2:$B$1001,"&lt;="&amp;$B806),$C806)))),"")</f>
        <v/>
      </c>
      <c r="H806" s="15">
        <f>IFERROR(IF(G806="","",IF(INDEX(Accounts!$P$2:$P$11,$F806)="static",INDEX(Accounts!$Q$2:$Q$11,$F806)-INDEX(Accounts!$R$2:$R$11,$F806),IF(INDEX(Accounts!$S$2:$S$11,$F806)="NONE",G806-INDEX(Accounts!$R$2:$R$11,$F806),MIN(G806-INDEX(Accounts!$R$2:$R$11,$F806),INDEX(Accounts!$Q$2:$Q$11,$F806)+INDEX(Accounts!$S$2:$S$11,$F806))))),"")</f>
        <v/>
      </c>
      <c r="I806" s="16">
        <f>IF(AND($A806="",$B806="",$C806="",$D806="",$E806=""),"",IF(OR($A806="",$F806=""),"UNKNOWN_ACCOUNT",IF(OR($B806="",$C806=""),"INCOMPLETE",IFERROR(IF(OR(NOT(ISNUMBER($B806)),NOT(ISNUMBER($C806)),IF(C806="",FALSE,IF(ISNUMBER(C806),OR(C806&lt;=0,C806&gt;100000000,ROUND(C806*100,6)&lt;&gt;INT(ROUND(C806*100,6))),TRUE)),IF(D806="",FALSE,IF(ISNUMBER(D806),OR(D806&lt;=0,D806&gt;100000000,ROUND(D806*100,6)&lt;&gt;INT(ROUND(D806*100,6))),TRUE)),IF(E806="",FALSE,IF(ISNUMBER(E806),OR(E806&lt;=0,E806&gt;100000000,ROUND(E806*100,6)&lt;&gt;INT(ROUND(E806*100,6))),TRUE)),AND($D806&lt;&gt;"",$D806&lt;MAX($C806,$E806)),AND($E806&lt;&gt;"",$E806&gt;MIN($C806,IF($D806="",$C806,$D806))),COUNTIFS($A$2:$A$1001,$A806,$B$2:$B$1001,$B806)&gt;1),"INVALID",IFERROR(IF(IF(INDEX(Accounts!$T$2:$T$11,$F806),ROUND(IF($E806="",$C806,MIN($C806,$E806))-(H806),6)&lt;=0,ROUND(IF($E806="",$C806,MIN($C806,$E806))-(H806),6)&lt;0),"BREACHED","OK"),"INCOMPLETE")),"INVALID"))))</f>
        <v/>
      </c>
      <c r="J806" s="33">
        <f>IF(OR(I806="OK",I806="BREACHED"),-INT(ROUND(-(H806)*100,6))/100,I806)</f>
        <v/>
      </c>
    </row>
    <row r="807" ht="18" customHeight="1">
      <c r="A807" s="9" t="n"/>
      <c r="B807" s="32" t="n"/>
      <c r="C807" s="12" t="n"/>
      <c r="D807" s="12" t="n"/>
      <c r="E807" s="12" t="n"/>
      <c r="F807" s="15">
        <f>IFERROR(MATCH($A807,Accounts!$A$2:$A$11,0),"")</f>
        <v/>
      </c>
      <c r="G807" s="14">
        <f>IFERROR(IF(OR($A807="",$F807=""),"",IF(INDEX(Accounts!$P$2:$P$11,$F807)="static",INDEX(Accounts!$Q$2:$Q$11,$F807),IF(INDEX(Accounts!$P$2:$P$11,$F807)="eod_trailing",MAX(INDEX(Accounts!$Q$2:$Q$11,$F807),_xlfn.MAXIFS($C$2:$C$1001,$A$2:$A$1001,$A807,$B$2:$B$1001,"&lt;"&amp;$B807)),MAX(INDEX(Accounts!$Q$2:$Q$11,$F807),_xlfn.MAXIFS($C$2:$C$1001,$A$2:$A$1001,$A807,$B$2:$B$1001,"&lt;"&amp;$B807),_xlfn.MAXIFS($D$2:$D$1001,$A$2:$A$1001,$A807,$B$2:$B$1001,"&lt;="&amp;$B807),$C807)))),"")</f>
        <v/>
      </c>
      <c r="H807" s="15">
        <f>IFERROR(IF(G807="","",IF(INDEX(Accounts!$P$2:$P$11,$F807)="static",INDEX(Accounts!$Q$2:$Q$11,$F807)-INDEX(Accounts!$R$2:$R$11,$F807),IF(INDEX(Accounts!$S$2:$S$11,$F807)="NONE",G807-INDEX(Accounts!$R$2:$R$11,$F807),MIN(G807-INDEX(Accounts!$R$2:$R$11,$F807),INDEX(Accounts!$Q$2:$Q$11,$F807)+INDEX(Accounts!$S$2:$S$11,$F807))))),"")</f>
        <v/>
      </c>
      <c r="I807" s="16">
        <f>IF(AND($A807="",$B807="",$C807="",$D807="",$E807=""),"",IF(OR($A807="",$F807=""),"UNKNOWN_ACCOUNT",IF(OR($B807="",$C807=""),"INCOMPLETE",IFERROR(IF(OR(NOT(ISNUMBER($B807)),NOT(ISNUMBER($C807)),IF(C807="",FALSE,IF(ISNUMBER(C807),OR(C807&lt;=0,C807&gt;100000000,ROUND(C807*100,6)&lt;&gt;INT(ROUND(C807*100,6))),TRUE)),IF(D807="",FALSE,IF(ISNUMBER(D807),OR(D807&lt;=0,D807&gt;100000000,ROUND(D807*100,6)&lt;&gt;INT(ROUND(D807*100,6))),TRUE)),IF(E807="",FALSE,IF(ISNUMBER(E807),OR(E807&lt;=0,E807&gt;100000000,ROUND(E807*100,6)&lt;&gt;INT(ROUND(E807*100,6))),TRUE)),AND($D807&lt;&gt;"",$D807&lt;MAX($C807,$E807)),AND($E807&lt;&gt;"",$E807&gt;MIN($C807,IF($D807="",$C807,$D807))),COUNTIFS($A$2:$A$1001,$A807,$B$2:$B$1001,$B807)&gt;1),"INVALID",IFERROR(IF(IF(INDEX(Accounts!$T$2:$T$11,$F807),ROUND(IF($E807="",$C807,MIN($C807,$E807))-(H807),6)&lt;=0,ROUND(IF($E807="",$C807,MIN($C807,$E807))-(H807),6)&lt;0),"BREACHED","OK"),"INCOMPLETE")),"INVALID"))))</f>
        <v/>
      </c>
      <c r="J807" s="33">
        <f>IF(OR(I807="OK",I807="BREACHED"),-INT(ROUND(-(H807)*100,6))/100,I807)</f>
        <v/>
      </c>
    </row>
    <row r="808" ht="18" customHeight="1">
      <c r="A808" s="9" t="n"/>
      <c r="B808" s="32" t="n"/>
      <c r="C808" s="12" t="n"/>
      <c r="D808" s="12" t="n"/>
      <c r="E808" s="12" t="n"/>
      <c r="F808" s="15">
        <f>IFERROR(MATCH($A808,Accounts!$A$2:$A$11,0),"")</f>
        <v/>
      </c>
      <c r="G808" s="14">
        <f>IFERROR(IF(OR($A808="",$F808=""),"",IF(INDEX(Accounts!$P$2:$P$11,$F808)="static",INDEX(Accounts!$Q$2:$Q$11,$F808),IF(INDEX(Accounts!$P$2:$P$11,$F808)="eod_trailing",MAX(INDEX(Accounts!$Q$2:$Q$11,$F808),_xlfn.MAXIFS($C$2:$C$1001,$A$2:$A$1001,$A808,$B$2:$B$1001,"&lt;"&amp;$B808)),MAX(INDEX(Accounts!$Q$2:$Q$11,$F808),_xlfn.MAXIFS($C$2:$C$1001,$A$2:$A$1001,$A808,$B$2:$B$1001,"&lt;"&amp;$B808),_xlfn.MAXIFS($D$2:$D$1001,$A$2:$A$1001,$A808,$B$2:$B$1001,"&lt;="&amp;$B808),$C808)))),"")</f>
        <v/>
      </c>
      <c r="H808" s="15">
        <f>IFERROR(IF(G808="","",IF(INDEX(Accounts!$P$2:$P$11,$F808)="static",INDEX(Accounts!$Q$2:$Q$11,$F808)-INDEX(Accounts!$R$2:$R$11,$F808),IF(INDEX(Accounts!$S$2:$S$11,$F808)="NONE",G808-INDEX(Accounts!$R$2:$R$11,$F808),MIN(G808-INDEX(Accounts!$R$2:$R$11,$F808),INDEX(Accounts!$Q$2:$Q$11,$F808)+INDEX(Accounts!$S$2:$S$11,$F808))))),"")</f>
        <v/>
      </c>
      <c r="I808" s="16">
        <f>IF(AND($A808="",$B808="",$C808="",$D808="",$E808=""),"",IF(OR($A808="",$F808=""),"UNKNOWN_ACCOUNT",IF(OR($B808="",$C808=""),"INCOMPLETE",IFERROR(IF(OR(NOT(ISNUMBER($B808)),NOT(ISNUMBER($C808)),IF(C808="",FALSE,IF(ISNUMBER(C808),OR(C808&lt;=0,C808&gt;100000000,ROUND(C808*100,6)&lt;&gt;INT(ROUND(C808*100,6))),TRUE)),IF(D808="",FALSE,IF(ISNUMBER(D808),OR(D808&lt;=0,D808&gt;100000000,ROUND(D808*100,6)&lt;&gt;INT(ROUND(D808*100,6))),TRUE)),IF(E808="",FALSE,IF(ISNUMBER(E808),OR(E808&lt;=0,E808&gt;100000000,ROUND(E808*100,6)&lt;&gt;INT(ROUND(E808*100,6))),TRUE)),AND($D808&lt;&gt;"",$D808&lt;MAX($C808,$E808)),AND($E808&lt;&gt;"",$E808&gt;MIN($C808,IF($D808="",$C808,$D808))),COUNTIFS($A$2:$A$1001,$A808,$B$2:$B$1001,$B808)&gt;1),"INVALID",IFERROR(IF(IF(INDEX(Accounts!$T$2:$T$11,$F808),ROUND(IF($E808="",$C808,MIN($C808,$E808))-(H808),6)&lt;=0,ROUND(IF($E808="",$C808,MIN($C808,$E808))-(H808),6)&lt;0),"BREACHED","OK"),"INCOMPLETE")),"INVALID"))))</f>
        <v/>
      </c>
      <c r="J808" s="33">
        <f>IF(OR(I808="OK",I808="BREACHED"),-INT(ROUND(-(H808)*100,6))/100,I808)</f>
        <v/>
      </c>
    </row>
    <row r="809" ht="18" customHeight="1">
      <c r="A809" s="9" t="n"/>
      <c r="B809" s="32" t="n"/>
      <c r="C809" s="12" t="n"/>
      <c r="D809" s="12" t="n"/>
      <c r="E809" s="12" t="n"/>
      <c r="F809" s="15">
        <f>IFERROR(MATCH($A809,Accounts!$A$2:$A$11,0),"")</f>
        <v/>
      </c>
      <c r="G809" s="14">
        <f>IFERROR(IF(OR($A809="",$F809=""),"",IF(INDEX(Accounts!$P$2:$P$11,$F809)="static",INDEX(Accounts!$Q$2:$Q$11,$F809),IF(INDEX(Accounts!$P$2:$P$11,$F809)="eod_trailing",MAX(INDEX(Accounts!$Q$2:$Q$11,$F809),_xlfn.MAXIFS($C$2:$C$1001,$A$2:$A$1001,$A809,$B$2:$B$1001,"&lt;"&amp;$B809)),MAX(INDEX(Accounts!$Q$2:$Q$11,$F809),_xlfn.MAXIFS($C$2:$C$1001,$A$2:$A$1001,$A809,$B$2:$B$1001,"&lt;"&amp;$B809),_xlfn.MAXIFS($D$2:$D$1001,$A$2:$A$1001,$A809,$B$2:$B$1001,"&lt;="&amp;$B809),$C809)))),"")</f>
        <v/>
      </c>
      <c r="H809" s="15">
        <f>IFERROR(IF(G809="","",IF(INDEX(Accounts!$P$2:$P$11,$F809)="static",INDEX(Accounts!$Q$2:$Q$11,$F809)-INDEX(Accounts!$R$2:$R$11,$F809),IF(INDEX(Accounts!$S$2:$S$11,$F809)="NONE",G809-INDEX(Accounts!$R$2:$R$11,$F809),MIN(G809-INDEX(Accounts!$R$2:$R$11,$F809),INDEX(Accounts!$Q$2:$Q$11,$F809)+INDEX(Accounts!$S$2:$S$11,$F809))))),"")</f>
        <v/>
      </c>
      <c r="I809" s="16">
        <f>IF(AND($A809="",$B809="",$C809="",$D809="",$E809=""),"",IF(OR($A809="",$F809=""),"UNKNOWN_ACCOUNT",IF(OR($B809="",$C809=""),"INCOMPLETE",IFERROR(IF(OR(NOT(ISNUMBER($B809)),NOT(ISNUMBER($C809)),IF(C809="",FALSE,IF(ISNUMBER(C809),OR(C809&lt;=0,C809&gt;100000000,ROUND(C809*100,6)&lt;&gt;INT(ROUND(C809*100,6))),TRUE)),IF(D809="",FALSE,IF(ISNUMBER(D809),OR(D809&lt;=0,D809&gt;100000000,ROUND(D809*100,6)&lt;&gt;INT(ROUND(D809*100,6))),TRUE)),IF(E809="",FALSE,IF(ISNUMBER(E809),OR(E809&lt;=0,E809&gt;100000000,ROUND(E809*100,6)&lt;&gt;INT(ROUND(E809*100,6))),TRUE)),AND($D809&lt;&gt;"",$D809&lt;MAX($C809,$E809)),AND($E809&lt;&gt;"",$E809&gt;MIN($C809,IF($D809="",$C809,$D809))),COUNTIFS($A$2:$A$1001,$A809,$B$2:$B$1001,$B809)&gt;1),"INVALID",IFERROR(IF(IF(INDEX(Accounts!$T$2:$T$11,$F809),ROUND(IF($E809="",$C809,MIN($C809,$E809))-(H809),6)&lt;=0,ROUND(IF($E809="",$C809,MIN($C809,$E809))-(H809),6)&lt;0),"BREACHED","OK"),"INCOMPLETE")),"INVALID"))))</f>
        <v/>
      </c>
      <c r="J809" s="33">
        <f>IF(OR(I809="OK",I809="BREACHED"),-INT(ROUND(-(H809)*100,6))/100,I809)</f>
        <v/>
      </c>
    </row>
    <row r="810" ht="18" customHeight="1">
      <c r="A810" s="9" t="n"/>
      <c r="B810" s="32" t="n"/>
      <c r="C810" s="12" t="n"/>
      <c r="D810" s="12" t="n"/>
      <c r="E810" s="12" t="n"/>
      <c r="F810" s="15">
        <f>IFERROR(MATCH($A810,Accounts!$A$2:$A$11,0),"")</f>
        <v/>
      </c>
      <c r="G810" s="14">
        <f>IFERROR(IF(OR($A810="",$F810=""),"",IF(INDEX(Accounts!$P$2:$P$11,$F810)="static",INDEX(Accounts!$Q$2:$Q$11,$F810),IF(INDEX(Accounts!$P$2:$P$11,$F810)="eod_trailing",MAX(INDEX(Accounts!$Q$2:$Q$11,$F810),_xlfn.MAXIFS($C$2:$C$1001,$A$2:$A$1001,$A810,$B$2:$B$1001,"&lt;"&amp;$B810)),MAX(INDEX(Accounts!$Q$2:$Q$11,$F810),_xlfn.MAXIFS($C$2:$C$1001,$A$2:$A$1001,$A810,$B$2:$B$1001,"&lt;"&amp;$B810),_xlfn.MAXIFS($D$2:$D$1001,$A$2:$A$1001,$A810,$B$2:$B$1001,"&lt;="&amp;$B810),$C810)))),"")</f>
        <v/>
      </c>
      <c r="H810" s="15">
        <f>IFERROR(IF(G810="","",IF(INDEX(Accounts!$P$2:$P$11,$F810)="static",INDEX(Accounts!$Q$2:$Q$11,$F810)-INDEX(Accounts!$R$2:$R$11,$F810),IF(INDEX(Accounts!$S$2:$S$11,$F810)="NONE",G810-INDEX(Accounts!$R$2:$R$11,$F810),MIN(G810-INDEX(Accounts!$R$2:$R$11,$F810),INDEX(Accounts!$Q$2:$Q$11,$F810)+INDEX(Accounts!$S$2:$S$11,$F810))))),"")</f>
        <v/>
      </c>
      <c r="I810" s="16">
        <f>IF(AND($A810="",$B810="",$C810="",$D810="",$E810=""),"",IF(OR($A810="",$F810=""),"UNKNOWN_ACCOUNT",IF(OR($B810="",$C810=""),"INCOMPLETE",IFERROR(IF(OR(NOT(ISNUMBER($B810)),NOT(ISNUMBER($C810)),IF(C810="",FALSE,IF(ISNUMBER(C810),OR(C810&lt;=0,C810&gt;100000000,ROUND(C810*100,6)&lt;&gt;INT(ROUND(C810*100,6))),TRUE)),IF(D810="",FALSE,IF(ISNUMBER(D810),OR(D810&lt;=0,D810&gt;100000000,ROUND(D810*100,6)&lt;&gt;INT(ROUND(D810*100,6))),TRUE)),IF(E810="",FALSE,IF(ISNUMBER(E810),OR(E810&lt;=0,E810&gt;100000000,ROUND(E810*100,6)&lt;&gt;INT(ROUND(E810*100,6))),TRUE)),AND($D810&lt;&gt;"",$D810&lt;MAX($C810,$E810)),AND($E810&lt;&gt;"",$E810&gt;MIN($C810,IF($D810="",$C810,$D810))),COUNTIFS($A$2:$A$1001,$A810,$B$2:$B$1001,$B810)&gt;1),"INVALID",IFERROR(IF(IF(INDEX(Accounts!$T$2:$T$11,$F810),ROUND(IF($E810="",$C810,MIN($C810,$E810))-(H810),6)&lt;=0,ROUND(IF($E810="",$C810,MIN($C810,$E810))-(H810),6)&lt;0),"BREACHED","OK"),"INCOMPLETE")),"INVALID"))))</f>
        <v/>
      </c>
      <c r="J810" s="33">
        <f>IF(OR(I810="OK",I810="BREACHED"),-INT(ROUND(-(H810)*100,6))/100,I810)</f>
        <v/>
      </c>
    </row>
    <row r="811" ht="18" customHeight="1">
      <c r="A811" s="9" t="n"/>
      <c r="B811" s="32" t="n"/>
      <c r="C811" s="12" t="n"/>
      <c r="D811" s="12" t="n"/>
      <c r="E811" s="12" t="n"/>
      <c r="F811" s="15">
        <f>IFERROR(MATCH($A811,Accounts!$A$2:$A$11,0),"")</f>
        <v/>
      </c>
      <c r="G811" s="14">
        <f>IFERROR(IF(OR($A811="",$F811=""),"",IF(INDEX(Accounts!$P$2:$P$11,$F811)="static",INDEX(Accounts!$Q$2:$Q$11,$F811),IF(INDEX(Accounts!$P$2:$P$11,$F811)="eod_trailing",MAX(INDEX(Accounts!$Q$2:$Q$11,$F811),_xlfn.MAXIFS($C$2:$C$1001,$A$2:$A$1001,$A811,$B$2:$B$1001,"&lt;"&amp;$B811)),MAX(INDEX(Accounts!$Q$2:$Q$11,$F811),_xlfn.MAXIFS($C$2:$C$1001,$A$2:$A$1001,$A811,$B$2:$B$1001,"&lt;"&amp;$B811),_xlfn.MAXIFS($D$2:$D$1001,$A$2:$A$1001,$A811,$B$2:$B$1001,"&lt;="&amp;$B811),$C811)))),"")</f>
        <v/>
      </c>
      <c r="H811" s="15">
        <f>IFERROR(IF(G811="","",IF(INDEX(Accounts!$P$2:$P$11,$F811)="static",INDEX(Accounts!$Q$2:$Q$11,$F811)-INDEX(Accounts!$R$2:$R$11,$F811),IF(INDEX(Accounts!$S$2:$S$11,$F811)="NONE",G811-INDEX(Accounts!$R$2:$R$11,$F811),MIN(G811-INDEX(Accounts!$R$2:$R$11,$F811),INDEX(Accounts!$Q$2:$Q$11,$F811)+INDEX(Accounts!$S$2:$S$11,$F811))))),"")</f>
        <v/>
      </c>
      <c r="I811" s="16">
        <f>IF(AND($A811="",$B811="",$C811="",$D811="",$E811=""),"",IF(OR($A811="",$F811=""),"UNKNOWN_ACCOUNT",IF(OR($B811="",$C811=""),"INCOMPLETE",IFERROR(IF(OR(NOT(ISNUMBER($B811)),NOT(ISNUMBER($C811)),IF(C811="",FALSE,IF(ISNUMBER(C811),OR(C811&lt;=0,C811&gt;100000000,ROUND(C811*100,6)&lt;&gt;INT(ROUND(C811*100,6))),TRUE)),IF(D811="",FALSE,IF(ISNUMBER(D811),OR(D811&lt;=0,D811&gt;100000000,ROUND(D811*100,6)&lt;&gt;INT(ROUND(D811*100,6))),TRUE)),IF(E811="",FALSE,IF(ISNUMBER(E811),OR(E811&lt;=0,E811&gt;100000000,ROUND(E811*100,6)&lt;&gt;INT(ROUND(E811*100,6))),TRUE)),AND($D811&lt;&gt;"",$D811&lt;MAX($C811,$E811)),AND($E811&lt;&gt;"",$E811&gt;MIN($C811,IF($D811="",$C811,$D811))),COUNTIFS($A$2:$A$1001,$A811,$B$2:$B$1001,$B811)&gt;1),"INVALID",IFERROR(IF(IF(INDEX(Accounts!$T$2:$T$11,$F811),ROUND(IF($E811="",$C811,MIN($C811,$E811))-(H811),6)&lt;=0,ROUND(IF($E811="",$C811,MIN($C811,$E811))-(H811),6)&lt;0),"BREACHED","OK"),"INCOMPLETE")),"INVALID"))))</f>
        <v/>
      </c>
      <c r="J811" s="33">
        <f>IF(OR(I811="OK",I811="BREACHED"),-INT(ROUND(-(H811)*100,6))/100,I811)</f>
        <v/>
      </c>
    </row>
    <row r="812" ht="18" customHeight="1">
      <c r="A812" s="9" t="n"/>
      <c r="B812" s="32" t="n"/>
      <c r="C812" s="12" t="n"/>
      <c r="D812" s="12" t="n"/>
      <c r="E812" s="12" t="n"/>
      <c r="F812" s="15">
        <f>IFERROR(MATCH($A812,Accounts!$A$2:$A$11,0),"")</f>
        <v/>
      </c>
      <c r="G812" s="14">
        <f>IFERROR(IF(OR($A812="",$F812=""),"",IF(INDEX(Accounts!$P$2:$P$11,$F812)="static",INDEX(Accounts!$Q$2:$Q$11,$F812),IF(INDEX(Accounts!$P$2:$P$11,$F812)="eod_trailing",MAX(INDEX(Accounts!$Q$2:$Q$11,$F812),_xlfn.MAXIFS($C$2:$C$1001,$A$2:$A$1001,$A812,$B$2:$B$1001,"&lt;"&amp;$B812)),MAX(INDEX(Accounts!$Q$2:$Q$11,$F812),_xlfn.MAXIFS($C$2:$C$1001,$A$2:$A$1001,$A812,$B$2:$B$1001,"&lt;"&amp;$B812),_xlfn.MAXIFS($D$2:$D$1001,$A$2:$A$1001,$A812,$B$2:$B$1001,"&lt;="&amp;$B812),$C812)))),"")</f>
        <v/>
      </c>
      <c r="H812" s="15">
        <f>IFERROR(IF(G812="","",IF(INDEX(Accounts!$P$2:$P$11,$F812)="static",INDEX(Accounts!$Q$2:$Q$11,$F812)-INDEX(Accounts!$R$2:$R$11,$F812),IF(INDEX(Accounts!$S$2:$S$11,$F812)="NONE",G812-INDEX(Accounts!$R$2:$R$11,$F812),MIN(G812-INDEX(Accounts!$R$2:$R$11,$F812),INDEX(Accounts!$Q$2:$Q$11,$F812)+INDEX(Accounts!$S$2:$S$11,$F812))))),"")</f>
        <v/>
      </c>
      <c r="I812" s="16">
        <f>IF(AND($A812="",$B812="",$C812="",$D812="",$E812=""),"",IF(OR($A812="",$F812=""),"UNKNOWN_ACCOUNT",IF(OR($B812="",$C812=""),"INCOMPLETE",IFERROR(IF(OR(NOT(ISNUMBER($B812)),NOT(ISNUMBER($C812)),IF(C812="",FALSE,IF(ISNUMBER(C812),OR(C812&lt;=0,C812&gt;100000000,ROUND(C812*100,6)&lt;&gt;INT(ROUND(C812*100,6))),TRUE)),IF(D812="",FALSE,IF(ISNUMBER(D812),OR(D812&lt;=0,D812&gt;100000000,ROUND(D812*100,6)&lt;&gt;INT(ROUND(D812*100,6))),TRUE)),IF(E812="",FALSE,IF(ISNUMBER(E812),OR(E812&lt;=0,E812&gt;100000000,ROUND(E812*100,6)&lt;&gt;INT(ROUND(E812*100,6))),TRUE)),AND($D812&lt;&gt;"",$D812&lt;MAX($C812,$E812)),AND($E812&lt;&gt;"",$E812&gt;MIN($C812,IF($D812="",$C812,$D812))),COUNTIFS($A$2:$A$1001,$A812,$B$2:$B$1001,$B812)&gt;1),"INVALID",IFERROR(IF(IF(INDEX(Accounts!$T$2:$T$11,$F812),ROUND(IF($E812="",$C812,MIN($C812,$E812))-(H812),6)&lt;=0,ROUND(IF($E812="",$C812,MIN($C812,$E812))-(H812),6)&lt;0),"BREACHED","OK"),"INCOMPLETE")),"INVALID"))))</f>
        <v/>
      </c>
      <c r="J812" s="33">
        <f>IF(OR(I812="OK",I812="BREACHED"),-INT(ROUND(-(H812)*100,6))/100,I812)</f>
        <v/>
      </c>
    </row>
    <row r="813" ht="18" customHeight="1">
      <c r="A813" s="9" t="n"/>
      <c r="B813" s="32" t="n"/>
      <c r="C813" s="12" t="n"/>
      <c r="D813" s="12" t="n"/>
      <c r="E813" s="12" t="n"/>
      <c r="F813" s="15">
        <f>IFERROR(MATCH($A813,Accounts!$A$2:$A$11,0),"")</f>
        <v/>
      </c>
      <c r="G813" s="14">
        <f>IFERROR(IF(OR($A813="",$F813=""),"",IF(INDEX(Accounts!$P$2:$P$11,$F813)="static",INDEX(Accounts!$Q$2:$Q$11,$F813),IF(INDEX(Accounts!$P$2:$P$11,$F813)="eod_trailing",MAX(INDEX(Accounts!$Q$2:$Q$11,$F813),_xlfn.MAXIFS($C$2:$C$1001,$A$2:$A$1001,$A813,$B$2:$B$1001,"&lt;"&amp;$B813)),MAX(INDEX(Accounts!$Q$2:$Q$11,$F813),_xlfn.MAXIFS($C$2:$C$1001,$A$2:$A$1001,$A813,$B$2:$B$1001,"&lt;"&amp;$B813),_xlfn.MAXIFS($D$2:$D$1001,$A$2:$A$1001,$A813,$B$2:$B$1001,"&lt;="&amp;$B813),$C813)))),"")</f>
        <v/>
      </c>
      <c r="H813" s="15">
        <f>IFERROR(IF(G813="","",IF(INDEX(Accounts!$P$2:$P$11,$F813)="static",INDEX(Accounts!$Q$2:$Q$11,$F813)-INDEX(Accounts!$R$2:$R$11,$F813),IF(INDEX(Accounts!$S$2:$S$11,$F813)="NONE",G813-INDEX(Accounts!$R$2:$R$11,$F813),MIN(G813-INDEX(Accounts!$R$2:$R$11,$F813),INDEX(Accounts!$Q$2:$Q$11,$F813)+INDEX(Accounts!$S$2:$S$11,$F813))))),"")</f>
        <v/>
      </c>
      <c r="I813" s="16">
        <f>IF(AND($A813="",$B813="",$C813="",$D813="",$E813=""),"",IF(OR($A813="",$F813=""),"UNKNOWN_ACCOUNT",IF(OR($B813="",$C813=""),"INCOMPLETE",IFERROR(IF(OR(NOT(ISNUMBER($B813)),NOT(ISNUMBER($C813)),IF(C813="",FALSE,IF(ISNUMBER(C813),OR(C813&lt;=0,C813&gt;100000000,ROUND(C813*100,6)&lt;&gt;INT(ROUND(C813*100,6))),TRUE)),IF(D813="",FALSE,IF(ISNUMBER(D813),OR(D813&lt;=0,D813&gt;100000000,ROUND(D813*100,6)&lt;&gt;INT(ROUND(D813*100,6))),TRUE)),IF(E813="",FALSE,IF(ISNUMBER(E813),OR(E813&lt;=0,E813&gt;100000000,ROUND(E813*100,6)&lt;&gt;INT(ROUND(E813*100,6))),TRUE)),AND($D813&lt;&gt;"",$D813&lt;MAX($C813,$E813)),AND($E813&lt;&gt;"",$E813&gt;MIN($C813,IF($D813="",$C813,$D813))),COUNTIFS($A$2:$A$1001,$A813,$B$2:$B$1001,$B813)&gt;1),"INVALID",IFERROR(IF(IF(INDEX(Accounts!$T$2:$T$11,$F813),ROUND(IF($E813="",$C813,MIN($C813,$E813))-(H813),6)&lt;=0,ROUND(IF($E813="",$C813,MIN($C813,$E813))-(H813),6)&lt;0),"BREACHED","OK"),"INCOMPLETE")),"INVALID"))))</f>
        <v/>
      </c>
      <c r="J813" s="33">
        <f>IF(OR(I813="OK",I813="BREACHED"),-INT(ROUND(-(H813)*100,6))/100,I813)</f>
        <v/>
      </c>
    </row>
    <row r="814" ht="18" customHeight="1">
      <c r="A814" s="9" t="n"/>
      <c r="B814" s="32" t="n"/>
      <c r="C814" s="12" t="n"/>
      <c r="D814" s="12" t="n"/>
      <c r="E814" s="12" t="n"/>
      <c r="F814" s="15">
        <f>IFERROR(MATCH($A814,Accounts!$A$2:$A$11,0),"")</f>
        <v/>
      </c>
      <c r="G814" s="14">
        <f>IFERROR(IF(OR($A814="",$F814=""),"",IF(INDEX(Accounts!$P$2:$P$11,$F814)="static",INDEX(Accounts!$Q$2:$Q$11,$F814),IF(INDEX(Accounts!$P$2:$P$11,$F814)="eod_trailing",MAX(INDEX(Accounts!$Q$2:$Q$11,$F814),_xlfn.MAXIFS($C$2:$C$1001,$A$2:$A$1001,$A814,$B$2:$B$1001,"&lt;"&amp;$B814)),MAX(INDEX(Accounts!$Q$2:$Q$11,$F814),_xlfn.MAXIFS($C$2:$C$1001,$A$2:$A$1001,$A814,$B$2:$B$1001,"&lt;"&amp;$B814),_xlfn.MAXIFS($D$2:$D$1001,$A$2:$A$1001,$A814,$B$2:$B$1001,"&lt;="&amp;$B814),$C814)))),"")</f>
        <v/>
      </c>
      <c r="H814" s="15">
        <f>IFERROR(IF(G814="","",IF(INDEX(Accounts!$P$2:$P$11,$F814)="static",INDEX(Accounts!$Q$2:$Q$11,$F814)-INDEX(Accounts!$R$2:$R$11,$F814),IF(INDEX(Accounts!$S$2:$S$11,$F814)="NONE",G814-INDEX(Accounts!$R$2:$R$11,$F814),MIN(G814-INDEX(Accounts!$R$2:$R$11,$F814),INDEX(Accounts!$Q$2:$Q$11,$F814)+INDEX(Accounts!$S$2:$S$11,$F814))))),"")</f>
        <v/>
      </c>
      <c r="I814" s="16">
        <f>IF(AND($A814="",$B814="",$C814="",$D814="",$E814=""),"",IF(OR($A814="",$F814=""),"UNKNOWN_ACCOUNT",IF(OR($B814="",$C814=""),"INCOMPLETE",IFERROR(IF(OR(NOT(ISNUMBER($B814)),NOT(ISNUMBER($C814)),IF(C814="",FALSE,IF(ISNUMBER(C814),OR(C814&lt;=0,C814&gt;100000000,ROUND(C814*100,6)&lt;&gt;INT(ROUND(C814*100,6))),TRUE)),IF(D814="",FALSE,IF(ISNUMBER(D814),OR(D814&lt;=0,D814&gt;100000000,ROUND(D814*100,6)&lt;&gt;INT(ROUND(D814*100,6))),TRUE)),IF(E814="",FALSE,IF(ISNUMBER(E814),OR(E814&lt;=0,E814&gt;100000000,ROUND(E814*100,6)&lt;&gt;INT(ROUND(E814*100,6))),TRUE)),AND($D814&lt;&gt;"",$D814&lt;MAX($C814,$E814)),AND($E814&lt;&gt;"",$E814&gt;MIN($C814,IF($D814="",$C814,$D814))),COUNTIFS($A$2:$A$1001,$A814,$B$2:$B$1001,$B814)&gt;1),"INVALID",IFERROR(IF(IF(INDEX(Accounts!$T$2:$T$11,$F814),ROUND(IF($E814="",$C814,MIN($C814,$E814))-(H814),6)&lt;=0,ROUND(IF($E814="",$C814,MIN($C814,$E814))-(H814),6)&lt;0),"BREACHED","OK"),"INCOMPLETE")),"INVALID"))))</f>
        <v/>
      </c>
      <c r="J814" s="33">
        <f>IF(OR(I814="OK",I814="BREACHED"),-INT(ROUND(-(H814)*100,6))/100,I814)</f>
        <v/>
      </c>
    </row>
    <row r="815" ht="18" customHeight="1">
      <c r="A815" s="9" t="n"/>
      <c r="B815" s="32" t="n"/>
      <c r="C815" s="12" t="n"/>
      <c r="D815" s="12" t="n"/>
      <c r="E815" s="12" t="n"/>
      <c r="F815" s="15">
        <f>IFERROR(MATCH($A815,Accounts!$A$2:$A$11,0),"")</f>
        <v/>
      </c>
      <c r="G815" s="14">
        <f>IFERROR(IF(OR($A815="",$F815=""),"",IF(INDEX(Accounts!$P$2:$P$11,$F815)="static",INDEX(Accounts!$Q$2:$Q$11,$F815),IF(INDEX(Accounts!$P$2:$P$11,$F815)="eod_trailing",MAX(INDEX(Accounts!$Q$2:$Q$11,$F815),_xlfn.MAXIFS($C$2:$C$1001,$A$2:$A$1001,$A815,$B$2:$B$1001,"&lt;"&amp;$B815)),MAX(INDEX(Accounts!$Q$2:$Q$11,$F815),_xlfn.MAXIFS($C$2:$C$1001,$A$2:$A$1001,$A815,$B$2:$B$1001,"&lt;"&amp;$B815),_xlfn.MAXIFS($D$2:$D$1001,$A$2:$A$1001,$A815,$B$2:$B$1001,"&lt;="&amp;$B815),$C815)))),"")</f>
        <v/>
      </c>
      <c r="H815" s="15">
        <f>IFERROR(IF(G815="","",IF(INDEX(Accounts!$P$2:$P$11,$F815)="static",INDEX(Accounts!$Q$2:$Q$11,$F815)-INDEX(Accounts!$R$2:$R$11,$F815),IF(INDEX(Accounts!$S$2:$S$11,$F815)="NONE",G815-INDEX(Accounts!$R$2:$R$11,$F815),MIN(G815-INDEX(Accounts!$R$2:$R$11,$F815),INDEX(Accounts!$Q$2:$Q$11,$F815)+INDEX(Accounts!$S$2:$S$11,$F815))))),"")</f>
        <v/>
      </c>
      <c r="I815" s="16">
        <f>IF(AND($A815="",$B815="",$C815="",$D815="",$E815=""),"",IF(OR($A815="",$F815=""),"UNKNOWN_ACCOUNT",IF(OR($B815="",$C815=""),"INCOMPLETE",IFERROR(IF(OR(NOT(ISNUMBER($B815)),NOT(ISNUMBER($C815)),IF(C815="",FALSE,IF(ISNUMBER(C815),OR(C815&lt;=0,C815&gt;100000000,ROUND(C815*100,6)&lt;&gt;INT(ROUND(C815*100,6))),TRUE)),IF(D815="",FALSE,IF(ISNUMBER(D815),OR(D815&lt;=0,D815&gt;100000000,ROUND(D815*100,6)&lt;&gt;INT(ROUND(D815*100,6))),TRUE)),IF(E815="",FALSE,IF(ISNUMBER(E815),OR(E815&lt;=0,E815&gt;100000000,ROUND(E815*100,6)&lt;&gt;INT(ROUND(E815*100,6))),TRUE)),AND($D815&lt;&gt;"",$D815&lt;MAX($C815,$E815)),AND($E815&lt;&gt;"",$E815&gt;MIN($C815,IF($D815="",$C815,$D815))),COUNTIFS($A$2:$A$1001,$A815,$B$2:$B$1001,$B815)&gt;1),"INVALID",IFERROR(IF(IF(INDEX(Accounts!$T$2:$T$11,$F815),ROUND(IF($E815="",$C815,MIN($C815,$E815))-(H815),6)&lt;=0,ROUND(IF($E815="",$C815,MIN($C815,$E815))-(H815),6)&lt;0),"BREACHED","OK"),"INCOMPLETE")),"INVALID"))))</f>
        <v/>
      </c>
      <c r="J815" s="33">
        <f>IF(OR(I815="OK",I815="BREACHED"),-INT(ROUND(-(H815)*100,6))/100,I815)</f>
        <v/>
      </c>
    </row>
    <row r="816" ht="18" customHeight="1">
      <c r="A816" s="9" t="n"/>
      <c r="B816" s="32" t="n"/>
      <c r="C816" s="12" t="n"/>
      <c r="D816" s="12" t="n"/>
      <c r="E816" s="12" t="n"/>
      <c r="F816" s="15">
        <f>IFERROR(MATCH($A816,Accounts!$A$2:$A$11,0),"")</f>
        <v/>
      </c>
      <c r="G816" s="14">
        <f>IFERROR(IF(OR($A816="",$F816=""),"",IF(INDEX(Accounts!$P$2:$P$11,$F816)="static",INDEX(Accounts!$Q$2:$Q$11,$F816),IF(INDEX(Accounts!$P$2:$P$11,$F816)="eod_trailing",MAX(INDEX(Accounts!$Q$2:$Q$11,$F816),_xlfn.MAXIFS($C$2:$C$1001,$A$2:$A$1001,$A816,$B$2:$B$1001,"&lt;"&amp;$B816)),MAX(INDEX(Accounts!$Q$2:$Q$11,$F816),_xlfn.MAXIFS($C$2:$C$1001,$A$2:$A$1001,$A816,$B$2:$B$1001,"&lt;"&amp;$B816),_xlfn.MAXIFS($D$2:$D$1001,$A$2:$A$1001,$A816,$B$2:$B$1001,"&lt;="&amp;$B816),$C816)))),"")</f>
        <v/>
      </c>
      <c r="H816" s="15">
        <f>IFERROR(IF(G816="","",IF(INDEX(Accounts!$P$2:$P$11,$F816)="static",INDEX(Accounts!$Q$2:$Q$11,$F816)-INDEX(Accounts!$R$2:$R$11,$F816),IF(INDEX(Accounts!$S$2:$S$11,$F816)="NONE",G816-INDEX(Accounts!$R$2:$R$11,$F816),MIN(G816-INDEX(Accounts!$R$2:$R$11,$F816),INDEX(Accounts!$Q$2:$Q$11,$F816)+INDEX(Accounts!$S$2:$S$11,$F816))))),"")</f>
        <v/>
      </c>
      <c r="I816" s="16">
        <f>IF(AND($A816="",$B816="",$C816="",$D816="",$E816=""),"",IF(OR($A816="",$F816=""),"UNKNOWN_ACCOUNT",IF(OR($B816="",$C816=""),"INCOMPLETE",IFERROR(IF(OR(NOT(ISNUMBER($B816)),NOT(ISNUMBER($C816)),IF(C816="",FALSE,IF(ISNUMBER(C816),OR(C816&lt;=0,C816&gt;100000000,ROUND(C816*100,6)&lt;&gt;INT(ROUND(C816*100,6))),TRUE)),IF(D816="",FALSE,IF(ISNUMBER(D816),OR(D816&lt;=0,D816&gt;100000000,ROUND(D816*100,6)&lt;&gt;INT(ROUND(D816*100,6))),TRUE)),IF(E816="",FALSE,IF(ISNUMBER(E816),OR(E816&lt;=0,E816&gt;100000000,ROUND(E816*100,6)&lt;&gt;INT(ROUND(E816*100,6))),TRUE)),AND($D816&lt;&gt;"",$D816&lt;MAX($C816,$E816)),AND($E816&lt;&gt;"",$E816&gt;MIN($C816,IF($D816="",$C816,$D816))),COUNTIFS($A$2:$A$1001,$A816,$B$2:$B$1001,$B816)&gt;1),"INVALID",IFERROR(IF(IF(INDEX(Accounts!$T$2:$T$11,$F816),ROUND(IF($E816="",$C816,MIN($C816,$E816))-(H816),6)&lt;=0,ROUND(IF($E816="",$C816,MIN($C816,$E816))-(H816),6)&lt;0),"BREACHED","OK"),"INCOMPLETE")),"INVALID"))))</f>
        <v/>
      </c>
      <c r="J816" s="33">
        <f>IF(OR(I816="OK",I816="BREACHED"),-INT(ROUND(-(H816)*100,6))/100,I816)</f>
        <v/>
      </c>
    </row>
    <row r="817" ht="18" customHeight="1">
      <c r="A817" s="9" t="n"/>
      <c r="B817" s="32" t="n"/>
      <c r="C817" s="12" t="n"/>
      <c r="D817" s="12" t="n"/>
      <c r="E817" s="12" t="n"/>
      <c r="F817" s="15">
        <f>IFERROR(MATCH($A817,Accounts!$A$2:$A$11,0),"")</f>
        <v/>
      </c>
      <c r="G817" s="14">
        <f>IFERROR(IF(OR($A817="",$F817=""),"",IF(INDEX(Accounts!$P$2:$P$11,$F817)="static",INDEX(Accounts!$Q$2:$Q$11,$F817),IF(INDEX(Accounts!$P$2:$P$11,$F817)="eod_trailing",MAX(INDEX(Accounts!$Q$2:$Q$11,$F817),_xlfn.MAXIFS($C$2:$C$1001,$A$2:$A$1001,$A817,$B$2:$B$1001,"&lt;"&amp;$B817)),MAX(INDEX(Accounts!$Q$2:$Q$11,$F817),_xlfn.MAXIFS($C$2:$C$1001,$A$2:$A$1001,$A817,$B$2:$B$1001,"&lt;"&amp;$B817),_xlfn.MAXIFS($D$2:$D$1001,$A$2:$A$1001,$A817,$B$2:$B$1001,"&lt;="&amp;$B817),$C817)))),"")</f>
        <v/>
      </c>
      <c r="H817" s="15">
        <f>IFERROR(IF(G817="","",IF(INDEX(Accounts!$P$2:$P$11,$F817)="static",INDEX(Accounts!$Q$2:$Q$11,$F817)-INDEX(Accounts!$R$2:$R$11,$F817),IF(INDEX(Accounts!$S$2:$S$11,$F817)="NONE",G817-INDEX(Accounts!$R$2:$R$11,$F817),MIN(G817-INDEX(Accounts!$R$2:$R$11,$F817),INDEX(Accounts!$Q$2:$Q$11,$F817)+INDEX(Accounts!$S$2:$S$11,$F817))))),"")</f>
        <v/>
      </c>
      <c r="I817" s="16">
        <f>IF(AND($A817="",$B817="",$C817="",$D817="",$E817=""),"",IF(OR($A817="",$F817=""),"UNKNOWN_ACCOUNT",IF(OR($B817="",$C817=""),"INCOMPLETE",IFERROR(IF(OR(NOT(ISNUMBER($B817)),NOT(ISNUMBER($C817)),IF(C817="",FALSE,IF(ISNUMBER(C817),OR(C817&lt;=0,C817&gt;100000000,ROUND(C817*100,6)&lt;&gt;INT(ROUND(C817*100,6))),TRUE)),IF(D817="",FALSE,IF(ISNUMBER(D817),OR(D817&lt;=0,D817&gt;100000000,ROUND(D817*100,6)&lt;&gt;INT(ROUND(D817*100,6))),TRUE)),IF(E817="",FALSE,IF(ISNUMBER(E817),OR(E817&lt;=0,E817&gt;100000000,ROUND(E817*100,6)&lt;&gt;INT(ROUND(E817*100,6))),TRUE)),AND($D817&lt;&gt;"",$D817&lt;MAX($C817,$E817)),AND($E817&lt;&gt;"",$E817&gt;MIN($C817,IF($D817="",$C817,$D817))),COUNTIFS($A$2:$A$1001,$A817,$B$2:$B$1001,$B817)&gt;1),"INVALID",IFERROR(IF(IF(INDEX(Accounts!$T$2:$T$11,$F817),ROUND(IF($E817="",$C817,MIN($C817,$E817))-(H817),6)&lt;=0,ROUND(IF($E817="",$C817,MIN($C817,$E817))-(H817),6)&lt;0),"BREACHED","OK"),"INCOMPLETE")),"INVALID"))))</f>
        <v/>
      </c>
      <c r="J817" s="33">
        <f>IF(OR(I817="OK",I817="BREACHED"),-INT(ROUND(-(H817)*100,6))/100,I817)</f>
        <v/>
      </c>
    </row>
    <row r="818" ht="18" customHeight="1">
      <c r="A818" s="9" t="n"/>
      <c r="B818" s="32" t="n"/>
      <c r="C818" s="12" t="n"/>
      <c r="D818" s="12" t="n"/>
      <c r="E818" s="12" t="n"/>
      <c r="F818" s="15">
        <f>IFERROR(MATCH($A818,Accounts!$A$2:$A$11,0),"")</f>
        <v/>
      </c>
      <c r="G818" s="14">
        <f>IFERROR(IF(OR($A818="",$F818=""),"",IF(INDEX(Accounts!$P$2:$P$11,$F818)="static",INDEX(Accounts!$Q$2:$Q$11,$F818),IF(INDEX(Accounts!$P$2:$P$11,$F818)="eod_trailing",MAX(INDEX(Accounts!$Q$2:$Q$11,$F818),_xlfn.MAXIFS($C$2:$C$1001,$A$2:$A$1001,$A818,$B$2:$B$1001,"&lt;"&amp;$B818)),MAX(INDEX(Accounts!$Q$2:$Q$11,$F818),_xlfn.MAXIFS($C$2:$C$1001,$A$2:$A$1001,$A818,$B$2:$B$1001,"&lt;"&amp;$B818),_xlfn.MAXIFS($D$2:$D$1001,$A$2:$A$1001,$A818,$B$2:$B$1001,"&lt;="&amp;$B818),$C818)))),"")</f>
        <v/>
      </c>
      <c r="H818" s="15">
        <f>IFERROR(IF(G818="","",IF(INDEX(Accounts!$P$2:$P$11,$F818)="static",INDEX(Accounts!$Q$2:$Q$11,$F818)-INDEX(Accounts!$R$2:$R$11,$F818),IF(INDEX(Accounts!$S$2:$S$11,$F818)="NONE",G818-INDEX(Accounts!$R$2:$R$11,$F818),MIN(G818-INDEX(Accounts!$R$2:$R$11,$F818),INDEX(Accounts!$Q$2:$Q$11,$F818)+INDEX(Accounts!$S$2:$S$11,$F818))))),"")</f>
        <v/>
      </c>
      <c r="I818" s="16">
        <f>IF(AND($A818="",$B818="",$C818="",$D818="",$E818=""),"",IF(OR($A818="",$F818=""),"UNKNOWN_ACCOUNT",IF(OR($B818="",$C818=""),"INCOMPLETE",IFERROR(IF(OR(NOT(ISNUMBER($B818)),NOT(ISNUMBER($C818)),IF(C818="",FALSE,IF(ISNUMBER(C818),OR(C818&lt;=0,C818&gt;100000000,ROUND(C818*100,6)&lt;&gt;INT(ROUND(C818*100,6))),TRUE)),IF(D818="",FALSE,IF(ISNUMBER(D818),OR(D818&lt;=0,D818&gt;100000000,ROUND(D818*100,6)&lt;&gt;INT(ROUND(D818*100,6))),TRUE)),IF(E818="",FALSE,IF(ISNUMBER(E818),OR(E818&lt;=0,E818&gt;100000000,ROUND(E818*100,6)&lt;&gt;INT(ROUND(E818*100,6))),TRUE)),AND($D818&lt;&gt;"",$D818&lt;MAX($C818,$E818)),AND($E818&lt;&gt;"",$E818&gt;MIN($C818,IF($D818="",$C818,$D818))),COUNTIFS($A$2:$A$1001,$A818,$B$2:$B$1001,$B818)&gt;1),"INVALID",IFERROR(IF(IF(INDEX(Accounts!$T$2:$T$11,$F818),ROUND(IF($E818="",$C818,MIN($C818,$E818))-(H818),6)&lt;=0,ROUND(IF($E818="",$C818,MIN($C818,$E818))-(H818),6)&lt;0),"BREACHED","OK"),"INCOMPLETE")),"INVALID"))))</f>
        <v/>
      </c>
      <c r="J818" s="33">
        <f>IF(OR(I818="OK",I818="BREACHED"),-INT(ROUND(-(H818)*100,6))/100,I818)</f>
        <v/>
      </c>
    </row>
    <row r="819" ht="18" customHeight="1">
      <c r="A819" s="9" t="n"/>
      <c r="B819" s="32" t="n"/>
      <c r="C819" s="12" t="n"/>
      <c r="D819" s="12" t="n"/>
      <c r="E819" s="12" t="n"/>
      <c r="F819" s="15">
        <f>IFERROR(MATCH($A819,Accounts!$A$2:$A$11,0),"")</f>
        <v/>
      </c>
      <c r="G819" s="14">
        <f>IFERROR(IF(OR($A819="",$F819=""),"",IF(INDEX(Accounts!$P$2:$P$11,$F819)="static",INDEX(Accounts!$Q$2:$Q$11,$F819),IF(INDEX(Accounts!$P$2:$P$11,$F819)="eod_trailing",MAX(INDEX(Accounts!$Q$2:$Q$11,$F819),_xlfn.MAXIFS($C$2:$C$1001,$A$2:$A$1001,$A819,$B$2:$B$1001,"&lt;"&amp;$B819)),MAX(INDEX(Accounts!$Q$2:$Q$11,$F819),_xlfn.MAXIFS($C$2:$C$1001,$A$2:$A$1001,$A819,$B$2:$B$1001,"&lt;"&amp;$B819),_xlfn.MAXIFS($D$2:$D$1001,$A$2:$A$1001,$A819,$B$2:$B$1001,"&lt;="&amp;$B819),$C819)))),"")</f>
        <v/>
      </c>
      <c r="H819" s="15">
        <f>IFERROR(IF(G819="","",IF(INDEX(Accounts!$P$2:$P$11,$F819)="static",INDEX(Accounts!$Q$2:$Q$11,$F819)-INDEX(Accounts!$R$2:$R$11,$F819),IF(INDEX(Accounts!$S$2:$S$11,$F819)="NONE",G819-INDEX(Accounts!$R$2:$R$11,$F819),MIN(G819-INDEX(Accounts!$R$2:$R$11,$F819),INDEX(Accounts!$Q$2:$Q$11,$F819)+INDEX(Accounts!$S$2:$S$11,$F819))))),"")</f>
        <v/>
      </c>
      <c r="I819" s="16">
        <f>IF(AND($A819="",$B819="",$C819="",$D819="",$E819=""),"",IF(OR($A819="",$F819=""),"UNKNOWN_ACCOUNT",IF(OR($B819="",$C819=""),"INCOMPLETE",IFERROR(IF(OR(NOT(ISNUMBER($B819)),NOT(ISNUMBER($C819)),IF(C819="",FALSE,IF(ISNUMBER(C819),OR(C819&lt;=0,C819&gt;100000000,ROUND(C819*100,6)&lt;&gt;INT(ROUND(C819*100,6))),TRUE)),IF(D819="",FALSE,IF(ISNUMBER(D819),OR(D819&lt;=0,D819&gt;100000000,ROUND(D819*100,6)&lt;&gt;INT(ROUND(D819*100,6))),TRUE)),IF(E819="",FALSE,IF(ISNUMBER(E819),OR(E819&lt;=0,E819&gt;100000000,ROUND(E819*100,6)&lt;&gt;INT(ROUND(E819*100,6))),TRUE)),AND($D819&lt;&gt;"",$D819&lt;MAX($C819,$E819)),AND($E819&lt;&gt;"",$E819&gt;MIN($C819,IF($D819="",$C819,$D819))),COUNTIFS($A$2:$A$1001,$A819,$B$2:$B$1001,$B819)&gt;1),"INVALID",IFERROR(IF(IF(INDEX(Accounts!$T$2:$T$11,$F819),ROUND(IF($E819="",$C819,MIN($C819,$E819))-(H819),6)&lt;=0,ROUND(IF($E819="",$C819,MIN($C819,$E819))-(H819),6)&lt;0),"BREACHED","OK"),"INCOMPLETE")),"INVALID"))))</f>
        <v/>
      </c>
      <c r="J819" s="33">
        <f>IF(OR(I819="OK",I819="BREACHED"),-INT(ROUND(-(H819)*100,6))/100,I819)</f>
        <v/>
      </c>
    </row>
    <row r="820" ht="18" customHeight="1">
      <c r="A820" s="9" t="n"/>
      <c r="B820" s="32" t="n"/>
      <c r="C820" s="12" t="n"/>
      <c r="D820" s="12" t="n"/>
      <c r="E820" s="12" t="n"/>
      <c r="F820" s="15">
        <f>IFERROR(MATCH($A820,Accounts!$A$2:$A$11,0),"")</f>
        <v/>
      </c>
      <c r="G820" s="14">
        <f>IFERROR(IF(OR($A820="",$F820=""),"",IF(INDEX(Accounts!$P$2:$P$11,$F820)="static",INDEX(Accounts!$Q$2:$Q$11,$F820),IF(INDEX(Accounts!$P$2:$P$11,$F820)="eod_trailing",MAX(INDEX(Accounts!$Q$2:$Q$11,$F820),_xlfn.MAXIFS($C$2:$C$1001,$A$2:$A$1001,$A820,$B$2:$B$1001,"&lt;"&amp;$B820)),MAX(INDEX(Accounts!$Q$2:$Q$11,$F820),_xlfn.MAXIFS($C$2:$C$1001,$A$2:$A$1001,$A820,$B$2:$B$1001,"&lt;"&amp;$B820),_xlfn.MAXIFS($D$2:$D$1001,$A$2:$A$1001,$A820,$B$2:$B$1001,"&lt;="&amp;$B820),$C820)))),"")</f>
        <v/>
      </c>
      <c r="H820" s="15">
        <f>IFERROR(IF(G820="","",IF(INDEX(Accounts!$P$2:$P$11,$F820)="static",INDEX(Accounts!$Q$2:$Q$11,$F820)-INDEX(Accounts!$R$2:$R$11,$F820),IF(INDEX(Accounts!$S$2:$S$11,$F820)="NONE",G820-INDEX(Accounts!$R$2:$R$11,$F820),MIN(G820-INDEX(Accounts!$R$2:$R$11,$F820),INDEX(Accounts!$Q$2:$Q$11,$F820)+INDEX(Accounts!$S$2:$S$11,$F820))))),"")</f>
        <v/>
      </c>
      <c r="I820" s="16">
        <f>IF(AND($A820="",$B820="",$C820="",$D820="",$E820=""),"",IF(OR($A820="",$F820=""),"UNKNOWN_ACCOUNT",IF(OR($B820="",$C820=""),"INCOMPLETE",IFERROR(IF(OR(NOT(ISNUMBER($B820)),NOT(ISNUMBER($C820)),IF(C820="",FALSE,IF(ISNUMBER(C820),OR(C820&lt;=0,C820&gt;100000000,ROUND(C820*100,6)&lt;&gt;INT(ROUND(C820*100,6))),TRUE)),IF(D820="",FALSE,IF(ISNUMBER(D820),OR(D820&lt;=0,D820&gt;100000000,ROUND(D820*100,6)&lt;&gt;INT(ROUND(D820*100,6))),TRUE)),IF(E820="",FALSE,IF(ISNUMBER(E820),OR(E820&lt;=0,E820&gt;100000000,ROUND(E820*100,6)&lt;&gt;INT(ROUND(E820*100,6))),TRUE)),AND($D820&lt;&gt;"",$D820&lt;MAX($C820,$E820)),AND($E820&lt;&gt;"",$E820&gt;MIN($C820,IF($D820="",$C820,$D820))),COUNTIFS($A$2:$A$1001,$A820,$B$2:$B$1001,$B820)&gt;1),"INVALID",IFERROR(IF(IF(INDEX(Accounts!$T$2:$T$11,$F820),ROUND(IF($E820="",$C820,MIN($C820,$E820))-(H820),6)&lt;=0,ROUND(IF($E820="",$C820,MIN($C820,$E820))-(H820),6)&lt;0),"BREACHED","OK"),"INCOMPLETE")),"INVALID"))))</f>
        <v/>
      </c>
      <c r="J820" s="33">
        <f>IF(OR(I820="OK",I820="BREACHED"),-INT(ROUND(-(H820)*100,6))/100,I820)</f>
        <v/>
      </c>
    </row>
    <row r="821" ht="18" customHeight="1">
      <c r="A821" s="9" t="n"/>
      <c r="B821" s="32" t="n"/>
      <c r="C821" s="12" t="n"/>
      <c r="D821" s="12" t="n"/>
      <c r="E821" s="12" t="n"/>
      <c r="F821" s="15">
        <f>IFERROR(MATCH($A821,Accounts!$A$2:$A$11,0),"")</f>
        <v/>
      </c>
      <c r="G821" s="14">
        <f>IFERROR(IF(OR($A821="",$F821=""),"",IF(INDEX(Accounts!$P$2:$P$11,$F821)="static",INDEX(Accounts!$Q$2:$Q$11,$F821),IF(INDEX(Accounts!$P$2:$P$11,$F821)="eod_trailing",MAX(INDEX(Accounts!$Q$2:$Q$11,$F821),_xlfn.MAXIFS($C$2:$C$1001,$A$2:$A$1001,$A821,$B$2:$B$1001,"&lt;"&amp;$B821)),MAX(INDEX(Accounts!$Q$2:$Q$11,$F821),_xlfn.MAXIFS($C$2:$C$1001,$A$2:$A$1001,$A821,$B$2:$B$1001,"&lt;"&amp;$B821),_xlfn.MAXIFS($D$2:$D$1001,$A$2:$A$1001,$A821,$B$2:$B$1001,"&lt;="&amp;$B821),$C821)))),"")</f>
        <v/>
      </c>
      <c r="H821" s="15">
        <f>IFERROR(IF(G821="","",IF(INDEX(Accounts!$P$2:$P$11,$F821)="static",INDEX(Accounts!$Q$2:$Q$11,$F821)-INDEX(Accounts!$R$2:$R$11,$F821),IF(INDEX(Accounts!$S$2:$S$11,$F821)="NONE",G821-INDEX(Accounts!$R$2:$R$11,$F821),MIN(G821-INDEX(Accounts!$R$2:$R$11,$F821),INDEX(Accounts!$Q$2:$Q$11,$F821)+INDEX(Accounts!$S$2:$S$11,$F821))))),"")</f>
        <v/>
      </c>
      <c r="I821" s="16">
        <f>IF(AND($A821="",$B821="",$C821="",$D821="",$E821=""),"",IF(OR($A821="",$F821=""),"UNKNOWN_ACCOUNT",IF(OR($B821="",$C821=""),"INCOMPLETE",IFERROR(IF(OR(NOT(ISNUMBER($B821)),NOT(ISNUMBER($C821)),IF(C821="",FALSE,IF(ISNUMBER(C821),OR(C821&lt;=0,C821&gt;100000000,ROUND(C821*100,6)&lt;&gt;INT(ROUND(C821*100,6))),TRUE)),IF(D821="",FALSE,IF(ISNUMBER(D821),OR(D821&lt;=0,D821&gt;100000000,ROUND(D821*100,6)&lt;&gt;INT(ROUND(D821*100,6))),TRUE)),IF(E821="",FALSE,IF(ISNUMBER(E821),OR(E821&lt;=0,E821&gt;100000000,ROUND(E821*100,6)&lt;&gt;INT(ROUND(E821*100,6))),TRUE)),AND($D821&lt;&gt;"",$D821&lt;MAX($C821,$E821)),AND($E821&lt;&gt;"",$E821&gt;MIN($C821,IF($D821="",$C821,$D821))),COUNTIFS($A$2:$A$1001,$A821,$B$2:$B$1001,$B821)&gt;1),"INVALID",IFERROR(IF(IF(INDEX(Accounts!$T$2:$T$11,$F821),ROUND(IF($E821="",$C821,MIN($C821,$E821))-(H821),6)&lt;=0,ROUND(IF($E821="",$C821,MIN($C821,$E821))-(H821),6)&lt;0),"BREACHED","OK"),"INCOMPLETE")),"INVALID"))))</f>
        <v/>
      </c>
      <c r="J821" s="33">
        <f>IF(OR(I821="OK",I821="BREACHED"),-INT(ROUND(-(H821)*100,6))/100,I821)</f>
        <v/>
      </c>
    </row>
    <row r="822" ht="18" customHeight="1">
      <c r="A822" s="9" t="n"/>
      <c r="B822" s="32" t="n"/>
      <c r="C822" s="12" t="n"/>
      <c r="D822" s="12" t="n"/>
      <c r="E822" s="12" t="n"/>
      <c r="F822" s="15">
        <f>IFERROR(MATCH($A822,Accounts!$A$2:$A$11,0),"")</f>
        <v/>
      </c>
      <c r="G822" s="14">
        <f>IFERROR(IF(OR($A822="",$F822=""),"",IF(INDEX(Accounts!$P$2:$P$11,$F822)="static",INDEX(Accounts!$Q$2:$Q$11,$F822),IF(INDEX(Accounts!$P$2:$P$11,$F822)="eod_trailing",MAX(INDEX(Accounts!$Q$2:$Q$11,$F822),_xlfn.MAXIFS($C$2:$C$1001,$A$2:$A$1001,$A822,$B$2:$B$1001,"&lt;"&amp;$B822)),MAX(INDEX(Accounts!$Q$2:$Q$11,$F822),_xlfn.MAXIFS($C$2:$C$1001,$A$2:$A$1001,$A822,$B$2:$B$1001,"&lt;"&amp;$B822),_xlfn.MAXIFS($D$2:$D$1001,$A$2:$A$1001,$A822,$B$2:$B$1001,"&lt;="&amp;$B822),$C822)))),"")</f>
        <v/>
      </c>
      <c r="H822" s="15">
        <f>IFERROR(IF(G822="","",IF(INDEX(Accounts!$P$2:$P$11,$F822)="static",INDEX(Accounts!$Q$2:$Q$11,$F822)-INDEX(Accounts!$R$2:$R$11,$F822),IF(INDEX(Accounts!$S$2:$S$11,$F822)="NONE",G822-INDEX(Accounts!$R$2:$R$11,$F822),MIN(G822-INDEX(Accounts!$R$2:$R$11,$F822),INDEX(Accounts!$Q$2:$Q$11,$F822)+INDEX(Accounts!$S$2:$S$11,$F822))))),"")</f>
        <v/>
      </c>
      <c r="I822" s="16">
        <f>IF(AND($A822="",$B822="",$C822="",$D822="",$E822=""),"",IF(OR($A822="",$F822=""),"UNKNOWN_ACCOUNT",IF(OR($B822="",$C822=""),"INCOMPLETE",IFERROR(IF(OR(NOT(ISNUMBER($B822)),NOT(ISNUMBER($C822)),IF(C822="",FALSE,IF(ISNUMBER(C822),OR(C822&lt;=0,C822&gt;100000000,ROUND(C822*100,6)&lt;&gt;INT(ROUND(C822*100,6))),TRUE)),IF(D822="",FALSE,IF(ISNUMBER(D822),OR(D822&lt;=0,D822&gt;100000000,ROUND(D822*100,6)&lt;&gt;INT(ROUND(D822*100,6))),TRUE)),IF(E822="",FALSE,IF(ISNUMBER(E822),OR(E822&lt;=0,E822&gt;100000000,ROUND(E822*100,6)&lt;&gt;INT(ROUND(E822*100,6))),TRUE)),AND($D822&lt;&gt;"",$D822&lt;MAX($C822,$E822)),AND($E822&lt;&gt;"",$E822&gt;MIN($C822,IF($D822="",$C822,$D822))),COUNTIFS($A$2:$A$1001,$A822,$B$2:$B$1001,$B822)&gt;1),"INVALID",IFERROR(IF(IF(INDEX(Accounts!$T$2:$T$11,$F822),ROUND(IF($E822="",$C822,MIN($C822,$E822))-(H822),6)&lt;=0,ROUND(IF($E822="",$C822,MIN($C822,$E822))-(H822),6)&lt;0),"BREACHED","OK"),"INCOMPLETE")),"INVALID"))))</f>
        <v/>
      </c>
      <c r="J822" s="33">
        <f>IF(OR(I822="OK",I822="BREACHED"),-INT(ROUND(-(H822)*100,6))/100,I822)</f>
        <v/>
      </c>
    </row>
    <row r="823" ht="18" customHeight="1">
      <c r="A823" s="9" t="n"/>
      <c r="B823" s="32" t="n"/>
      <c r="C823" s="12" t="n"/>
      <c r="D823" s="12" t="n"/>
      <c r="E823" s="12" t="n"/>
      <c r="F823" s="15">
        <f>IFERROR(MATCH($A823,Accounts!$A$2:$A$11,0),"")</f>
        <v/>
      </c>
      <c r="G823" s="14">
        <f>IFERROR(IF(OR($A823="",$F823=""),"",IF(INDEX(Accounts!$P$2:$P$11,$F823)="static",INDEX(Accounts!$Q$2:$Q$11,$F823),IF(INDEX(Accounts!$P$2:$P$11,$F823)="eod_trailing",MAX(INDEX(Accounts!$Q$2:$Q$11,$F823),_xlfn.MAXIFS($C$2:$C$1001,$A$2:$A$1001,$A823,$B$2:$B$1001,"&lt;"&amp;$B823)),MAX(INDEX(Accounts!$Q$2:$Q$11,$F823),_xlfn.MAXIFS($C$2:$C$1001,$A$2:$A$1001,$A823,$B$2:$B$1001,"&lt;"&amp;$B823),_xlfn.MAXIFS($D$2:$D$1001,$A$2:$A$1001,$A823,$B$2:$B$1001,"&lt;="&amp;$B823),$C823)))),"")</f>
        <v/>
      </c>
      <c r="H823" s="15">
        <f>IFERROR(IF(G823="","",IF(INDEX(Accounts!$P$2:$P$11,$F823)="static",INDEX(Accounts!$Q$2:$Q$11,$F823)-INDEX(Accounts!$R$2:$R$11,$F823),IF(INDEX(Accounts!$S$2:$S$11,$F823)="NONE",G823-INDEX(Accounts!$R$2:$R$11,$F823),MIN(G823-INDEX(Accounts!$R$2:$R$11,$F823),INDEX(Accounts!$Q$2:$Q$11,$F823)+INDEX(Accounts!$S$2:$S$11,$F823))))),"")</f>
        <v/>
      </c>
      <c r="I823" s="16">
        <f>IF(AND($A823="",$B823="",$C823="",$D823="",$E823=""),"",IF(OR($A823="",$F823=""),"UNKNOWN_ACCOUNT",IF(OR($B823="",$C823=""),"INCOMPLETE",IFERROR(IF(OR(NOT(ISNUMBER($B823)),NOT(ISNUMBER($C823)),IF(C823="",FALSE,IF(ISNUMBER(C823),OR(C823&lt;=0,C823&gt;100000000,ROUND(C823*100,6)&lt;&gt;INT(ROUND(C823*100,6))),TRUE)),IF(D823="",FALSE,IF(ISNUMBER(D823),OR(D823&lt;=0,D823&gt;100000000,ROUND(D823*100,6)&lt;&gt;INT(ROUND(D823*100,6))),TRUE)),IF(E823="",FALSE,IF(ISNUMBER(E823),OR(E823&lt;=0,E823&gt;100000000,ROUND(E823*100,6)&lt;&gt;INT(ROUND(E823*100,6))),TRUE)),AND($D823&lt;&gt;"",$D823&lt;MAX($C823,$E823)),AND($E823&lt;&gt;"",$E823&gt;MIN($C823,IF($D823="",$C823,$D823))),COUNTIFS($A$2:$A$1001,$A823,$B$2:$B$1001,$B823)&gt;1),"INVALID",IFERROR(IF(IF(INDEX(Accounts!$T$2:$T$11,$F823),ROUND(IF($E823="",$C823,MIN($C823,$E823))-(H823),6)&lt;=0,ROUND(IF($E823="",$C823,MIN($C823,$E823))-(H823),6)&lt;0),"BREACHED","OK"),"INCOMPLETE")),"INVALID"))))</f>
        <v/>
      </c>
      <c r="J823" s="33">
        <f>IF(OR(I823="OK",I823="BREACHED"),-INT(ROUND(-(H823)*100,6))/100,I823)</f>
        <v/>
      </c>
    </row>
    <row r="824" ht="18" customHeight="1">
      <c r="A824" s="9" t="n"/>
      <c r="B824" s="32" t="n"/>
      <c r="C824" s="12" t="n"/>
      <c r="D824" s="12" t="n"/>
      <c r="E824" s="12" t="n"/>
      <c r="F824" s="15">
        <f>IFERROR(MATCH($A824,Accounts!$A$2:$A$11,0),"")</f>
        <v/>
      </c>
      <c r="G824" s="14">
        <f>IFERROR(IF(OR($A824="",$F824=""),"",IF(INDEX(Accounts!$P$2:$P$11,$F824)="static",INDEX(Accounts!$Q$2:$Q$11,$F824),IF(INDEX(Accounts!$P$2:$P$11,$F824)="eod_trailing",MAX(INDEX(Accounts!$Q$2:$Q$11,$F824),_xlfn.MAXIFS($C$2:$C$1001,$A$2:$A$1001,$A824,$B$2:$B$1001,"&lt;"&amp;$B824)),MAX(INDEX(Accounts!$Q$2:$Q$11,$F824),_xlfn.MAXIFS($C$2:$C$1001,$A$2:$A$1001,$A824,$B$2:$B$1001,"&lt;"&amp;$B824),_xlfn.MAXIFS($D$2:$D$1001,$A$2:$A$1001,$A824,$B$2:$B$1001,"&lt;="&amp;$B824),$C824)))),"")</f>
        <v/>
      </c>
      <c r="H824" s="15">
        <f>IFERROR(IF(G824="","",IF(INDEX(Accounts!$P$2:$P$11,$F824)="static",INDEX(Accounts!$Q$2:$Q$11,$F824)-INDEX(Accounts!$R$2:$R$11,$F824),IF(INDEX(Accounts!$S$2:$S$11,$F824)="NONE",G824-INDEX(Accounts!$R$2:$R$11,$F824),MIN(G824-INDEX(Accounts!$R$2:$R$11,$F824),INDEX(Accounts!$Q$2:$Q$11,$F824)+INDEX(Accounts!$S$2:$S$11,$F824))))),"")</f>
        <v/>
      </c>
      <c r="I824" s="16">
        <f>IF(AND($A824="",$B824="",$C824="",$D824="",$E824=""),"",IF(OR($A824="",$F824=""),"UNKNOWN_ACCOUNT",IF(OR($B824="",$C824=""),"INCOMPLETE",IFERROR(IF(OR(NOT(ISNUMBER($B824)),NOT(ISNUMBER($C824)),IF(C824="",FALSE,IF(ISNUMBER(C824),OR(C824&lt;=0,C824&gt;100000000,ROUND(C824*100,6)&lt;&gt;INT(ROUND(C824*100,6))),TRUE)),IF(D824="",FALSE,IF(ISNUMBER(D824),OR(D824&lt;=0,D824&gt;100000000,ROUND(D824*100,6)&lt;&gt;INT(ROUND(D824*100,6))),TRUE)),IF(E824="",FALSE,IF(ISNUMBER(E824),OR(E824&lt;=0,E824&gt;100000000,ROUND(E824*100,6)&lt;&gt;INT(ROUND(E824*100,6))),TRUE)),AND($D824&lt;&gt;"",$D824&lt;MAX($C824,$E824)),AND($E824&lt;&gt;"",$E824&gt;MIN($C824,IF($D824="",$C824,$D824))),COUNTIFS($A$2:$A$1001,$A824,$B$2:$B$1001,$B824)&gt;1),"INVALID",IFERROR(IF(IF(INDEX(Accounts!$T$2:$T$11,$F824),ROUND(IF($E824="",$C824,MIN($C824,$E824))-(H824),6)&lt;=0,ROUND(IF($E824="",$C824,MIN($C824,$E824))-(H824),6)&lt;0),"BREACHED","OK"),"INCOMPLETE")),"INVALID"))))</f>
        <v/>
      </c>
      <c r="J824" s="33">
        <f>IF(OR(I824="OK",I824="BREACHED"),-INT(ROUND(-(H824)*100,6))/100,I824)</f>
        <v/>
      </c>
    </row>
    <row r="825" ht="18" customHeight="1">
      <c r="A825" s="9" t="n"/>
      <c r="B825" s="32" t="n"/>
      <c r="C825" s="12" t="n"/>
      <c r="D825" s="12" t="n"/>
      <c r="E825" s="12" t="n"/>
      <c r="F825" s="15">
        <f>IFERROR(MATCH($A825,Accounts!$A$2:$A$11,0),"")</f>
        <v/>
      </c>
      <c r="G825" s="14">
        <f>IFERROR(IF(OR($A825="",$F825=""),"",IF(INDEX(Accounts!$P$2:$P$11,$F825)="static",INDEX(Accounts!$Q$2:$Q$11,$F825),IF(INDEX(Accounts!$P$2:$P$11,$F825)="eod_trailing",MAX(INDEX(Accounts!$Q$2:$Q$11,$F825),_xlfn.MAXIFS($C$2:$C$1001,$A$2:$A$1001,$A825,$B$2:$B$1001,"&lt;"&amp;$B825)),MAX(INDEX(Accounts!$Q$2:$Q$11,$F825),_xlfn.MAXIFS($C$2:$C$1001,$A$2:$A$1001,$A825,$B$2:$B$1001,"&lt;"&amp;$B825),_xlfn.MAXIFS($D$2:$D$1001,$A$2:$A$1001,$A825,$B$2:$B$1001,"&lt;="&amp;$B825),$C825)))),"")</f>
        <v/>
      </c>
      <c r="H825" s="15">
        <f>IFERROR(IF(G825="","",IF(INDEX(Accounts!$P$2:$P$11,$F825)="static",INDEX(Accounts!$Q$2:$Q$11,$F825)-INDEX(Accounts!$R$2:$R$11,$F825),IF(INDEX(Accounts!$S$2:$S$11,$F825)="NONE",G825-INDEX(Accounts!$R$2:$R$11,$F825),MIN(G825-INDEX(Accounts!$R$2:$R$11,$F825),INDEX(Accounts!$Q$2:$Q$11,$F825)+INDEX(Accounts!$S$2:$S$11,$F825))))),"")</f>
        <v/>
      </c>
      <c r="I825" s="16">
        <f>IF(AND($A825="",$B825="",$C825="",$D825="",$E825=""),"",IF(OR($A825="",$F825=""),"UNKNOWN_ACCOUNT",IF(OR($B825="",$C825=""),"INCOMPLETE",IFERROR(IF(OR(NOT(ISNUMBER($B825)),NOT(ISNUMBER($C825)),IF(C825="",FALSE,IF(ISNUMBER(C825),OR(C825&lt;=0,C825&gt;100000000,ROUND(C825*100,6)&lt;&gt;INT(ROUND(C825*100,6))),TRUE)),IF(D825="",FALSE,IF(ISNUMBER(D825),OR(D825&lt;=0,D825&gt;100000000,ROUND(D825*100,6)&lt;&gt;INT(ROUND(D825*100,6))),TRUE)),IF(E825="",FALSE,IF(ISNUMBER(E825),OR(E825&lt;=0,E825&gt;100000000,ROUND(E825*100,6)&lt;&gt;INT(ROUND(E825*100,6))),TRUE)),AND($D825&lt;&gt;"",$D825&lt;MAX($C825,$E825)),AND($E825&lt;&gt;"",$E825&gt;MIN($C825,IF($D825="",$C825,$D825))),COUNTIFS($A$2:$A$1001,$A825,$B$2:$B$1001,$B825)&gt;1),"INVALID",IFERROR(IF(IF(INDEX(Accounts!$T$2:$T$11,$F825),ROUND(IF($E825="",$C825,MIN($C825,$E825))-(H825),6)&lt;=0,ROUND(IF($E825="",$C825,MIN($C825,$E825))-(H825),6)&lt;0),"BREACHED","OK"),"INCOMPLETE")),"INVALID"))))</f>
        <v/>
      </c>
      <c r="J825" s="33">
        <f>IF(OR(I825="OK",I825="BREACHED"),-INT(ROUND(-(H825)*100,6))/100,I825)</f>
        <v/>
      </c>
    </row>
    <row r="826" ht="18" customHeight="1">
      <c r="A826" s="9" t="n"/>
      <c r="B826" s="32" t="n"/>
      <c r="C826" s="12" t="n"/>
      <c r="D826" s="12" t="n"/>
      <c r="E826" s="12" t="n"/>
      <c r="F826" s="15">
        <f>IFERROR(MATCH($A826,Accounts!$A$2:$A$11,0),"")</f>
        <v/>
      </c>
      <c r="G826" s="14">
        <f>IFERROR(IF(OR($A826="",$F826=""),"",IF(INDEX(Accounts!$P$2:$P$11,$F826)="static",INDEX(Accounts!$Q$2:$Q$11,$F826),IF(INDEX(Accounts!$P$2:$P$11,$F826)="eod_trailing",MAX(INDEX(Accounts!$Q$2:$Q$11,$F826),_xlfn.MAXIFS($C$2:$C$1001,$A$2:$A$1001,$A826,$B$2:$B$1001,"&lt;"&amp;$B826)),MAX(INDEX(Accounts!$Q$2:$Q$11,$F826),_xlfn.MAXIFS($C$2:$C$1001,$A$2:$A$1001,$A826,$B$2:$B$1001,"&lt;"&amp;$B826),_xlfn.MAXIFS($D$2:$D$1001,$A$2:$A$1001,$A826,$B$2:$B$1001,"&lt;="&amp;$B826),$C826)))),"")</f>
        <v/>
      </c>
      <c r="H826" s="15">
        <f>IFERROR(IF(G826="","",IF(INDEX(Accounts!$P$2:$P$11,$F826)="static",INDEX(Accounts!$Q$2:$Q$11,$F826)-INDEX(Accounts!$R$2:$R$11,$F826),IF(INDEX(Accounts!$S$2:$S$11,$F826)="NONE",G826-INDEX(Accounts!$R$2:$R$11,$F826),MIN(G826-INDEX(Accounts!$R$2:$R$11,$F826),INDEX(Accounts!$Q$2:$Q$11,$F826)+INDEX(Accounts!$S$2:$S$11,$F826))))),"")</f>
        <v/>
      </c>
      <c r="I826" s="16">
        <f>IF(AND($A826="",$B826="",$C826="",$D826="",$E826=""),"",IF(OR($A826="",$F826=""),"UNKNOWN_ACCOUNT",IF(OR($B826="",$C826=""),"INCOMPLETE",IFERROR(IF(OR(NOT(ISNUMBER($B826)),NOT(ISNUMBER($C826)),IF(C826="",FALSE,IF(ISNUMBER(C826),OR(C826&lt;=0,C826&gt;100000000,ROUND(C826*100,6)&lt;&gt;INT(ROUND(C826*100,6))),TRUE)),IF(D826="",FALSE,IF(ISNUMBER(D826),OR(D826&lt;=0,D826&gt;100000000,ROUND(D826*100,6)&lt;&gt;INT(ROUND(D826*100,6))),TRUE)),IF(E826="",FALSE,IF(ISNUMBER(E826),OR(E826&lt;=0,E826&gt;100000000,ROUND(E826*100,6)&lt;&gt;INT(ROUND(E826*100,6))),TRUE)),AND($D826&lt;&gt;"",$D826&lt;MAX($C826,$E826)),AND($E826&lt;&gt;"",$E826&gt;MIN($C826,IF($D826="",$C826,$D826))),COUNTIFS($A$2:$A$1001,$A826,$B$2:$B$1001,$B826)&gt;1),"INVALID",IFERROR(IF(IF(INDEX(Accounts!$T$2:$T$11,$F826),ROUND(IF($E826="",$C826,MIN($C826,$E826))-(H826),6)&lt;=0,ROUND(IF($E826="",$C826,MIN($C826,$E826))-(H826),6)&lt;0),"BREACHED","OK"),"INCOMPLETE")),"INVALID"))))</f>
        <v/>
      </c>
      <c r="J826" s="33">
        <f>IF(OR(I826="OK",I826="BREACHED"),-INT(ROUND(-(H826)*100,6))/100,I826)</f>
        <v/>
      </c>
    </row>
    <row r="827" ht="18" customHeight="1">
      <c r="A827" s="9" t="n"/>
      <c r="B827" s="32" t="n"/>
      <c r="C827" s="12" t="n"/>
      <c r="D827" s="12" t="n"/>
      <c r="E827" s="12" t="n"/>
      <c r="F827" s="15">
        <f>IFERROR(MATCH($A827,Accounts!$A$2:$A$11,0),"")</f>
        <v/>
      </c>
      <c r="G827" s="14">
        <f>IFERROR(IF(OR($A827="",$F827=""),"",IF(INDEX(Accounts!$P$2:$P$11,$F827)="static",INDEX(Accounts!$Q$2:$Q$11,$F827),IF(INDEX(Accounts!$P$2:$P$11,$F827)="eod_trailing",MAX(INDEX(Accounts!$Q$2:$Q$11,$F827),_xlfn.MAXIFS($C$2:$C$1001,$A$2:$A$1001,$A827,$B$2:$B$1001,"&lt;"&amp;$B827)),MAX(INDEX(Accounts!$Q$2:$Q$11,$F827),_xlfn.MAXIFS($C$2:$C$1001,$A$2:$A$1001,$A827,$B$2:$B$1001,"&lt;"&amp;$B827),_xlfn.MAXIFS($D$2:$D$1001,$A$2:$A$1001,$A827,$B$2:$B$1001,"&lt;="&amp;$B827),$C827)))),"")</f>
        <v/>
      </c>
      <c r="H827" s="15">
        <f>IFERROR(IF(G827="","",IF(INDEX(Accounts!$P$2:$P$11,$F827)="static",INDEX(Accounts!$Q$2:$Q$11,$F827)-INDEX(Accounts!$R$2:$R$11,$F827),IF(INDEX(Accounts!$S$2:$S$11,$F827)="NONE",G827-INDEX(Accounts!$R$2:$R$11,$F827),MIN(G827-INDEX(Accounts!$R$2:$R$11,$F827),INDEX(Accounts!$Q$2:$Q$11,$F827)+INDEX(Accounts!$S$2:$S$11,$F827))))),"")</f>
        <v/>
      </c>
      <c r="I827" s="16">
        <f>IF(AND($A827="",$B827="",$C827="",$D827="",$E827=""),"",IF(OR($A827="",$F827=""),"UNKNOWN_ACCOUNT",IF(OR($B827="",$C827=""),"INCOMPLETE",IFERROR(IF(OR(NOT(ISNUMBER($B827)),NOT(ISNUMBER($C827)),IF(C827="",FALSE,IF(ISNUMBER(C827),OR(C827&lt;=0,C827&gt;100000000,ROUND(C827*100,6)&lt;&gt;INT(ROUND(C827*100,6))),TRUE)),IF(D827="",FALSE,IF(ISNUMBER(D827),OR(D827&lt;=0,D827&gt;100000000,ROUND(D827*100,6)&lt;&gt;INT(ROUND(D827*100,6))),TRUE)),IF(E827="",FALSE,IF(ISNUMBER(E827),OR(E827&lt;=0,E827&gt;100000000,ROUND(E827*100,6)&lt;&gt;INT(ROUND(E827*100,6))),TRUE)),AND($D827&lt;&gt;"",$D827&lt;MAX($C827,$E827)),AND($E827&lt;&gt;"",$E827&gt;MIN($C827,IF($D827="",$C827,$D827))),COUNTIFS($A$2:$A$1001,$A827,$B$2:$B$1001,$B827)&gt;1),"INVALID",IFERROR(IF(IF(INDEX(Accounts!$T$2:$T$11,$F827),ROUND(IF($E827="",$C827,MIN($C827,$E827))-(H827),6)&lt;=0,ROUND(IF($E827="",$C827,MIN($C827,$E827))-(H827),6)&lt;0),"BREACHED","OK"),"INCOMPLETE")),"INVALID"))))</f>
        <v/>
      </c>
      <c r="J827" s="33">
        <f>IF(OR(I827="OK",I827="BREACHED"),-INT(ROUND(-(H827)*100,6))/100,I827)</f>
        <v/>
      </c>
    </row>
    <row r="828" ht="18" customHeight="1">
      <c r="A828" s="9" t="n"/>
      <c r="B828" s="32" t="n"/>
      <c r="C828" s="12" t="n"/>
      <c r="D828" s="12" t="n"/>
      <c r="E828" s="12" t="n"/>
      <c r="F828" s="15">
        <f>IFERROR(MATCH($A828,Accounts!$A$2:$A$11,0),"")</f>
        <v/>
      </c>
      <c r="G828" s="14">
        <f>IFERROR(IF(OR($A828="",$F828=""),"",IF(INDEX(Accounts!$P$2:$P$11,$F828)="static",INDEX(Accounts!$Q$2:$Q$11,$F828),IF(INDEX(Accounts!$P$2:$P$11,$F828)="eod_trailing",MAX(INDEX(Accounts!$Q$2:$Q$11,$F828),_xlfn.MAXIFS($C$2:$C$1001,$A$2:$A$1001,$A828,$B$2:$B$1001,"&lt;"&amp;$B828)),MAX(INDEX(Accounts!$Q$2:$Q$11,$F828),_xlfn.MAXIFS($C$2:$C$1001,$A$2:$A$1001,$A828,$B$2:$B$1001,"&lt;"&amp;$B828),_xlfn.MAXIFS($D$2:$D$1001,$A$2:$A$1001,$A828,$B$2:$B$1001,"&lt;="&amp;$B828),$C828)))),"")</f>
        <v/>
      </c>
      <c r="H828" s="15">
        <f>IFERROR(IF(G828="","",IF(INDEX(Accounts!$P$2:$P$11,$F828)="static",INDEX(Accounts!$Q$2:$Q$11,$F828)-INDEX(Accounts!$R$2:$R$11,$F828),IF(INDEX(Accounts!$S$2:$S$11,$F828)="NONE",G828-INDEX(Accounts!$R$2:$R$11,$F828),MIN(G828-INDEX(Accounts!$R$2:$R$11,$F828),INDEX(Accounts!$Q$2:$Q$11,$F828)+INDEX(Accounts!$S$2:$S$11,$F828))))),"")</f>
        <v/>
      </c>
      <c r="I828" s="16">
        <f>IF(AND($A828="",$B828="",$C828="",$D828="",$E828=""),"",IF(OR($A828="",$F828=""),"UNKNOWN_ACCOUNT",IF(OR($B828="",$C828=""),"INCOMPLETE",IFERROR(IF(OR(NOT(ISNUMBER($B828)),NOT(ISNUMBER($C828)),IF(C828="",FALSE,IF(ISNUMBER(C828),OR(C828&lt;=0,C828&gt;100000000,ROUND(C828*100,6)&lt;&gt;INT(ROUND(C828*100,6))),TRUE)),IF(D828="",FALSE,IF(ISNUMBER(D828),OR(D828&lt;=0,D828&gt;100000000,ROUND(D828*100,6)&lt;&gt;INT(ROUND(D828*100,6))),TRUE)),IF(E828="",FALSE,IF(ISNUMBER(E828),OR(E828&lt;=0,E828&gt;100000000,ROUND(E828*100,6)&lt;&gt;INT(ROUND(E828*100,6))),TRUE)),AND($D828&lt;&gt;"",$D828&lt;MAX($C828,$E828)),AND($E828&lt;&gt;"",$E828&gt;MIN($C828,IF($D828="",$C828,$D828))),COUNTIFS($A$2:$A$1001,$A828,$B$2:$B$1001,$B828)&gt;1),"INVALID",IFERROR(IF(IF(INDEX(Accounts!$T$2:$T$11,$F828),ROUND(IF($E828="",$C828,MIN($C828,$E828))-(H828),6)&lt;=0,ROUND(IF($E828="",$C828,MIN($C828,$E828))-(H828),6)&lt;0),"BREACHED","OK"),"INCOMPLETE")),"INVALID"))))</f>
        <v/>
      </c>
      <c r="J828" s="33">
        <f>IF(OR(I828="OK",I828="BREACHED"),-INT(ROUND(-(H828)*100,6))/100,I828)</f>
        <v/>
      </c>
    </row>
    <row r="829" ht="18" customHeight="1">
      <c r="A829" s="9" t="n"/>
      <c r="B829" s="32" t="n"/>
      <c r="C829" s="12" t="n"/>
      <c r="D829" s="12" t="n"/>
      <c r="E829" s="12" t="n"/>
      <c r="F829" s="15">
        <f>IFERROR(MATCH($A829,Accounts!$A$2:$A$11,0),"")</f>
        <v/>
      </c>
      <c r="G829" s="14">
        <f>IFERROR(IF(OR($A829="",$F829=""),"",IF(INDEX(Accounts!$P$2:$P$11,$F829)="static",INDEX(Accounts!$Q$2:$Q$11,$F829),IF(INDEX(Accounts!$P$2:$P$11,$F829)="eod_trailing",MAX(INDEX(Accounts!$Q$2:$Q$11,$F829),_xlfn.MAXIFS($C$2:$C$1001,$A$2:$A$1001,$A829,$B$2:$B$1001,"&lt;"&amp;$B829)),MAX(INDEX(Accounts!$Q$2:$Q$11,$F829),_xlfn.MAXIFS($C$2:$C$1001,$A$2:$A$1001,$A829,$B$2:$B$1001,"&lt;"&amp;$B829),_xlfn.MAXIFS($D$2:$D$1001,$A$2:$A$1001,$A829,$B$2:$B$1001,"&lt;="&amp;$B829),$C829)))),"")</f>
        <v/>
      </c>
      <c r="H829" s="15">
        <f>IFERROR(IF(G829="","",IF(INDEX(Accounts!$P$2:$P$11,$F829)="static",INDEX(Accounts!$Q$2:$Q$11,$F829)-INDEX(Accounts!$R$2:$R$11,$F829),IF(INDEX(Accounts!$S$2:$S$11,$F829)="NONE",G829-INDEX(Accounts!$R$2:$R$11,$F829),MIN(G829-INDEX(Accounts!$R$2:$R$11,$F829),INDEX(Accounts!$Q$2:$Q$11,$F829)+INDEX(Accounts!$S$2:$S$11,$F829))))),"")</f>
        <v/>
      </c>
      <c r="I829" s="16">
        <f>IF(AND($A829="",$B829="",$C829="",$D829="",$E829=""),"",IF(OR($A829="",$F829=""),"UNKNOWN_ACCOUNT",IF(OR($B829="",$C829=""),"INCOMPLETE",IFERROR(IF(OR(NOT(ISNUMBER($B829)),NOT(ISNUMBER($C829)),IF(C829="",FALSE,IF(ISNUMBER(C829),OR(C829&lt;=0,C829&gt;100000000,ROUND(C829*100,6)&lt;&gt;INT(ROUND(C829*100,6))),TRUE)),IF(D829="",FALSE,IF(ISNUMBER(D829),OR(D829&lt;=0,D829&gt;100000000,ROUND(D829*100,6)&lt;&gt;INT(ROUND(D829*100,6))),TRUE)),IF(E829="",FALSE,IF(ISNUMBER(E829),OR(E829&lt;=0,E829&gt;100000000,ROUND(E829*100,6)&lt;&gt;INT(ROUND(E829*100,6))),TRUE)),AND($D829&lt;&gt;"",$D829&lt;MAX($C829,$E829)),AND($E829&lt;&gt;"",$E829&gt;MIN($C829,IF($D829="",$C829,$D829))),COUNTIFS($A$2:$A$1001,$A829,$B$2:$B$1001,$B829)&gt;1),"INVALID",IFERROR(IF(IF(INDEX(Accounts!$T$2:$T$11,$F829),ROUND(IF($E829="",$C829,MIN($C829,$E829))-(H829),6)&lt;=0,ROUND(IF($E829="",$C829,MIN($C829,$E829))-(H829),6)&lt;0),"BREACHED","OK"),"INCOMPLETE")),"INVALID"))))</f>
        <v/>
      </c>
      <c r="J829" s="33">
        <f>IF(OR(I829="OK",I829="BREACHED"),-INT(ROUND(-(H829)*100,6))/100,I829)</f>
        <v/>
      </c>
    </row>
    <row r="830" ht="18" customHeight="1">
      <c r="A830" s="9" t="n"/>
      <c r="B830" s="32" t="n"/>
      <c r="C830" s="12" t="n"/>
      <c r="D830" s="12" t="n"/>
      <c r="E830" s="12" t="n"/>
      <c r="F830" s="15">
        <f>IFERROR(MATCH($A830,Accounts!$A$2:$A$11,0),"")</f>
        <v/>
      </c>
      <c r="G830" s="14">
        <f>IFERROR(IF(OR($A830="",$F830=""),"",IF(INDEX(Accounts!$P$2:$P$11,$F830)="static",INDEX(Accounts!$Q$2:$Q$11,$F830),IF(INDEX(Accounts!$P$2:$P$11,$F830)="eod_trailing",MAX(INDEX(Accounts!$Q$2:$Q$11,$F830),_xlfn.MAXIFS($C$2:$C$1001,$A$2:$A$1001,$A830,$B$2:$B$1001,"&lt;"&amp;$B830)),MAX(INDEX(Accounts!$Q$2:$Q$11,$F830),_xlfn.MAXIFS($C$2:$C$1001,$A$2:$A$1001,$A830,$B$2:$B$1001,"&lt;"&amp;$B830),_xlfn.MAXIFS($D$2:$D$1001,$A$2:$A$1001,$A830,$B$2:$B$1001,"&lt;="&amp;$B830),$C830)))),"")</f>
        <v/>
      </c>
      <c r="H830" s="15">
        <f>IFERROR(IF(G830="","",IF(INDEX(Accounts!$P$2:$P$11,$F830)="static",INDEX(Accounts!$Q$2:$Q$11,$F830)-INDEX(Accounts!$R$2:$R$11,$F830),IF(INDEX(Accounts!$S$2:$S$11,$F830)="NONE",G830-INDEX(Accounts!$R$2:$R$11,$F830),MIN(G830-INDEX(Accounts!$R$2:$R$11,$F830),INDEX(Accounts!$Q$2:$Q$11,$F830)+INDEX(Accounts!$S$2:$S$11,$F830))))),"")</f>
        <v/>
      </c>
      <c r="I830" s="16">
        <f>IF(AND($A830="",$B830="",$C830="",$D830="",$E830=""),"",IF(OR($A830="",$F830=""),"UNKNOWN_ACCOUNT",IF(OR($B830="",$C830=""),"INCOMPLETE",IFERROR(IF(OR(NOT(ISNUMBER($B830)),NOT(ISNUMBER($C830)),IF(C830="",FALSE,IF(ISNUMBER(C830),OR(C830&lt;=0,C830&gt;100000000,ROUND(C830*100,6)&lt;&gt;INT(ROUND(C830*100,6))),TRUE)),IF(D830="",FALSE,IF(ISNUMBER(D830),OR(D830&lt;=0,D830&gt;100000000,ROUND(D830*100,6)&lt;&gt;INT(ROUND(D830*100,6))),TRUE)),IF(E830="",FALSE,IF(ISNUMBER(E830),OR(E830&lt;=0,E830&gt;100000000,ROUND(E830*100,6)&lt;&gt;INT(ROUND(E830*100,6))),TRUE)),AND($D830&lt;&gt;"",$D830&lt;MAX($C830,$E830)),AND($E830&lt;&gt;"",$E830&gt;MIN($C830,IF($D830="",$C830,$D830))),COUNTIFS($A$2:$A$1001,$A830,$B$2:$B$1001,$B830)&gt;1),"INVALID",IFERROR(IF(IF(INDEX(Accounts!$T$2:$T$11,$F830),ROUND(IF($E830="",$C830,MIN($C830,$E830))-(H830),6)&lt;=0,ROUND(IF($E830="",$C830,MIN($C830,$E830))-(H830),6)&lt;0),"BREACHED","OK"),"INCOMPLETE")),"INVALID"))))</f>
        <v/>
      </c>
      <c r="J830" s="33">
        <f>IF(OR(I830="OK",I830="BREACHED"),-INT(ROUND(-(H830)*100,6))/100,I830)</f>
        <v/>
      </c>
    </row>
    <row r="831" ht="18" customHeight="1">
      <c r="A831" s="9" t="n"/>
      <c r="B831" s="32" t="n"/>
      <c r="C831" s="12" t="n"/>
      <c r="D831" s="12" t="n"/>
      <c r="E831" s="12" t="n"/>
      <c r="F831" s="15">
        <f>IFERROR(MATCH($A831,Accounts!$A$2:$A$11,0),"")</f>
        <v/>
      </c>
      <c r="G831" s="14">
        <f>IFERROR(IF(OR($A831="",$F831=""),"",IF(INDEX(Accounts!$P$2:$P$11,$F831)="static",INDEX(Accounts!$Q$2:$Q$11,$F831),IF(INDEX(Accounts!$P$2:$P$11,$F831)="eod_trailing",MAX(INDEX(Accounts!$Q$2:$Q$11,$F831),_xlfn.MAXIFS($C$2:$C$1001,$A$2:$A$1001,$A831,$B$2:$B$1001,"&lt;"&amp;$B831)),MAX(INDEX(Accounts!$Q$2:$Q$11,$F831),_xlfn.MAXIFS($C$2:$C$1001,$A$2:$A$1001,$A831,$B$2:$B$1001,"&lt;"&amp;$B831),_xlfn.MAXIFS($D$2:$D$1001,$A$2:$A$1001,$A831,$B$2:$B$1001,"&lt;="&amp;$B831),$C831)))),"")</f>
        <v/>
      </c>
      <c r="H831" s="15">
        <f>IFERROR(IF(G831="","",IF(INDEX(Accounts!$P$2:$P$11,$F831)="static",INDEX(Accounts!$Q$2:$Q$11,$F831)-INDEX(Accounts!$R$2:$R$11,$F831),IF(INDEX(Accounts!$S$2:$S$11,$F831)="NONE",G831-INDEX(Accounts!$R$2:$R$11,$F831),MIN(G831-INDEX(Accounts!$R$2:$R$11,$F831),INDEX(Accounts!$Q$2:$Q$11,$F831)+INDEX(Accounts!$S$2:$S$11,$F831))))),"")</f>
        <v/>
      </c>
      <c r="I831" s="16">
        <f>IF(AND($A831="",$B831="",$C831="",$D831="",$E831=""),"",IF(OR($A831="",$F831=""),"UNKNOWN_ACCOUNT",IF(OR($B831="",$C831=""),"INCOMPLETE",IFERROR(IF(OR(NOT(ISNUMBER($B831)),NOT(ISNUMBER($C831)),IF(C831="",FALSE,IF(ISNUMBER(C831),OR(C831&lt;=0,C831&gt;100000000,ROUND(C831*100,6)&lt;&gt;INT(ROUND(C831*100,6))),TRUE)),IF(D831="",FALSE,IF(ISNUMBER(D831),OR(D831&lt;=0,D831&gt;100000000,ROUND(D831*100,6)&lt;&gt;INT(ROUND(D831*100,6))),TRUE)),IF(E831="",FALSE,IF(ISNUMBER(E831),OR(E831&lt;=0,E831&gt;100000000,ROUND(E831*100,6)&lt;&gt;INT(ROUND(E831*100,6))),TRUE)),AND($D831&lt;&gt;"",$D831&lt;MAX($C831,$E831)),AND($E831&lt;&gt;"",$E831&gt;MIN($C831,IF($D831="",$C831,$D831))),COUNTIFS($A$2:$A$1001,$A831,$B$2:$B$1001,$B831)&gt;1),"INVALID",IFERROR(IF(IF(INDEX(Accounts!$T$2:$T$11,$F831),ROUND(IF($E831="",$C831,MIN($C831,$E831))-(H831),6)&lt;=0,ROUND(IF($E831="",$C831,MIN($C831,$E831))-(H831),6)&lt;0),"BREACHED","OK"),"INCOMPLETE")),"INVALID"))))</f>
        <v/>
      </c>
      <c r="J831" s="33">
        <f>IF(OR(I831="OK",I831="BREACHED"),-INT(ROUND(-(H831)*100,6))/100,I831)</f>
        <v/>
      </c>
    </row>
    <row r="832" ht="18" customHeight="1">
      <c r="A832" s="9" t="n"/>
      <c r="B832" s="32" t="n"/>
      <c r="C832" s="12" t="n"/>
      <c r="D832" s="12" t="n"/>
      <c r="E832" s="12" t="n"/>
      <c r="F832" s="15">
        <f>IFERROR(MATCH($A832,Accounts!$A$2:$A$11,0),"")</f>
        <v/>
      </c>
      <c r="G832" s="14">
        <f>IFERROR(IF(OR($A832="",$F832=""),"",IF(INDEX(Accounts!$P$2:$P$11,$F832)="static",INDEX(Accounts!$Q$2:$Q$11,$F832),IF(INDEX(Accounts!$P$2:$P$11,$F832)="eod_trailing",MAX(INDEX(Accounts!$Q$2:$Q$11,$F832),_xlfn.MAXIFS($C$2:$C$1001,$A$2:$A$1001,$A832,$B$2:$B$1001,"&lt;"&amp;$B832)),MAX(INDEX(Accounts!$Q$2:$Q$11,$F832),_xlfn.MAXIFS($C$2:$C$1001,$A$2:$A$1001,$A832,$B$2:$B$1001,"&lt;"&amp;$B832),_xlfn.MAXIFS($D$2:$D$1001,$A$2:$A$1001,$A832,$B$2:$B$1001,"&lt;="&amp;$B832),$C832)))),"")</f>
        <v/>
      </c>
      <c r="H832" s="15">
        <f>IFERROR(IF(G832="","",IF(INDEX(Accounts!$P$2:$P$11,$F832)="static",INDEX(Accounts!$Q$2:$Q$11,$F832)-INDEX(Accounts!$R$2:$R$11,$F832),IF(INDEX(Accounts!$S$2:$S$11,$F832)="NONE",G832-INDEX(Accounts!$R$2:$R$11,$F832),MIN(G832-INDEX(Accounts!$R$2:$R$11,$F832),INDEX(Accounts!$Q$2:$Q$11,$F832)+INDEX(Accounts!$S$2:$S$11,$F832))))),"")</f>
        <v/>
      </c>
      <c r="I832" s="16">
        <f>IF(AND($A832="",$B832="",$C832="",$D832="",$E832=""),"",IF(OR($A832="",$F832=""),"UNKNOWN_ACCOUNT",IF(OR($B832="",$C832=""),"INCOMPLETE",IFERROR(IF(OR(NOT(ISNUMBER($B832)),NOT(ISNUMBER($C832)),IF(C832="",FALSE,IF(ISNUMBER(C832),OR(C832&lt;=0,C832&gt;100000000,ROUND(C832*100,6)&lt;&gt;INT(ROUND(C832*100,6))),TRUE)),IF(D832="",FALSE,IF(ISNUMBER(D832),OR(D832&lt;=0,D832&gt;100000000,ROUND(D832*100,6)&lt;&gt;INT(ROUND(D832*100,6))),TRUE)),IF(E832="",FALSE,IF(ISNUMBER(E832),OR(E832&lt;=0,E832&gt;100000000,ROUND(E832*100,6)&lt;&gt;INT(ROUND(E832*100,6))),TRUE)),AND($D832&lt;&gt;"",$D832&lt;MAX($C832,$E832)),AND($E832&lt;&gt;"",$E832&gt;MIN($C832,IF($D832="",$C832,$D832))),COUNTIFS($A$2:$A$1001,$A832,$B$2:$B$1001,$B832)&gt;1),"INVALID",IFERROR(IF(IF(INDEX(Accounts!$T$2:$T$11,$F832),ROUND(IF($E832="",$C832,MIN($C832,$E832))-(H832),6)&lt;=0,ROUND(IF($E832="",$C832,MIN($C832,$E832))-(H832),6)&lt;0),"BREACHED","OK"),"INCOMPLETE")),"INVALID"))))</f>
        <v/>
      </c>
      <c r="J832" s="33">
        <f>IF(OR(I832="OK",I832="BREACHED"),-INT(ROUND(-(H832)*100,6))/100,I832)</f>
        <v/>
      </c>
    </row>
    <row r="833" ht="18" customHeight="1">
      <c r="A833" s="9" t="n"/>
      <c r="B833" s="32" t="n"/>
      <c r="C833" s="12" t="n"/>
      <c r="D833" s="12" t="n"/>
      <c r="E833" s="12" t="n"/>
      <c r="F833" s="15">
        <f>IFERROR(MATCH($A833,Accounts!$A$2:$A$11,0),"")</f>
        <v/>
      </c>
      <c r="G833" s="14">
        <f>IFERROR(IF(OR($A833="",$F833=""),"",IF(INDEX(Accounts!$P$2:$P$11,$F833)="static",INDEX(Accounts!$Q$2:$Q$11,$F833),IF(INDEX(Accounts!$P$2:$P$11,$F833)="eod_trailing",MAX(INDEX(Accounts!$Q$2:$Q$11,$F833),_xlfn.MAXIFS($C$2:$C$1001,$A$2:$A$1001,$A833,$B$2:$B$1001,"&lt;"&amp;$B833)),MAX(INDEX(Accounts!$Q$2:$Q$11,$F833),_xlfn.MAXIFS($C$2:$C$1001,$A$2:$A$1001,$A833,$B$2:$B$1001,"&lt;"&amp;$B833),_xlfn.MAXIFS($D$2:$D$1001,$A$2:$A$1001,$A833,$B$2:$B$1001,"&lt;="&amp;$B833),$C833)))),"")</f>
        <v/>
      </c>
      <c r="H833" s="15">
        <f>IFERROR(IF(G833="","",IF(INDEX(Accounts!$P$2:$P$11,$F833)="static",INDEX(Accounts!$Q$2:$Q$11,$F833)-INDEX(Accounts!$R$2:$R$11,$F833),IF(INDEX(Accounts!$S$2:$S$11,$F833)="NONE",G833-INDEX(Accounts!$R$2:$R$11,$F833),MIN(G833-INDEX(Accounts!$R$2:$R$11,$F833),INDEX(Accounts!$Q$2:$Q$11,$F833)+INDEX(Accounts!$S$2:$S$11,$F833))))),"")</f>
        <v/>
      </c>
      <c r="I833" s="16">
        <f>IF(AND($A833="",$B833="",$C833="",$D833="",$E833=""),"",IF(OR($A833="",$F833=""),"UNKNOWN_ACCOUNT",IF(OR($B833="",$C833=""),"INCOMPLETE",IFERROR(IF(OR(NOT(ISNUMBER($B833)),NOT(ISNUMBER($C833)),IF(C833="",FALSE,IF(ISNUMBER(C833),OR(C833&lt;=0,C833&gt;100000000,ROUND(C833*100,6)&lt;&gt;INT(ROUND(C833*100,6))),TRUE)),IF(D833="",FALSE,IF(ISNUMBER(D833),OR(D833&lt;=0,D833&gt;100000000,ROUND(D833*100,6)&lt;&gt;INT(ROUND(D833*100,6))),TRUE)),IF(E833="",FALSE,IF(ISNUMBER(E833),OR(E833&lt;=0,E833&gt;100000000,ROUND(E833*100,6)&lt;&gt;INT(ROUND(E833*100,6))),TRUE)),AND($D833&lt;&gt;"",$D833&lt;MAX($C833,$E833)),AND($E833&lt;&gt;"",$E833&gt;MIN($C833,IF($D833="",$C833,$D833))),COUNTIFS($A$2:$A$1001,$A833,$B$2:$B$1001,$B833)&gt;1),"INVALID",IFERROR(IF(IF(INDEX(Accounts!$T$2:$T$11,$F833),ROUND(IF($E833="",$C833,MIN($C833,$E833))-(H833),6)&lt;=0,ROUND(IF($E833="",$C833,MIN($C833,$E833))-(H833),6)&lt;0),"BREACHED","OK"),"INCOMPLETE")),"INVALID"))))</f>
        <v/>
      </c>
      <c r="J833" s="33">
        <f>IF(OR(I833="OK",I833="BREACHED"),-INT(ROUND(-(H833)*100,6))/100,I833)</f>
        <v/>
      </c>
    </row>
    <row r="834" ht="18" customHeight="1">
      <c r="A834" s="9" t="n"/>
      <c r="B834" s="32" t="n"/>
      <c r="C834" s="12" t="n"/>
      <c r="D834" s="12" t="n"/>
      <c r="E834" s="12" t="n"/>
      <c r="F834" s="15">
        <f>IFERROR(MATCH($A834,Accounts!$A$2:$A$11,0),"")</f>
        <v/>
      </c>
      <c r="G834" s="14">
        <f>IFERROR(IF(OR($A834="",$F834=""),"",IF(INDEX(Accounts!$P$2:$P$11,$F834)="static",INDEX(Accounts!$Q$2:$Q$11,$F834),IF(INDEX(Accounts!$P$2:$P$11,$F834)="eod_trailing",MAX(INDEX(Accounts!$Q$2:$Q$11,$F834),_xlfn.MAXIFS($C$2:$C$1001,$A$2:$A$1001,$A834,$B$2:$B$1001,"&lt;"&amp;$B834)),MAX(INDEX(Accounts!$Q$2:$Q$11,$F834),_xlfn.MAXIFS($C$2:$C$1001,$A$2:$A$1001,$A834,$B$2:$B$1001,"&lt;"&amp;$B834),_xlfn.MAXIFS($D$2:$D$1001,$A$2:$A$1001,$A834,$B$2:$B$1001,"&lt;="&amp;$B834),$C834)))),"")</f>
        <v/>
      </c>
      <c r="H834" s="15">
        <f>IFERROR(IF(G834="","",IF(INDEX(Accounts!$P$2:$P$11,$F834)="static",INDEX(Accounts!$Q$2:$Q$11,$F834)-INDEX(Accounts!$R$2:$R$11,$F834),IF(INDEX(Accounts!$S$2:$S$11,$F834)="NONE",G834-INDEX(Accounts!$R$2:$R$11,$F834),MIN(G834-INDEX(Accounts!$R$2:$R$11,$F834),INDEX(Accounts!$Q$2:$Q$11,$F834)+INDEX(Accounts!$S$2:$S$11,$F834))))),"")</f>
        <v/>
      </c>
      <c r="I834" s="16">
        <f>IF(AND($A834="",$B834="",$C834="",$D834="",$E834=""),"",IF(OR($A834="",$F834=""),"UNKNOWN_ACCOUNT",IF(OR($B834="",$C834=""),"INCOMPLETE",IFERROR(IF(OR(NOT(ISNUMBER($B834)),NOT(ISNUMBER($C834)),IF(C834="",FALSE,IF(ISNUMBER(C834),OR(C834&lt;=0,C834&gt;100000000,ROUND(C834*100,6)&lt;&gt;INT(ROUND(C834*100,6))),TRUE)),IF(D834="",FALSE,IF(ISNUMBER(D834),OR(D834&lt;=0,D834&gt;100000000,ROUND(D834*100,6)&lt;&gt;INT(ROUND(D834*100,6))),TRUE)),IF(E834="",FALSE,IF(ISNUMBER(E834),OR(E834&lt;=0,E834&gt;100000000,ROUND(E834*100,6)&lt;&gt;INT(ROUND(E834*100,6))),TRUE)),AND($D834&lt;&gt;"",$D834&lt;MAX($C834,$E834)),AND($E834&lt;&gt;"",$E834&gt;MIN($C834,IF($D834="",$C834,$D834))),COUNTIFS($A$2:$A$1001,$A834,$B$2:$B$1001,$B834)&gt;1),"INVALID",IFERROR(IF(IF(INDEX(Accounts!$T$2:$T$11,$F834),ROUND(IF($E834="",$C834,MIN($C834,$E834))-(H834),6)&lt;=0,ROUND(IF($E834="",$C834,MIN($C834,$E834))-(H834),6)&lt;0),"BREACHED","OK"),"INCOMPLETE")),"INVALID"))))</f>
        <v/>
      </c>
      <c r="J834" s="33">
        <f>IF(OR(I834="OK",I834="BREACHED"),-INT(ROUND(-(H834)*100,6))/100,I834)</f>
        <v/>
      </c>
    </row>
    <row r="835" ht="18" customHeight="1">
      <c r="A835" s="9" t="n"/>
      <c r="B835" s="32" t="n"/>
      <c r="C835" s="12" t="n"/>
      <c r="D835" s="12" t="n"/>
      <c r="E835" s="12" t="n"/>
      <c r="F835" s="15">
        <f>IFERROR(MATCH($A835,Accounts!$A$2:$A$11,0),"")</f>
        <v/>
      </c>
      <c r="G835" s="14">
        <f>IFERROR(IF(OR($A835="",$F835=""),"",IF(INDEX(Accounts!$P$2:$P$11,$F835)="static",INDEX(Accounts!$Q$2:$Q$11,$F835),IF(INDEX(Accounts!$P$2:$P$11,$F835)="eod_trailing",MAX(INDEX(Accounts!$Q$2:$Q$11,$F835),_xlfn.MAXIFS($C$2:$C$1001,$A$2:$A$1001,$A835,$B$2:$B$1001,"&lt;"&amp;$B835)),MAX(INDEX(Accounts!$Q$2:$Q$11,$F835),_xlfn.MAXIFS($C$2:$C$1001,$A$2:$A$1001,$A835,$B$2:$B$1001,"&lt;"&amp;$B835),_xlfn.MAXIFS($D$2:$D$1001,$A$2:$A$1001,$A835,$B$2:$B$1001,"&lt;="&amp;$B835),$C835)))),"")</f>
        <v/>
      </c>
      <c r="H835" s="15">
        <f>IFERROR(IF(G835="","",IF(INDEX(Accounts!$P$2:$P$11,$F835)="static",INDEX(Accounts!$Q$2:$Q$11,$F835)-INDEX(Accounts!$R$2:$R$11,$F835),IF(INDEX(Accounts!$S$2:$S$11,$F835)="NONE",G835-INDEX(Accounts!$R$2:$R$11,$F835),MIN(G835-INDEX(Accounts!$R$2:$R$11,$F835),INDEX(Accounts!$Q$2:$Q$11,$F835)+INDEX(Accounts!$S$2:$S$11,$F835))))),"")</f>
        <v/>
      </c>
      <c r="I835" s="16">
        <f>IF(AND($A835="",$B835="",$C835="",$D835="",$E835=""),"",IF(OR($A835="",$F835=""),"UNKNOWN_ACCOUNT",IF(OR($B835="",$C835=""),"INCOMPLETE",IFERROR(IF(OR(NOT(ISNUMBER($B835)),NOT(ISNUMBER($C835)),IF(C835="",FALSE,IF(ISNUMBER(C835),OR(C835&lt;=0,C835&gt;100000000,ROUND(C835*100,6)&lt;&gt;INT(ROUND(C835*100,6))),TRUE)),IF(D835="",FALSE,IF(ISNUMBER(D835),OR(D835&lt;=0,D835&gt;100000000,ROUND(D835*100,6)&lt;&gt;INT(ROUND(D835*100,6))),TRUE)),IF(E835="",FALSE,IF(ISNUMBER(E835),OR(E835&lt;=0,E835&gt;100000000,ROUND(E835*100,6)&lt;&gt;INT(ROUND(E835*100,6))),TRUE)),AND($D835&lt;&gt;"",$D835&lt;MAX($C835,$E835)),AND($E835&lt;&gt;"",$E835&gt;MIN($C835,IF($D835="",$C835,$D835))),COUNTIFS($A$2:$A$1001,$A835,$B$2:$B$1001,$B835)&gt;1),"INVALID",IFERROR(IF(IF(INDEX(Accounts!$T$2:$T$11,$F835),ROUND(IF($E835="",$C835,MIN($C835,$E835))-(H835),6)&lt;=0,ROUND(IF($E835="",$C835,MIN($C835,$E835))-(H835),6)&lt;0),"BREACHED","OK"),"INCOMPLETE")),"INVALID"))))</f>
        <v/>
      </c>
      <c r="J835" s="33">
        <f>IF(OR(I835="OK",I835="BREACHED"),-INT(ROUND(-(H835)*100,6))/100,I835)</f>
        <v/>
      </c>
    </row>
    <row r="836" ht="18" customHeight="1">
      <c r="A836" s="9" t="n"/>
      <c r="B836" s="32" t="n"/>
      <c r="C836" s="12" t="n"/>
      <c r="D836" s="12" t="n"/>
      <c r="E836" s="12" t="n"/>
      <c r="F836" s="15">
        <f>IFERROR(MATCH($A836,Accounts!$A$2:$A$11,0),"")</f>
        <v/>
      </c>
      <c r="G836" s="14">
        <f>IFERROR(IF(OR($A836="",$F836=""),"",IF(INDEX(Accounts!$P$2:$P$11,$F836)="static",INDEX(Accounts!$Q$2:$Q$11,$F836),IF(INDEX(Accounts!$P$2:$P$11,$F836)="eod_trailing",MAX(INDEX(Accounts!$Q$2:$Q$11,$F836),_xlfn.MAXIFS($C$2:$C$1001,$A$2:$A$1001,$A836,$B$2:$B$1001,"&lt;"&amp;$B836)),MAX(INDEX(Accounts!$Q$2:$Q$11,$F836),_xlfn.MAXIFS($C$2:$C$1001,$A$2:$A$1001,$A836,$B$2:$B$1001,"&lt;"&amp;$B836),_xlfn.MAXIFS($D$2:$D$1001,$A$2:$A$1001,$A836,$B$2:$B$1001,"&lt;="&amp;$B836),$C836)))),"")</f>
        <v/>
      </c>
      <c r="H836" s="15">
        <f>IFERROR(IF(G836="","",IF(INDEX(Accounts!$P$2:$P$11,$F836)="static",INDEX(Accounts!$Q$2:$Q$11,$F836)-INDEX(Accounts!$R$2:$R$11,$F836),IF(INDEX(Accounts!$S$2:$S$11,$F836)="NONE",G836-INDEX(Accounts!$R$2:$R$11,$F836),MIN(G836-INDEX(Accounts!$R$2:$R$11,$F836),INDEX(Accounts!$Q$2:$Q$11,$F836)+INDEX(Accounts!$S$2:$S$11,$F836))))),"")</f>
        <v/>
      </c>
      <c r="I836" s="16">
        <f>IF(AND($A836="",$B836="",$C836="",$D836="",$E836=""),"",IF(OR($A836="",$F836=""),"UNKNOWN_ACCOUNT",IF(OR($B836="",$C836=""),"INCOMPLETE",IFERROR(IF(OR(NOT(ISNUMBER($B836)),NOT(ISNUMBER($C836)),IF(C836="",FALSE,IF(ISNUMBER(C836),OR(C836&lt;=0,C836&gt;100000000,ROUND(C836*100,6)&lt;&gt;INT(ROUND(C836*100,6))),TRUE)),IF(D836="",FALSE,IF(ISNUMBER(D836),OR(D836&lt;=0,D836&gt;100000000,ROUND(D836*100,6)&lt;&gt;INT(ROUND(D836*100,6))),TRUE)),IF(E836="",FALSE,IF(ISNUMBER(E836),OR(E836&lt;=0,E836&gt;100000000,ROUND(E836*100,6)&lt;&gt;INT(ROUND(E836*100,6))),TRUE)),AND($D836&lt;&gt;"",$D836&lt;MAX($C836,$E836)),AND($E836&lt;&gt;"",$E836&gt;MIN($C836,IF($D836="",$C836,$D836))),COUNTIFS($A$2:$A$1001,$A836,$B$2:$B$1001,$B836)&gt;1),"INVALID",IFERROR(IF(IF(INDEX(Accounts!$T$2:$T$11,$F836),ROUND(IF($E836="",$C836,MIN($C836,$E836))-(H836),6)&lt;=0,ROUND(IF($E836="",$C836,MIN($C836,$E836))-(H836),6)&lt;0),"BREACHED","OK"),"INCOMPLETE")),"INVALID"))))</f>
        <v/>
      </c>
      <c r="J836" s="33">
        <f>IF(OR(I836="OK",I836="BREACHED"),-INT(ROUND(-(H836)*100,6))/100,I836)</f>
        <v/>
      </c>
    </row>
    <row r="837" ht="18" customHeight="1">
      <c r="A837" s="9" t="n"/>
      <c r="B837" s="32" t="n"/>
      <c r="C837" s="12" t="n"/>
      <c r="D837" s="12" t="n"/>
      <c r="E837" s="12" t="n"/>
      <c r="F837" s="15">
        <f>IFERROR(MATCH($A837,Accounts!$A$2:$A$11,0),"")</f>
        <v/>
      </c>
      <c r="G837" s="14">
        <f>IFERROR(IF(OR($A837="",$F837=""),"",IF(INDEX(Accounts!$P$2:$P$11,$F837)="static",INDEX(Accounts!$Q$2:$Q$11,$F837),IF(INDEX(Accounts!$P$2:$P$11,$F837)="eod_trailing",MAX(INDEX(Accounts!$Q$2:$Q$11,$F837),_xlfn.MAXIFS($C$2:$C$1001,$A$2:$A$1001,$A837,$B$2:$B$1001,"&lt;"&amp;$B837)),MAX(INDEX(Accounts!$Q$2:$Q$11,$F837),_xlfn.MAXIFS($C$2:$C$1001,$A$2:$A$1001,$A837,$B$2:$B$1001,"&lt;"&amp;$B837),_xlfn.MAXIFS($D$2:$D$1001,$A$2:$A$1001,$A837,$B$2:$B$1001,"&lt;="&amp;$B837),$C837)))),"")</f>
        <v/>
      </c>
      <c r="H837" s="15">
        <f>IFERROR(IF(G837="","",IF(INDEX(Accounts!$P$2:$P$11,$F837)="static",INDEX(Accounts!$Q$2:$Q$11,$F837)-INDEX(Accounts!$R$2:$R$11,$F837),IF(INDEX(Accounts!$S$2:$S$11,$F837)="NONE",G837-INDEX(Accounts!$R$2:$R$11,$F837),MIN(G837-INDEX(Accounts!$R$2:$R$11,$F837),INDEX(Accounts!$Q$2:$Q$11,$F837)+INDEX(Accounts!$S$2:$S$11,$F837))))),"")</f>
        <v/>
      </c>
      <c r="I837" s="16">
        <f>IF(AND($A837="",$B837="",$C837="",$D837="",$E837=""),"",IF(OR($A837="",$F837=""),"UNKNOWN_ACCOUNT",IF(OR($B837="",$C837=""),"INCOMPLETE",IFERROR(IF(OR(NOT(ISNUMBER($B837)),NOT(ISNUMBER($C837)),IF(C837="",FALSE,IF(ISNUMBER(C837),OR(C837&lt;=0,C837&gt;100000000,ROUND(C837*100,6)&lt;&gt;INT(ROUND(C837*100,6))),TRUE)),IF(D837="",FALSE,IF(ISNUMBER(D837),OR(D837&lt;=0,D837&gt;100000000,ROUND(D837*100,6)&lt;&gt;INT(ROUND(D837*100,6))),TRUE)),IF(E837="",FALSE,IF(ISNUMBER(E837),OR(E837&lt;=0,E837&gt;100000000,ROUND(E837*100,6)&lt;&gt;INT(ROUND(E837*100,6))),TRUE)),AND($D837&lt;&gt;"",$D837&lt;MAX($C837,$E837)),AND($E837&lt;&gt;"",$E837&gt;MIN($C837,IF($D837="",$C837,$D837))),COUNTIFS($A$2:$A$1001,$A837,$B$2:$B$1001,$B837)&gt;1),"INVALID",IFERROR(IF(IF(INDEX(Accounts!$T$2:$T$11,$F837),ROUND(IF($E837="",$C837,MIN($C837,$E837))-(H837),6)&lt;=0,ROUND(IF($E837="",$C837,MIN($C837,$E837))-(H837),6)&lt;0),"BREACHED","OK"),"INCOMPLETE")),"INVALID"))))</f>
        <v/>
      </c>
      <c r="J837" s="33">
        <f>IF(OR(I837="OK",I837="BREACHED"),-INT(ROUND(-(H837)*100,6))/100,I837)</f>
        <v/>
      </c>
    </row>
    <row r="838" ht="18" customHeight="1">
      <c r="A838" s="9" t="n"/>
      <c r="B838" s="32" t="n"/>
      <c r="C838" s="12" t="n"/>
      <c r="D838" s="12" t="n"/>
      <c r="E838" s="12" t="n"/>
      <c r="F838" s="15">
        <f>IFERROR(MATCH($A838,Accounts!$A$2:$A$11,0),"")</f>
        <v/>
      </c>
      <c r="G838" s="14">
        <f>IFERROR(IF(OR($A838="",$F838=""),"",IF(INDEX(Accounts!$P$2:$P$11,$F838)="static",INDEX(Accounts!$Q$2:$Q$11,$F838),IF(INDEX(Accounts!$P$2:$P$11,$F838)="eod_trailing",MAX(INDEX(Accounts!$Q$2:$Q$11,$F838),_xlfn.MAXIFS($C$2:$C$1001,$A$2:$A$1001,$A838,$B$2:$B$1001,"&lt;"&amp;$B838)),MAX(INDEX(Accounts!$Q$2:$Q$11,$F838),_xlfn.MAXIFS($C$2:$C$1001,$A$2:$A$1001,$A838,$B$2:$B$1001,"&lt;"&amp;$B838),_xlfn.MAXIFS($D$2:$D$1001,$A$2:$A$1001,$A838,$B$2:$B$1001,"&lt;="&amp;$B838),$C838)))),"")</f>
        <v/>
      </c>
      <c r="H838" s="15">
        <f>IFERROR(IF(G838="","",IF(INDEX(Accounts!$P$2:$P$11,$F838)="static",INDEX(Accounts!$Q$2:$Q$11,$F838)-INDEX(Accounts!$R$2:$R$11,$F838),IF(INDEX(Accounts!$S$2:$S$11,$F838)="NONE",G838-INDEX(Accounts!$R$2:$R$11,$F838),MIN(G838-INDEX(Accounts!$R$2:$R$11,$F838),INDEX(Accounts!$Q$2:$Q$11,$F838)+INDEX(Accounts!$S$2:$S$11,$F838))))),"")</f>
        <v/>
      </c>
      <c r="I838" s="16">
        <f>IF(AND($A838="",$B838="",$C838="",$D838="",$E838=""),"",IF(OR($A838="",$F838=""),"UNKNOWN_ACCOUNT",IF(OR($B838="",$C838=""),"INCOMPLETE",IFERROR(IF(OR(NOT(ISNUMBER($B838)),NOT(ISNUMBER($C838)),IF(C838="",FALSE,IF(ISNUMBER(C838),OR(C838&lt;=0,C838&gt;100000000,ROUND(C838*100,6)&lt;&gt;INT(ROUND(C838*100,6))),TRUE)),IF(D838="",FALSE,IF(ISNUMBER(D838),OR(D838&lt;=0,D838&gt;100000000,ROUND(D838*100,6)&lt;&gt;INT(ROUND(D838*100,6))),TRUE)),IF(E838="",FALSE,IF(ISNUMBER(E838),OR(E838&lt;=0,E838&gt;100000000,ROUND(E838*100,6)&lt;&gt;INT(ROUND(E838*100,6))),TRUE)),AND($D838&lt;&gt;"",$D838&lt;MAX($C838,$E838)),AND($E838&lt;&gt;"",$E838&gt;MIN($C838,IF($D838="",$C838,$D838))),COUNTIFS($A$2:$A$1001,$A838,$B$2:$B$1001,$B838)&gt;1),"INVALID",IFERROR(IF(IF(INDEX(Accounts!$T$2:$T$11,$F838),ROUND(IF($E838="",$C838,MIN($C838,$E838))-(H838),6)&lt;=0,ROUND(IF($E838="",$C838,MIN($C838,$E838))-(H838),6)&lt;0),"BREACHED","OK"),"INCOMPLETE")),"INVALID"))))</f>
        <v/>
      </c>
      <c r="J838" s="33">
        <f>IF(OR(I838="OK",I838="BREACHED"),-INT(ROUND(-(H838)*100,6))/100,I838)</f>
        <v/>
      </c>
    </row>
    <row r="839" ht="18" customHeight="1">
      <c r="A839" s="9" t="n"/>
      <c r="B839" s="32" t="n"/>
      <c r="C839" s="12" t="n"/>
      <c r="D839" s="12" t="n"/>
      <c r="E839" s="12" t="n"/>
      <c r="F839" s="15">
        <f>IFERROR(MATCH($A839,Accounts!$A$2:$A$11,0),"")</f>
        <v/>
      </c>
      <c r="G839" s="14">
        <f>IFERROR(IF(OR($A839="",$F839=""),"",IF(INDEX(Accounts!$P$2:$P$11,$F839)="static",INDEX(Accounts!$Q$2:$Q$11,$F839),IF(INDEX(Accounts!$P$2:$P$11,$F839)="eod_trailing",MAX(INDEX(Accounts!$Q$2:$Q$11,$F839),_xlfn.MAXIFS($C$2:$C$1001,$A$2:$A$1001,$A839,$B$2:$B$1001,"&lt;"&amp;$B839)),MAX(INDEX(Accounts!$Q$2:$Q$11,$F839),_xlfn.MAXIFS($C$2:$C$1001,$A$2:$A$1001,$A839,$B$2:$B$1001,"&lt;"&amp;$B839),_xlfn.MAXIFS($D$2:$D$1001,$A$2:$A$1001,$A839,$B$2:$B$1001,"&lt;="&amp;$B839),$C839)))),"")</f>
        <v/>
      </c>
      <c r="H839" s="15">
        <f>IFERROR(IF(G839="","",IF(INDEX(Accounts!$P$2:$P$11,$F839)="static",INDEX(Accounts!$Q$2:$Q$11,$F839)-INDEX(Accounts!$R$2:$R$11,$F839),IF(INDEX(Accounts!$S$2:$S$11,$F839)="NONE",G839-INDEX(Accounts!$R$2:$R$11,$F839),MIN(G839-INDEX(Accounts!$R$2:$R$11,$F839),INDEX(Accounts!$Q$2:$Q$11,$F839)+INDEX(Accounts!$S$2:$S$11,$F839))))),"")</f>
        <v/>
      </c>
      <c r="I839" s="16">
        <f>IF(AND($A839="",$B839="",$C839="",$D839="",$E839=""),"",IF(OR($A839="",$F839=""),"UNKNOWN_ACCOUNT",IF(OR($B839="",$C839=""),"INCOMPLETE",IFERROR(IF(OR(NOT(ISNUMBER($B839)),NOT(ISNUMBER($C839)),IF(C839="",FALSE,IF(ISNUMBER(C839),OR(C839&lt;=0,C839&gt;100000000,ROUND(C839*100,6)&lt;&gt;INT(ROUND(C839*100,6))),TRUE)),IF(D839="",FALSE,IF(ISNUMBER(D839),OR(D839&lt;=0,D839&gt;100000000,ROUND(D839*100,6)&lt;&gt;INT(ROUND(D839*100,6))),TRUE)),IF(E839="",FALSE,IF(ISNUMBER(E839),OR(E839&lt;=0,E839&gt;100000000,ROUND(E839*100,6)&lt;&gt;INT(ROUND(E839*100,6))),TRUE)),AND($D839&lt;&gt;"",$D839&lt;MAX($C839,$E839)),AND($E839&lt;&gt;"",$E839&gt;MIN($C839,IF($D839="",$C839,$D839))),COUNTIFS($A$2:$A$1001,$A839,$B$2:$B$1001,$B839)&gt;1),"INVALID",IFERROR(IF(IF(INDEX(Accounts!$T$2:$T$11,$F839),ROUND(IF($E839="",$C839,MIN($C839,$E839))-(H839),6)&lt;=0,ROUND(IF($E839="",$C839,MIN($C839,$E839))-(H839),6)&lt;0),"BREACHED","OK"),"INCOMPLETE")),"INVALID"))))</f>
        <v/>
      </c>
      <c r="J839" s="33">
        <f>IF(OR(I839="OK",I839="BREACHED"),-INT(ROUND(-(H839)*100,6))/100,I839)</f>
        <v/>
      </c>
    </row>
    <row r="840" ht="18" customHeight="1">
      <c r="A840" s="9" t="n"/>
      <c r="B840" s="32" t="n"/>
      <c r="C840" s="12" t="n"/>
      <c r="D840" s="12" t="n"/>
      <c r="E840" s="12" t="n"/>
      <c r="F840" s="15">
        <f>IFERROR(MATCH($A840,Accounts!$A$2:$A$11,0),"")</f>
        <v/>
      </c>
      <c r="G840" s="14">
        <f>IFERROR(IF(OR($A840="",$F840=""),"",IF(INDEX(Accounts!$P$2:$P$11,$F840)="static",INDEX(Accounts!$Q$2:$Q$11,$F840),IF(INDEX(Accounts!$P$2:$P$11,$F840)="eod_trailing",MAX(INDEX(Accounts!$Q$2:$Q$11,$F840),_xlfn.MAXIFS($C$2:$C$1001,$A$2:$A$1001,$A840,$B$2:$B$1001,"&lt;"&amp;$B840)),MAX(INDEX(Accounts!$Q$2:$Q$11,$F840),_xlfn.MAXIFS($C$2:$C$1001,$A$2:$A$1001,$A840,$B$2:$B$1001,"&lt;"&amp;$B840),_xlfn.MAXIFS($D$2:$D$1001,$A$2:$A$1001,$A840,$B$2:$B$1001,"&lt;="&amp;$B840),$C840)))),"")</f>
        <v/>
      </c>
      <c r="H840" s="15">
        <f>IFERROR(IF(G840="","",IF(INDEX(Accounts!$P$2:$P$11,$F840)="static",INDEX(Accounts!$Q$2:$Q$11,$F840)-INDEX(Accounts!$R$2:$R$11,$F840),IF(INDEX(Accounts!$S$2:$S$11,$F840)="NONE",G840-INDEX(Accounts!$R$2:$R$11,$F840),MIN(G840-INDEX(Accounts!$R$2:$R$11,$F840),INDEX(Accounts!$Q$2:$Q$11,$F840)+INDEX(Accounts!$S$2:$S$11,$F840))))),"")</f>
        <v/>
      </c>
      <c r="I840" s="16">
        <f>IF(AND($A840="",$B840="",$C840="",$D840="",$E840=""),"",IF(OR($A840="",$F840=""),"UNKNOWN_ACCOUNT",IF(OR($B840="",$C840=""),"INCOMPLETE",IFERROR(IF(OR(NOT(ISNUMBER($B840)),NOT(ISNUMBER($C840)),IF(C840="",FALSE,IF(ISNUMBER(C840),OR(C840&lt;=0,C840&gt;100000000,ROUND(C840*100,6)&lt;&gt;INT(ROUND(C840*100,6))),TRUE)),IF(D840="",FALSE,IF(ISNUMBER(D840),OR(D840&lt;=0,D840&gt;100000000,ROUND(D840*100,6)&lt;&gt;INT(ROUND(D840*100,6))),TRUE)),IF(E840="",FALSE,IF(ISNUMBER(E840),OR(E840&lt;=0,E840&gt;100000000,ROUND(E840*100,6)&lt;&gt;INT(ROUND(E840*100,6))),TRUE)),AND($D840&lt;&gt;"",$D840&lt;MAX($C840,$E840)),AND($E840&lt;&gt;"",$E840&gt;MIN($C840,IF($D840="",$C840,$D840))),COUNTIFS($A$2:$A$1001,$A840,$B$2:$B$1001,$B840)&gt;1),"INVALID",IFERROR(IF(IF(INDEX(Accounts!$T$2:$T$11,$F840),ROUND(IF($E840="",$C840,MIN($C840,$E840))-(H840),6)&lt;=0,ROUND(IF($E840="",$C840,MIN($C840,$E840))-(H840),6)&lt;0),"BREACHED","OK"),"INCOMPLETE")),"INVALID"))))</f>
        <v/>
      </c>
      <c r="J840" s="33">
        <f>IF(OR(I840="OK",I840="BREACHED"),-INT(ROUND(-(H840)*100,6))/100,I840)</f>
        <v/>
      </c>
    </row>
    <row r="841" ht="18" customHeight="1">
      <c r="A841" s="9" t="n"/>
      <c r="B841" s="32" t="n"/>
      <c r="C841" s="12" t="n"/>
      <c r="D841" s="12" t="n"/>
      <c r="E841" s="12" t="n"/>
      <c r="F841" s="15">
        <f>IFERROR(MATCH($A841,Accounts!$A$2:$A$11,0),"")</f>
        <v/>
      </c>
      <c r="G841" s="14">
        <f>IFERROR(IF(OR($A841="",$F841=""),"",IF(INDEX(Accounts!$P$2:$P$11,$F841)="static",INDEX(Accounts!$Q$2:$Q$11,$F841),IF(INDEX(Accounts!$P$2:$P$11,$F841)="eod_trailing",MAX(INDEX(Accounts!$Q$2:$Q$11,$F841),_xlfn.MAXIFS($C$2:$C$1001,$A$2:$A$1001,$A841,$B$2:$B$1001,"&lt;"&amp;$B841)),MAX(INDEX(Accounts!$Q$2:$Q$11,$F841),_xlfn.MAXIFS($C$2:$C$1001,$A$2:$A$1001,$A841,$B$2:$B$1001,"&lt;"&amp;$B841),_xlfn.MAXIFS($D$2:$D$1001,$A$2:$A$1001,$A841,$B$2:$B$1001,"&lt;="&amp;$B841),$C841)))),"")</f>
        <v/>
      </c>
      <c r="H841" s="15">
        <f>IFERROR(IF(G841="","",IF(INDEX(Accounts!$P$2:$P$11,$F841)="static",INDEX(Accounts!$Q$2:$Q$11,$F841)-INDEX(Accounts!$R$2:$R$11,$F841),IF(INDEX(Accounts!$S$2:$S$11,$F841)="NONE",G841-INDEX(Accounts!$R$2:$R$11,$F841),MIN(G841-INDEX(Accounts!$R$2:$R$11,$F841),INDEX(Accounts!$Q$2:$Q$11,$F841)+INDEX(Accounts!$S$2:$S$11,$F841))))),"")</f>
        <v/>
      </c>
      <c r="I841" s="16">
        <f>IF(AND($A841="",$B841="",$C841="",$D841="",$E841=""),"",IF(OR($A841="",$F841=""),"UNKNOWN_ACCOUNT",IF(OR($B841="",$C841=""),"INCOMPLETE",IFERROR(IF(OR(NOT(ISNUMBER($B841)),NOT(ISNUMBER($C841)),IF(C841="",FALSE,IF(ISNUMBER(C841),OR(C841&lt;=0,C841&gt;100000000,ROUND(C841*100,6)&lt;&gt;INT(ROUND(C841*100,6))),TRUE)),IF(D841="",FALSE,IF(ISNUMBER(D841),OR(D841&lt;=0,D841&gt;100000000,ROUND(D841*100,6)&lt;&gt;INT(ROUND(D841*100,6))),TRUE)),IF(E841="",FALSE,IF(ISNUMBER(E841),OR(E841&lt;=0,E841&gt;100000000,ROUND(E841*100,6)&lt;&gt;INT(ROUND(E841*100,6))),TRUE)),AND($D841&lt;&gt;"",$D841&lt;MAX($C841,$E841)),AND($E841&lt;&gt;"",$E841&gt;MIN($C841,IF($D841="",$C841,$D841))),COUNTIFS($A$2:$A$1001,$A841,$B$2:$B$1001,$B841)&gt;1),"INVALID",IFERROR(IF(IF(INDEX(Accounts!$T$2:$T$11,$F841),ROUND(IF($E841="",$C841,MIN($C841,$E841))-(H841),6)&lt;=0,ROUND(IF($E841="",$C841,MIN($C841,$E841))-(H841),6)&lt;0),"BREACHED","OK"),"INCOMPLETE")),"INVALID"))))</f>
        <v/>
      </c>
      <c r="J841" s="33">
        <f>IF(OR(I841="OK",I841="BREACHED"),-INT(ROUND(-(H841)*100,6))/100,I841)</f>
        <v/>
      </c>
    </row>
    <row r="842" ht="18" customHeight="1">
      <c r="A842" s="9" t="n"/>
      <c r="B842" s="32" t="n"/>
      <c r="C842" s="12" t="n"/>
      <c r="D842" s="12" t="n"/>
      <c r="E842" s="12" t="n"/>
      <c r="F842" s="15">
        <f>IFERROR(MATCH($A842,Accounts!$A$2:$A$11,0),"")</f>
        <v/>
      </c>
      <c r="G842" s="14">
        <f>IFERROR(IF(OR($A842="",$F842=""),"",IF(INDEX(Accounts!$P$2:$P$11,$F842)="static",INDEX(Accounts!$Q$2:$Q$11,$F842),IF(INDEX(Accounts!$P$2:$P$11,$F842)="eod_trailing",MAX(INDEX(Accounts!$Q$2:$Q$11,$F842),_xlfn.MAXIFS($C$2:$C$1001,$A$2:$A$1001,$A842,$B$2:$B$1001,"&lt;"&amp;$B842)),MAX(INDEX(Accounts!$Q$2:$Q$11,$F842),_xlfn.MAXIFS($C$2:$C$1001,$A$2:$A$1001,$A842,$B$2:$B$1001,"&lt;"&amp;$B842),_xlfn.MAXIFS($D$2:$D$1001,$A$2:$A$1001,$A842,$B$2:$B$1001,"&lt;="&amp;$B842),$C842)))),"")</f>
        <v/>
      </c>
      <c r="H842" s="15">
        <f>IFERROR(IF(G842="","",IF(INDEX(Accounts!$P$2:$P$11,$F842)="static",INDEX(Accounts!$Q$2:$Q$11,$F842)-INDEX(Accounts!$R$2:$R$11,$F842),IF(INDEX(Accounts!$S$2:$S$11,$F842)="NONE",G842-INDEX(Accounts!$R$2:$R$11,$F842),MIN(G842-INDEX(Accounts!$R$2:$R$11,$F842),INDEX(Accounts!$Q$2:$Q$11,$F842)+INDEX(Accounts!$S$2:$S$11,$F842))))),"")</f>
        <v/>
      </c>
      <c r="I842" s="16">
        <f>IF(AND($A842="",$B842="",$C842="",$D842="",$E842=""),"",IF(OR($A842="",$F842=""),"UNKNOWN_ACCOUNT",IF(OR($B842="",$C842=""),"INCOMPLETE",IFERROR(IF(OR(NOT(ISNUMBER($B842)),NOT(ISNUMBER($C842)),IF(C842="",FALSE,IF(ISNUMBER(C842),OR(C842&lt;=0,C842&gt;100000000,ROUND(C842*100,6)&lt;&gt;INT(ROUND(C842*100,6))),TRUE)),IF(D842="",FALSE,IF(ISNUMBER(D842),OR(D842&lt;=0,D842&gt;100000000,ROUND(D842*100,6)&lt;&gt;INT(ROUND(D842*100,6))),TRUE)),IF(E842="",FALSE,IF(ISNUMBER(E842),OR(E842&lt;=0,E842&gt;100000000,ROUND(E842*100,6)&lt;&gt;INT(ROUND(E842*100,6))),TRUE)),AND($D842&lt;&gt;"",$D842&lt;MAX($C842,$E842)),AND($E842&lt;&gt;"",$E842&gt;MIN($C842,IF($D842="",$C842,$D842))),COUNTIFS($A$2:$A$1001,$A842,$B$2:$B$1001,$B842)&gt;1),"INVALID",IFERROR(IF(IF(INDEX(Accounts!$T$2:$T$11,$F842),ROUND(IF($E842="",$C842,MIN($C842,$E842))-(H842),6)&lt;=0,ROUND(IF($E842="",$C842,MIN($C842,$E842))-(H842),6)&lt;0),"BREACHED","OK"),"INCOMPLETE")),"INVALID"))))</f>
        <v/>
      </c>
      <c r="J842" s="33">
        <f>IF(OR(I842="OK",I842="BREACHED"),-INT(ROUND(-(H842)*100,6))/100,I842)</f>
        <v/>
      </c>
    </row>
    <row r="843" ht="18" customHeight="1">
      <c r="A843" s="9" t="n"/>
      <c r="B843" s="32" t="n"/>
      <c r="C843" s="12" t="n"/>
      <c r="D843" s="12" t="n"/>
      <c r="E843" s="12" t="n"/>
      <c r="F843" s="15">
        <f>IFERROR(MATCH($A843,Accounts!$A$2:$A$11,0),"")</f>
        <v/>
      </c>
      <c r="G843" s="14">
        <f>IFERROR(IF(OR($A843="",$F843=""),"",IF(INDEX(Accounts!$P$2:$P$11,$F843)="static",INDEX(Accounts!$Q$2:$Q$11,$F843),IF(INDEX(Accounts!$P$2:$P$11,$F843)="eod_trailing",MAX(INDEX(Accounts!$Q$2:$Q$11,$F843),_xlfn.MAXIFS($C$2:$C$1001,$A$2:$A$1001,$A843,$B$2:$B$1001,"&lt;"&amp;$B843)),MAX(INDEX(Accounts!$Q$2:$Q$11,$F843),_xlfn.MAXIFS($C$2:$C$1001,$A$2:$A$1001,$A843,$B$2:$B$1001,"&lt;"&amp;$B843),_xlfn.MAXIFS($D$2:$D$1001,$A$2:$A$1001,$A843,$B$2:$B$1001,"&lt;="&amp;$B843),$C843)))),"")</f>
        <v/>
      </c>
      <c r="H843" s="15">
        <f>IFERROR(IF(G843="","",IF(INDEX(Accounts!$P$2:$P$11,$F843)="static",INDEX(Accounts!$Q$2:$Q$11,$F843)-INDEX(Accounts!$R$2:$R$11,$F843),IF(INDEX(Accounts!$S$2:$S$11,$F843)="NONE",G843-INDEX(Accounts!$R$2:$R$11,$F843),MIN(G843-INDEX(Accounts!$R$2:$R$11,$F843),INDEX(Accounts!$Q$2:$Q$11,$F843)+INDEX(Accounts!$S$2:$S$11,$F843))))),"")</f>
        <v/>
      </c>
      <c r="I843" s="16">
        <f>IF(AND($A843="",$B843="",$C843="",$D843="",$E843=""),"",IF(OR($A843="",$F843=""),"UNKNOWN_ACCOUNT",IF(OR($B843="",$C843=""),"INCOMPLETE",IFERROR(IF(OR(NOT(ISNUMBER($B843)),NOT(ISNUMBER($C843)),IF(C843="",FALSE,IF(ISNUMBER(C843),OR(C843&lt;=0,C843&gt;100000000,ROUND(C843*100,6)&lt;&gt;INT(ROUND(C843*100,6))),TRUE)),IF(D843="",FALSE,IF(ISNUMBER(D843),OR(D843&lt;=0,D843&gt;100000000,ROUND(D843*100,6)&lt;&gt;INT(ROUND(D843*100,6))),TRUE)),IF(E843="",FALSE,IF(ISNUMBER(E843),OR(E843&lt;=0,E843&gt;100000000,ROUND(E843*100,6)&lt;&gt;INT(ROUND(E843*100,6))),TRUE)),AND($D843&lt;&gt;"",$D843&lt;MAX($C843,$E843)),AND($E843&lt;&gt;"",$E843&gt;MIN($C843,IF($D843="",$C843,$D843))),COUNTIFS($A$2:$A$1001,$A843,$B$2:$B$1001,$B843)&gt;1),"INVALID",IFERROR(IF(IF(INDEX(Accounts!$T$2:$T$11,$F843),ROUND(IF($E843="",$C843,MIN($C843,$E843))-(H843),6)&lt;=0,ROUND(IF($E843="",$C843,MIN($C843,$E843))-(H843),6)&lt;0),"BREACHED","OK"),"INCOMPLETE")),"INVALID"))))</f>
        <v/>
      </c>
      <c r="J843" s="33">
        <f>IF(OR(I843="OK",I843="BREACHED"),-INT(ROUND(-(H843)*100,6))/100,I843)</f>
        <v/>
      </c>
    </row>
    <row r="844" ht="18" customHeight="1">
      <c r="A844" s="9" t="n"/>
      <c r="B844" s="32" t="n"/>
      <c r="C844" s="12" t="n"/>
      <c r="D844" s="12" t="n"/>
      <c r="E844" s="12" t="n"/>
      <c r="F844" s="15">
        <f>IFERROR(MATCH($A844,Accounts!$A$2:$A$11,0),"")</f>
        <v/>
      </c>
      <c r="G844" s="14">
        <f>IFERROR(IF(OR($A844="",$F844=""),"",IF(INDEX(Accounts!$P$2:$P$11,$F844)="static",INDEX(Accounts!$Q$2:$Q$11,$F844),IF(INDEX(Accounts!$P$2:$P$11,$F844)="eod_trailing",MAX(INDEX(Accounts!$Q$2:$Q$11,$F844),_xlfn.MAXIFS($C$2:$C$1001,$A$2:$A$1001,$A844,$B$2:$B$1001,"&lt;"&amp;$B844)),MAX(INDEX(Accounts!$Q$2:$Q$11,$F844),_xlfn.MAXIFS($C$2:$C$1001,$A$2:$A$1001,$A844,$B$2:$B$1001,"&lt;"&amp;$B844),_xlfn.MAXIFS($D$2:$D$1001,$A$2:$A$1001,$A844,$B$2:$B$1001,"&lt;="&amp;$B844),$C844)))),"")</f>
        <v/>
      </c>
      <c r="H844" s="15">
        <f>IFERROR(IF(G844="","",IF(INDEX(Accounts!$P$2:$P$11,$F844)="static",INDEX(Accounts!$Q$2:$Q$11,$F844)-INDEX(Accounts!$R$2:$R$11,$F844),IF(INDEX(Accounts!$S$2:$S$11,$F844)="NONE",G844-INDEX(Accounts!$R$2:$R$11,$F844),MIN(G844-INDEX(Accounts!$R$2:$R$11,$F844),INDEX(Accounts!$Q$2:$Q$11,$F844)+INDEX(Accounts!$S$2:$S$11,$F844))))),"")</f>
        <v/>
      </c>
      <c r="I844" s="16">
        <f>IF(AND($A844="",$B844="",$C844="",$D844="",$E844=""),"",IF(OR($A844="",$F844=""),"UNKNOWN_ACCOUNT",IF(OR($B844="",$C844=""),"INCOMPLETE",IFERROR(IF(OR(NOT(ISNUMBER($B844)),NOT(ISNUMBER($C844)),IF(C844="",FALSE,IF(ISNUMBER(C844),OR(C844&lt;=0,C844&gt;100000000,ROUND(C844*100,6)&lt;&gt;INT(ROUND(C844*100,6))),TRUE)),IF(D844="",FALSE,IF(ISNUMBER(D844),OR(D844&lt;=0,D844&gt;100000000,ROUND(D844*100,6)&lt;&gt;INT(ROUND(D844*100,6))),TRUE)),IF(E844="",FALSE,IF(ISNUMBER(E844),OR(E844&lt;=0,E844&gt;100000000,ROUND(E844*100,6)&lt;&gt;INT(ROUND(E844*100,6))),TRUE)),AND($D844&lt;&gt;"",$D844&lt;MAX($C844,$E844)),AND($E844&lt;&gt;"",$E844&gt;MIN($C844,IF($D844="",$C844,$D844))),COUNTIFS($A$2:$A$1001,$A844,$B$2:$B$1001,$B844)&gt;1),"INVALID",IFERROR(IF(IF(INDEX(Accounts!$T$2:$T$11,$F844),ROUND(IF($E844="",$C844,MIN($C844,$E844))-(H844),6)&lt;=0,ROUND(IF($E844="",$C844,MIN($C844,$E844))-(H844),6)&lt;0),"BREACHED","OK"),"INCOMPLETE")),"INVALID"))))</f>
        <v/>
      </c>
      <c r="J844" s="33">
        <f>IF(OR(I844="OK",I844="BREACHED"),-INT(ROUND(-(H844)*100,6))/100,I844)</f>
        <v/>
      </c>
    </row>
    <row r="845" ht="18" customHeight="1">
      <c r="A845" s="9" t="n"/>
      <c r="B845" s="32" t="n"/>
      <c r="C845" s="12" t="n"/>
      <c r="D845" s="12" t="n"/>
      <c r="E845" s="12" t="n"/>
      <c r="F845" s="15">
        <f>IFERROR(MATCH($A845,Accounts!$A$2:$A$11,0),"")</f>
        <v/>
      </c>
      <c r="G845" s="14">
        <f>IFERROR(IF(OR($A845="",$F845=""),"",IF(INDEX(Accounts!$P$2:$P$11,$F845)="static",INDEX(Accounts!$Q$2:$Q$11,$F845),IF(INDEX(Accounts!$P$2:$P$11,$F845)="eod_trailing",MAX(INDEX(Accounts!$Q$2:$Q$11,$F845),_xlfn.MAXIFS($C$2:$C$1001,$A$2:$A$1001,$A845,$B$2:$B$1001,"&lt;"&amp;$B845)),MAX(INDEX(Accounts!$Q$2:$Q$11,$F845),_xlfn.MAXIFS($C$2:$C$1001,$A$2:$A$1001,$A845,$B$2:$B$1001,"&lt;"&amp;$B845),_xlfn.MAXIFS($D$2:$D$1001,$A$2:$A$1001,$A845,$B$2:$B$1001,"&lt;="&amp;$B845),$C845)))),"")</f>
        <v/>
      </c>
      <c r="H845" s="15">
        <f>IFERROR(IF(G845="","",IF(INDEX(Accounts!$P$2:$P$11,$F845)="static",INDEX(Accounts!$Q$2:$Q$11,$F845)-INDEX(Accounts!$R$2:$R$11,$F845),IF(INDEX(Accounts!$S$2:$S$11,$F845)="NONE",G845-INDEX(Accounts!$R$2:$R$11,$F845),MIN(G845-INDEX(Accounts!$R$2:$R$11,$F845),INDEX(Accounts!$Q$2:$Q$11,$F845)+INDEX(Accounts!$S$2:$S$11,$F845))))),"")</f>
        <v/>
      </c>
      <c r="I845" s="16">
        <f>IF(AND($A845="",$B845="",$C845="",$D845="",$E845=""),"",IF(OR($A845="",$F845=""),"UNKNOWN_ACCOUNT",IF(OR($B845="",$C845=""),"INCOMPLETE",IFERROR(IF(OR(NOT(ISNUMBER($B845)),NOT(ISNUMBER($C845)),IF(C845="",FALSE,IF(ISNUMBER(C845),OR(C845&lt;=0,C845&gt;100000000,ROUND(C845*100,6)&lt;&gt;INT(ROUND(C845*100,6))),TRUE)),IF(D845="",FALSE,IF(ISNUMBER(D845),OR(D845&lt;=0,D845&gt;100000000,ROUND(D845*100,6)&lt;&gt;INT(ROUND(D845*100,6))),TRUE)),IF(E845="",FALSE,IF(ISNUMBER(E845),OR(E845&lt;=0,E845&gt;100000000,ROUND(E845*100,6)&lt;&gt;INT(ROUND(E845*100,6))),TRUE)),AND($D845&lt;&gt;"",$D845&lt;MAX($C845,$E845)),AND($E845&lt;&gt;"",$E845&gt;MIN($C845,IF($D845="",$C845,$D845))),COUNTIFS($A$2:$A$1001,$A845,$B$2:$B$1001,$B845)&gt;1),"INVALID",IFERROR(IF(IF(INDEX(Accounts!$T$2:$T$11,$F845),ROUND(IF($E845="",$C845,MIN($C845,$E845))-(H845),6)&lt;=0,ROUND(IF($E845="",$C845,MIN($C845,$E845))-(H845),6)&lt;0),"BREACHED","OK"),"INCOMPLETE")),"INVALID"))))</f>
        <v/>
      </c>
      <c r="J845" s="33">
        <f>IF(OR(I845="OK",I845="BREACHED"),-INT(ROUND(-(H845)*100,6))/100,I845)</f>
        <v/>
      </c>
    </row>
    <row r="846" ht="18" customHeight="1">
      <c r="A846" s="9" t="n"/>
      <c r="B846" s="32" t="n"/>
      <c r="C846" s="12" t="n"/>
      <c r="D846" s="12" t="n"/>
      <c r="E846" s="12" t="n"/>
      <c r="F846" s="15">
        <f>IFERROR(MATCH($A846,Accounts!$A$2:$A$11,0),"")</f>
        <v/>
      </c>
      <c r="G846" s="14">
        <f>IFERROR(IF(OR($A846="",$F846=""),"",IF(INDEX(Accounts!$P$2:$P$11,$F846)="static",INDEX(Accounts!$Q$2:$Q$11,$F846),IF(INDEX(Accounts!$P$2:$P$11,$F846)="eod_trailing",MAX(INDEX(Accounts!$Q$2:$Q$11,$F846),_xlfn.MAXIFS($C$2:$C$1001,$A$2:$A$1001,$A846,$B$2:$B$1001,"&lt;"&amp;$B846)),MAX(INDEX(Accounts!$Q$2:$Q$11,$F846),_xlfn.MAXIFS($C$2:$C$1001,$A$2:$A$1001,$A846,$B$2:$B$1001,"&lt;"&amp;$B846),_xlfn.MAXIFS($D$2:$D$1001,$A$2:$A$1001,$A846,$B$2:$B$1001,"&lt;="&amp;$B846),$C846)))),"")</f>
        <v/>
      </c>
      <c r="H846" s="15">
        <f>IFERROR(IF(G846="","",IF(INDEX(Accounts!$P$2:$P$11,$F846)="static",INDEX(Accounts!$Q$2:$Q$11,$F846)-INDEX(Accounts!$R$2:$R$11,$F846),IF(INDEX(Accounts!$S$2:$S$11,$F846)="NONE",G846-INDEX(Accounts!$R$2:$R$11,$F846),MIN(G846-INDEX(Accounts!$R$2:$R$11,$F846),INDEX(Accounts!$Q$2:$Q$11,$F846)+INDEX(Accounts!$S$2:$S$11,$F846))))),"")</f>
        <v/>
      </c>
      <c r="I846" s="16">
        <f>IF(AND($A846="",$B846="",$C846="",$D846="",$E846=""),"",IF(OR($A846="",$F846=""),"UNKNOWN_ACCOUNT",IF(OR($B846="",$C846=""),"INCOMPLETE",IFERROR(IF(OR(NOT(ISNUMBER($B846)),NOT(ISNUMBER($C846)),IF(C846="",FALSE,IF(ISNUMBER(C846),OR(C846&lt;=0,C846&gt;100000000,ROUND(C846*100,6)&lt;&gt;INT(ROUND(C846*100,6))),TRUE)),IF(D846="",FALSE,IF(ISNUMBER(D846),OR(D846&lt;=0,D846&gt;100000000,ROUND(D846*100,6)&lt;&gt;INT(ROUND(D846*100,6))),TRUE)),IF(E846="",FALSE,IF(ISNUMBER(E846),OR(E846&lt;=0,E846&gt;100000000,ROUND(E846*100,6)&lt;&gt;INT(ROUND(E846*100,6))),TRUE)),AND($D846&lt;&gt;"",$D846&lt;MAX($C846,$E846)),AND($E846&lt;&gt;"",$E846&gt;MIN($C846,IF($D846="",$C846,$D846))),COUNTIFS($A$2:$A$1001,$A846,$B$2:$B$1001,$B846)&gt;1),"INVALID",IFERROR(IF(IF(INDEX(Accounts!$T$2:$T$11,$F846),ROUND(IF($E846="",$C846,MIN($C846,$E846))-(H846),6)&lt;=0,ROUND(IF($E846="",$C846,MIN($C846,$E846))-(H846),6)&lt;0),"BREACHED","OK"),"INCOMPLETE")),"INVALID"))))</f>
        <v/>
      </c>
      <c r="J846" s="33">
        <f>IF(OR(I846="OK",I846="BREACHED"),-INT(ROUND(-(H846)*100,6))/100,I846)</f>
        <v/>
      </c>
    </row>
    <row r="847" ht="18" customHeight="1">
      <c r="A847" s="9" t="n"/>
      <c r="B847" s="32" t="n"/>
      <c r="C847" s="12" t="n"/>
      <c r="D847" s="12" t="n"/>
      <c r="E847" s="12" t="n"/>
      <c r="F847" s="15">
        <f>IFERROR(MATCH($A847,Accounts!$A$2:$A$11,0),"")</f>
        <v/>
      </c>
      <c r="G847" s="14">
        <f>IFERROR(IF(OR($A847="",$F847=""),"",IF(INDEX(Accounts!$P$2:$P$11,$F847)="static",INDEX(Accounts!$Q$2:$Q$11,$F847),IF(INDEX(Accounts!$P$2:$P$11,$F847)="eod_trailing",MAX(INDEX(Accounts!$Q$2:$Q$11,$F847),_xlfn.MAXIFS($C$2:$C$1001,$A$2:$A$1001,$A847,$B$2:$B$1001,"&lt;"&amp;$B847)),MAX(INDEX(Accounts!$Q$2:$Q$11,$F847),_xlfn.MAXIFS($C$2:$C$1001,$A$2:$A$1001,$A847,$B$2:$B$1001,"&lt;"&amp;$B847),_xlfn.MAXIFS($D$2:$D$1001,$A$2:$A$1001,$A847,$B$2:$B$1001,"&lt;="&amp;$B847),$C847)))),"")</f>
        <v/>
      </c>
      <c r="H847" s="15">
        <f>IFERROR(IF(G847="","",IF(INDEX(Accounts!$P$2:$P$11,$F847)="static",INDEX(Accounts!$Q$2:$Q$11,$F847)-INDEX(Accounts!$R$2:$R$11,$F847),IF(INDEX(Accounts!$S$2:$S$11,$F847)="NONE",G847-INDEX(Accounts!$R$2:$R$11,$F847),MIN(G847-INDEX(Accounts!$R$2:$R$11,$F847),INDEX(Accounts!$Q$2:$Q$11,$F847)+INDEX(Accounts!$S$2:$S$11,$F847))))),"")</f>
        <v/>
      </c>
      <c r="I847" s="16">
        <f>IF(AND($A847="",$B847="",$C847="",$D847="",$E847=""),"",IF(OR($A847="",$F847=""),"UNKNOWN_ACCOUNT",IF(OR($B847="",$C847=""),"INCOMPLETE",IFERROR(IF(OR(NOT(ISNUMBER($B847)),NOT(ISNUMBER($C847)),IF(C847="",FALSE,IF(ISNUMBER(C847),OR(C847&lt;=0,C847&gt;100000000,ROUND(C847*100,6)&lt;&gt;INT(ROUND(C847*100,6))),TRUE)),IF(D847="",FALSE,IF(ISNUMBER(D847),OR(D847&lt;=0,D847&gt;100000000,ROUND(D847*100,6)&lt;&gt;INT(ROUND(D847*100,6))),TRUE)),IF(E847="",FALSE,IF(ISNUMBER(E847),OR(E847&lt;=0,E847&gt;100000000,ROUND(E847*100,6)&lt;&gt;INT(ROUND(E847*100,6))),TRUE)),AND($D847&lt;&gt;"",$D847&lt;MAX($C847,$E847)),AND($E847&lt;&gt;"",$E847&gt;MIN($C847,IF($D847="",$C847,$D847))),COUNTIFS($A$2:$A$1001,$A847,$B$2:$B$1001,$B847)&gt;1),"INVALID",IFERROR(IF(IF(INDEX(Accounts!$T$2:$T$11,$F847),ROUND(IF($E847="",$C847,MIN($C847,$E847))-(H847),6)&lt;=0,ROUND(IF($E847="",$C847,MIN($C847,$E847))-(H847),6)&lt;0),"BREACHED","OK"),"INCOMPLETE")),"INVALID"))))</f>
        <v/>
      </c>
      <c r="J847" s="33">
        <f>IF(OR(I847="OK",I847="BREACHED"),-INT(ROUND(-(H847)*100,6))/100,I847)</f>
        <v/>
      </c>
    </row>
    <row r="848" ht="18" customHeight="1">
      <c r="A848" s="9" t="n"/>
      <c r="B848" s="32" t="n"/>
      <c r="C848" s="12" t="n"/>
      <c r="D848" s="12" t="n"/>
      <c r="E848" s="12" t="n"/>
      <c r="F848" s="15">
        <f>IFERROR(MATCH($A848,Accounts!$A$2:$A$11,0),"")</f>
        <v/>
      </c>
      <c r="G848" s="14">
        <f>IFERROR(IF(OR($A848="",$F848=""),"",IF(INDEX(Accounts!$P$2:$P$11,$F848)="static",INDEX(Accounts!$Q$2:$Q$11,$F848),IF(INDEX(Accounts!$P$2:$P$11,$F848)="eod_trailing",MAX(INDEX(Accounts!$Q$2:$Q$11,$F848),_xlfn.MAXIFS($C$2:$C$1001,$A$2:$A$1001,$A848,$B$2:$B$1001,"&lt;"&amp;$B848)),MAX(INDEX(Accounts!$Q$2:$Q$11,$F848),_xlfn.MAXIFS($C$2:$C$1001,$A$2:$A$1001,$A848,$B$2:$B$1001,"&lt;"&amp;$B848),_xlfn.MAXIFS($D$2:$D$1001,$A$2:$A$1001,$A848,$B$2:$B$1001,"&lt;="&amp;$B848),$C848)))),"")</f>
        <v/>
      </c>
      <c r="H848" s="15">
        <f>IFERROR(IF(G848="","",IF(INDEX(Accounts!$P$2:$P$11,$F848)="static",INDEX(Accounts!$Q$2:$Q$11,$F848)-INDEX(Accounts!$R$2:$R$11,$F848),IF(INDEX(Accounts!$S$2:$S$11,$F848)="NONE",G848-INDEX(Accounts!$R$2:$R$11,$F848),MIN(G848-INDEX(Accounts!$R$2:$R$11,$F848),INDEX(Accounts!$Q$2:$Q$11,$F848)+INDEX(Accounts!$S$2:$S$11,$F848))))),"")</f>
        <v/>
      </c>
      <c r="I848" s="16">
        <f>IF(AND($A848="",$B848="",$C848="",$D848="",$E848=""),"",IF(OR($A848="",$F848=""),"UNKNOWN_ACCOUNT",IF(OR($B848="",$C848=""),"INCOMPLETE",IFERROR(IF(OR(NOT(ISNUMBER($B848)),NOT(ISNUMBER($C848)),IF(C848="",FALSE,IF(ISNUMBER(C848),OR(C848&lt;=0,C848&gt;100000000,ROUND(C848*100,6)&lt;&gt;INT(ROUND(C848*100,6))),TRUE)),IF(D848="",FALSE,IF(ISNUMBER(D848),OR(D848&lt;=0,D848&gt;100000000,ROUND(D848*100,6)&lt;&gt;INT(ROUND(D848*100,6))),TRUE)),IF(E848="",FALSE,IF(ISNUMBER(E848),OR(E848&lt;=0,E848&gt;100000000,ROUND(E848*100,6)&lt;&gt;INT(ROUND(E848*100,6))),TRUE)),AND($D848&lt;&gt;"",$D848&lt;MAX($C848,$E848)),AND($E848&lt;&gt;"",$E848&gt;MIN($C848,IF($D848="",$C848,$D848))),COUNTIFS($A$2:$A$1001,$A848,$B$2:$B$1001,$B848)&gt;1),"INVALID",IFERROR(IF(IF(INDEX(Accounts!$T$2:$T$11,$F848),ROUND(IF($E848="",$C848,MIN($C848,$E848))-(H848),6)&lt;=0,ROUND(IF($E848="",$C848,MIN($C848,$E848))-(H848),6)&lt;0),"BREACHED","OK"),"INCOMPLETE")),"INVALID"))))</f>
        <v/>
      </c>
      <c r="J848" s="33">
        <f>IF(OR(I848="OK",I848="BREACHED"),-INT(ROUND(-(H848)*100,6))/100,I848)</f>
        <v/>
      </c>
    </row>
    <row r="849" ht="18" customHeight="1">
      <c r="A849" s="9" t="n"/>
      <c r="B849" s="32" t="n"/>
      <c r="C849" s="12" t="n"/>
      <c r="D849" s="12" t="n"/>
      <c r="E849" s="12" t="n"/>
      <c r="F849" s="15">
        <f>IFERROR(MATCH($A849,Accounts!$A$2:$A$11,0),"")</f>
        <v/>
      </c>
      <c r="G849" s="14">
        <f>IFERROR(IF(OR($A849="",$F849=""),"",IF(INDEX(Accounts!$P$2:$P$11,$F849)="static",INDEX(Accounts!$Q$2:$Q$11,$F849),IF(INDEX(Accounts!$P$2:$P$11,$F849)="eod_trailing",MAX(INDEX(Accounts!$Q$2:$Q$11,$F849),_xlfn.MAXIFS($C$2:$C$1001,$A$2:$A$1001,$A849,$B$2:$B$1001,"&lt;"&amp;$B849)),MAX(INDEX(Accounts!$Q$2:$Q$11,$F849),_xlfn.MAXIFS($C$2:$C$1001,$A$2:$A$1001,$A849,$B$2:$B$1001,"&lt;"&amp;$B849),_xlfn.MAXIFS($D$2:$D$1001,$A$2:$A$1001,$A849,$B$2:$B$1001,"&lt;="&amp;$B849),$C849)))),"")</f>
        <v/>
      </c>
      <c r="H849" s="15">
        <f>IFERROR(IF(G849="","",IF(INDEX(Accounts!$P$2:$P$11,$F849)="static",INDEX(Accounts!$Q$2:$Q$11,$F849)-INDEX(Accounts!$R$2:$R$11,$F849),IF(INDEX(Accounts!$S$2:$S$11,$F849)="NONE",G849-INDEX(Accounts!$R$2:$R$11,$F849),MIN(G849-INDEX(Accounts!$R$2:$R$11,$F849),INDEX(Accounts!$Q$2:$Q$11,$F849)+INDEX(Accounts!$S$2:$S$11,$F849))))),"")</f>
        <v/>
      </c>
      <c r="I849" s="16">
        <f>IF(AND($A849="",$B849="",$C849="",$D849="",$E849=""),"",IF(OR($A849="",$F849=""),"UNKNOWN_ACCOUNT",IF(OR($B849="",$C849=""),"INCOMPLETE",IFERROR(IF(OR(NOT(ISNUMBER($B849)),NOT(ISNUMBER($C849)),IF(C849="",FALSE,IF(ISNUMBER(C849),OR(C849&lt;=0,C849&gt;100000000,ROUND(C849*100,6)&lt;&gt;INT(ROUND(C849*100,6))),TRUE)),IF(D849="",FALSE,IF(ISNUMBER(D849),OR(D849&lt;=0,D849&gt;100000000,ROUND(D849*100,6)&lt;&gt;INT(ROUND(D849*100,6))),TRUE)),IF(E849="",FALSE,IF(ISNUMBER(E849),OR(E849&lt;=0,E849&gt;100000000,ROUND(E849*100,6)&lt;&gt;INT(ROUND(E849*100,6))),TRUE)),AND($D849&lt;&gt;"",$D849&lt;MAX($C849,$E849)),AND($E849&lt;&gt;"",$E849&gt;MIN($C849,IF($D849="",$C849,$D849))),COUNTIFS($A$2:$A$1001,$A849,$B$2:$B$1001,$B849)&gt;1),"INVALID",IFERROR(IF(IF(INDEX(Accounts!$T$2:$T$11,$F849),ROUND(IF($E849="",$C849,MIN($C849,$E849))-(H849),6)&lt;=0,ROUND(IF($E849="",$C849,MIN($C849,$E849))-(H849),6)&lt;0),"BREACHED","OK"),"INCOMPLETE")),"INVALID"))))</f>
        <v/>
      </c>
      <c r="J849" s="33">
        <f>IF(OR(I849="OK",I849="BREACHED"),-INT(ROUND(-(H849)*100,6))/100,I849)</f>
        <v/>
      </c>
    </row>
    <row r="850" ht="18" customHeight="1">
      <c r="A850" s="9" t="n"/>
      <c r="B850" s="32" t="n"/>
      <c r="C850" s="12" t="n"/>
      <c r="D850" s="12" t="n"/>
      <c r="E850" s="12" t="n"/>
      <c r="F850" s="15">
        <f>IFERROR(MATCH($A850,Accounts!$A$2:$A$11,0),"")</f>
        <v/>
      </c>
      <c r="G850" s="14">
        <f>IFERROR(IF(OR($A850="",$F850=""),"",IF(INDEX(Accounts!$P$2:$P$11,$F850)="static",INDEX(Accounts!$Q$2:$Q$11,$F850),IF(INDEX(Accounts!$P$2:$P$11,$F850)="eod_trailing",MAX(INDEX(Accounts!$Q$2:$Q$11,$F850),_xlfn.MAXIFS($C$2:$C$1001,$A$2:$A$1001,$A850,$B$2:$B$1001,"&lt;"&amp;$B850)),MAX(INDEX(Accounts!$Q$2:$Q$11,$F850),_xlfn.MAXIFS($C$2:$C$1001,$A$2:$A$1001,$A850,$B$2:$B$1001,"&lt;"&amp;$B850),_xlfn.MAXIFS($D$2:$D$1001,$A$2:$A$1001,$A850,$B$2:$B$1001,"&lt;="&amp;$B850),$C850)))),"")</f>
        <v/>
      </c>
      <c r="H850" s="15">
        <f>IFERROR(IF(G850="","",IF(INDEX(Accounts!$P$2:$P$11,$F850)="static",INDEX(Accounts!$Q$2:$Q$11,$F850)-INDEX(Accounts!$R$2:$R$11,$F850),IF(INDEX(Accounts!$S$2:$S$11,$F850)="NONE",G850-INDEX(Accounts!$R$2:$R$11,$F850),MIN(G850-INDEX(Accounts!$R$2:$R$11,$F850),INDEX(Accounts!$Q$2:$Q$11,$F850)+INDEX(Accounts!$S$2:$S$11,$F850))))),"")</f>
        <v/>
      </c>
      <c r="I850" s="16">
        <f>IF(AND($A850="",$B850="",$C850="",$D850="",$E850=""),"",IF(OR($A850="",$F850=""),"UNKNOWN_ACCOUNT",IF(OR($B850="",$C850=""),"INCOMPLETE",IFERROR(IF(OR(NOT(ISNUMBER($B850)),NOT(ISNUMBER($C850)),IF(C850="",FALSE,IF(ISNUMBER(C850),OR(C850&lt;=0,C850&gt;100000000,ROUND(C850*100,6)&lt;&gt;INT(ROUND(C850*100,6))),TRUE)),IF(D850="",FALSE,IF(ISNUMBER(D850),OR(D850&lt;=0,D850&gt;100000000,ROUND(D850*100,6)&lt;&gt;INT(ROUND(D850*100,6))),TRUE)),IF(E850="",FALSE,IF(ISNUMBER(E850),OR(E850&lt;=0,E850&gt;100000000,ROUND(E850*100,6)&lt;&gt;INT(ROUND(E850*100,6))),TRUE)),AND($D850&lt;&gt;"",$D850&lt;MAX($C850,$E850)),AND($E850&lt;&gt;"",$E850&gt;MIN($C850,IF($D850="",$C850,$D850))),COUNTIFS($A$2:$A$1001,$A850,$B$2:$B$1001,$B850)&gt;1),"INVALID",IFERROR(IF(IF(INDEX(Accounts!$T$2:$T$11,$F850),ROUND(IF($E850="",$C850,MIN($C850,$E850))-(H850),6)&lt;=0,ROUND(IF($E850="",$C850,MIN($C850,$E850))-(H850),6)&lt;0),"BREACHED","OK"),"INCOMPLETE")),"INVALID"))))</f>
        <v/>
      </c>
      <c r="J850" s="33">
        <f>IF(OR(I850="OK",I850="BREACHED"),-INT(ROUND(-(H850)*100,6))/100,I850)</f>
        <v/>
      </c>
    </row>
    <row r="851" ht="18" customHeight="1">
      <c r="A851" s="9" t="n"/>
      <c r="B851" s="32" t="n"/>
      <c r="C851" s="12" t="n"/>
      <c r="D851" s="12" t="n"/>
      <c r="E851" s="12" t="n"/>
      <c r="F851" s="15">
        <f>IFERROR(MATCH($A851,Accounts!$A$2:$A$11,0),"")</f>
        <v/>
      </c>
      <c r="G851" s="14">
        <f>IFERROR(IF(OR($A851="",$F851=""),"",IF(INDEX(Accounts!$P$2:$P$11,$F851)="static",INDEX(Accounts!$Q$2:$Q$11,$F851),IF(INDEX(Accounts!$P$2:$P$11,$F851)="eod_trailing",MAX(INDEX(Accounts!$Q$2:$Q$11,$F851),_xlfn.MAXIFS($C$2:$C$1001,$A$2:$A$1001,$A851,$B$2:$B$1001,"&lt;"&amp;$B851)),MAX(INDEX(Accounts!$Q$2:$Q$11,$F851),_xlfn.MAXIFS($C$2:$C$1001,$A$2:$A$1001,$A851,$B$2:$B$1001,"&lt;"&amp;$B851),_xlfn.MAXIFS($D$2:$D$1001,$A$2:$A$1001,$A851,$B$2:$B$1001,"&lt;="&amp;$B851),$C851)))),"")</f>
        <v/>
      </c>
      <c r="H851" s="15">
        <f>IFERROR(IF(G851="","",IF(INDEX(Accounts!$P$2:$P$11,$F851)="static",INDEX(Accounts!$Q$2:$Q$11,$F851)-INDEX(Accounts!$R$2:$R$11,$F851),IF(INDEX(Accounts!$S$2:$S$11,$F851)="NONE",G851-INDEX(Accounts!$R$2:$R$11,$F851),MIN(G851-INDEX(Accounts!$R$2:$R$11,$F851),INDEX(Accounts!$Q$2:$Q$11,$F851)+INDEX(Accounts!$S$2:$S$11,$F851))))),"")</f>
        <v/>
      </c>
      <c r="I851" s="16">
        <f>IF(AND($A851="",$B851="",$C851="",$D851="",$E851=""),"",IF(OR($A851="",$F851=""),"UNKNOWN_ACCOUNT",IF(OR($B851="",$C851=""),"INCOMPLETE",IFERROR(IF(OR(NOT(ISNUMBER($B851)),NOT(ISNUMBER($C851)),IF(C851="",FALSE,IF(ISNUMBER(C851),OR(C851&lt;=0,C851&gt;100000000,ROUND(C851*100,6)&lt;&gt;INT(ROUND(C851*100,6))),TRUE)),IF(D851="",FALSE,IF(ISNUMBER(D851),OR(D851&lt;=0,D851&gt;100000000,ROUND(D851*100,6)&lt;&gt;INT(ROUND(D851*100,6))),TRUE)),IF(E851="",FALSE,IF(ISNUMBER(E851),OR(E851&lt;=0,E851&gt;100000000,ROUND(E851*100,6)&lt;&gt;INT(ROUND(E851*100,6))),TRUE)),AND($D851&lt;&gt;"",$D851&lt;MAX($C851,$E851)),AND($E851&lt;&gt;"",$E851&gt;MIN($C851,IF($D851="",$C851,$D851))),COUNTIFS($A$2:$A$1001,$A851,$B$2:$B$1001,$B851)&gt;1),"INVALID",IFERROR(IF(IF(INDEX(Accounts!$T$2:$T$11,$F851),ROUND(IF($E851="",$C851,MIN($C851,$E851))-(H851),6)&lt;=0,ROUND(IF($E851="",$C851,MIN($C851,$E851))-(H851),6)&lt;0),"BREACHED","OK"),"INCOMPLETE")),"INVALID"))))</f>
        <v/>
      </c>
      <c r="J851" s="33">
        <f>IF(OR(I851="OK",I851="BREACHED"),-INT(ROUND(-(H851)*100,6))/100,I851)</f>
        <v/>
      </c>
    </row>
    <row r="852" ht="18" customHeight="1">
      <c r="A852" s="9" t="n"/>
      <c r="B852" s="32" t="n"/>
      <c r="C852" s="12" t="n"/>
      <c r="D852" s="12" t="n"/>
      <c r="E852" s="12" t="n"/>
      <c r="F852" s="15">
        <f>IFERROR(MATCH($A852,Accounts!$A$2:$A$11,0),"")</f>
        <v/>
      </c>
      <c r="G852" s="14">
        <f>IFERROR(IF(OR($A852="",$F852=""),"",IF(INDEX(Accounts!$P$2:$P$11,$F852)="static",INDEX(Accounts!$Q$2:$Q$11,$F852),IF(INDEX(Accounts!$P$2:$P$11,$F852)="eod_trailing",MAX(INDEX(Accounts!$Q$2:$Q$11,$F852),_xlfn.MAXIFS($C$2:$C$1001,$A$2:$A$1001,$A852,$B$2:$B$1001,"&lt;"&amp;$B852)),MAX(INDEX(Accounts!$Q$2:$Q$11,$F852),_xlfn.MAXIFS($C$2:$C$1001,$A$2:$A$1001,$A852,$B$2:$B$1001,"&lt;"&amp;$B852),_xlfn.MAXIFS($D$2:$D$1001,$A$2:$A$1001,$A852,$B$2:$B$1001,"&lt;="&amp;$B852),$C852)))),"")</f>
        <v/>
      </c>
      <c r="H852" s="15">
        <f>IFERROR(IF(G852="","",IF(INDEX(Accounts!$P$2:$P$11,$F852)="static",INDEX(Accounts!$Q$2:$Q$11,$F852)-INDEX(Accounts!$R$2:$R$11,$F852),IF(INDEX(Accounts!$S$2:$S$11,$F852)="NONE",G852-INDEX(Accounts!$R$2:$R$11,$F852),MIN(G852-INDEX(Accounts!$R$2:$R$11,$F852),INDEX(Accounts!$Q$2:$Q$11,$F852)+INDEX(Accounts!$S$2:$S$11,$F852))))),"")</f>
        <v/>
      </c>
      <c r="I852" s="16">
        <f>IF(AND($A852="",$B852="",$C852="",$D852="",$E852=""),"",IF(OR($A852="",$F852=""),"UNKNOWN_ACCOUNT",IF(OR($B852="",$C852=""),"INCOMPLETE",IFERROR(IF(OR(NOT(ISNUMBER($B852)),NOT(ISNUMBER($C852)),IF(C852="",FALSE,IF(ISNUMBER(C852),OR(C852&lt;=0,C852&gt;100000000,ROUND(C852*100,6)&lt;&gt;INT(ROUND(C852*100,6))),TRUE)),IF(D852="",FALSE,IF(ISNUMBER(D852),OR(D852&lt;=0,D852&gt;100000000,ROUND(D852*100,6)&lt;&gt;INT(ROUND(D852*100,6))),TRUE)),IF(E852="",FALSE,IF(ISNUMBER(E852),OR(E852&lt;=0,E852&gt;100000000,ROUND(E852*100,6)&lt;&gt;INT(ROUND(E852*100,6))),TRUE)),AND($D852&lt;&gt;"",$D852&lt;MAX($C852,$E852)),AND($E852&lt;&gt;"",$E852&gt;MIN($C852,IF($D852="",$C852,$D852))),COUNTIFS($A$2:$A$1001,$A852,$B$2:$B$1001,$B852)&gt;1),"INVALID",IFERROR(IF(IF(INDEX(Accounts!$T$2:$T$11,$F852),ROUND(IF($E852="",$C852,MIN($C852,$E852))-(H852),6)&lt;=0,ROUND(IF($E852="",$C852,MIN($C852,$E852))-(H852),6)&lt;0),"BREACHED","OK"),"INCOMPLETE")),"INVALID"))))</f>
        <v/>
      </c>
      <c r="J852" s="33">
        <f>IF(OR(I852="OK",I852="BREACHED"),-INT(ROUND(-(H852)*100,6))/100,I852)</f>
        <v/>
      </c>
    </row>
    <row r="853" ht="18" customHeight="1">
      <c r="A853" s="9" t="n"/>
      <c r="B853" s="32" t="n"/>
      <c r="C853" s="12" t="n"/>
      <c r="D853" s="12" t="n"/>
      <c r="E853" s="12" t="n"/>
      <c r="F853" s="15">
        <f>IFERROR(MATCH($A853,Accounts!$A$2:$A$11,0),"")</f>
        <v/>
      </c>
      <c r="G853" s="14">
        <f>IFERROR(IF(OR($A853="",$F853=""),"",IF(INDEX(Accounts!$P$2:$P$11,$F853)="static",INDEX(Accounts!$Q$2:$Q$11,$F853),IF(INDEX(Accounts!$P$2:$P$11,$F853)="eod_trailing",MAX(INDEX(Accounts!$Q$2:$Q$11,$F853),_xlfn.MAXIFS($C$2:$C$1001,$A$2:$A$1001,$A853,$B$2:$B$1001,"&lt;"&amp;$B853)),MAX(INDEX(Accounts!$Q$2:$Q$11,$F853),_xlfn.MAXIFS($C$2:$C$1001,$A$2:$A$1001,$A853,$B$2:$B$1001,"&lt;"&amp;$B853),_xlfn.MAXIFS($D$2:$D$1001,$A$2:$A$1001,$A853,$B$2:$B$1001,"&lt;="&amp;$B853),$C853)))),"")</f>
        <v/>
      </c>
      <c r="H853" s="15">
        <f>IFERROR(IF(G853="","",IF(INDEX(Accounts!$P$2:$P$11,$F853)="static",INDEX(Accounts!$Q$2:$Q$11,$F853)-INDEX(Accounts!$R$2:$R$11,$F853),IF(INDEX(Accounts!$S$2:$S$11,$F853)="NONE",G853-INDEX(Accounts!$R$2:$R$11,$F853),MIN(G853-INDEX(Accounts!$R$2:$R$11,$F853),INDEX(Accounts!$Q$2:$Q$11,$F853)+INDEX(Accounts!$S$2:$S$11,$F853))))),"")</f>
        <v/>
      </c>
      <c r="I853" s="16">
        <f>IF(AND($A853="",$B853="",$C853="",$D853="",$E853=""),"",IF(OR($A853="",$F853=""),"UNKNOWN_ACCOUNT",IF(OR($B853="",$C853=""),"INCOMPLETE",IFERROR(IF(OR(NOT(ISNUMBER($B853)),NOT(ISNUMBER($C853)),IF(C853="",FALSE,IF(ISNUMBER(C853),OR(C853&lt;=0,C853&gt;100000000,ROUND(C853*100,6)&lt;&gt;INT(ROUND(C853*100,6))),TRUE)),IF(D853="",FALSE,IF(ISNUMBER(D853),OR(D853&lt;=0,D853&gt;100000000,ROUND(D853*100,6)&lt;&gt;INT(ROUND(D853*100,6))),TRUE)),IF(E853="",FALSE,IF(ISNUMBER(E853),OR(E853&lt;=0,E853&gt;100000000,ROUND(E853*100,6)&lt;&gt;INT(ROUND(E853*100,6))),TRUE)),AND($D853&lt;&gt;"",$D853&lt;MAX($C853,$E853)),AND($E853&lt;&gt;"",$E853&gt;MIN($C853,IF($D853="",$C853,$D853))),COUNTIFS($A$2:$A$1001,$A853,$B$2:$B$1001,$B853)&gt;1),"INVALID",IFERROR(IF(IF(INDEX(Accounts!$T$2:$T$11,$F853),ROUND(IF($E853="",$C853,MIN($C853,$E853))-(H853),6)&lt;=0,ROUND(IF($E853="",$C853,MIN($C853,$E853))-(H853),6)&lt;0),"BREACHED","OK"),"INCOMPLETE")),"INVALID"))))</f>
        <v/>
      </c>
      <c r="J853" s="33">
        <f>IF(OR(I853="OK",I853="BREACHED"),-INT(ROUND(-(H853)*100,6))/100,I853)</f>
        <v/>
      </c>
    </row>
    <row r="854" ht="18" customHeight="1">
      <c r="A854" s="9" t="n"/>
      <c r="B854" s="32" t="n"/>
      <c r="C854" s="12" t="n"/>
      <c r="D854" s="12" t="n"/>
      <c r="E854" s="12" t="n"/>
      <c r="F854" s="15">
        <f>IFERROR(MATCH($A854,Accounts!$A$2:$A$11,0),"")</f>
        <v/>
      </c>
      <c r="G854" s="14">
        <f>IFERROR(IF(OR($A854="",$F854=""),"",IF(INDEX(Accounts!$P$2:$P$11,$F854)="static",INDEX(Accounts!$Q$2:$Q$11,$F854),IF(INDEX(Accounts!$P$2:$P$11,$F854)="eod_trailing",MAX(INDEX(Accounts!$Q$2:$Q$11,$F854),_xlfn.MAXIFS($C$2:$C$1001,$A$2:$A$1001,$A854,$B$2:$B$1001,"&lt;"&amp;$B854)),MAX(INDEX(Accounts!$Q$2:$Q$11,$F854),_xlfn.MAXIFS($C$2:$C$1001,$A$2:$A$1001,$A854,$B$2:$B$1001,"&lt;"&amp;$B854),_xlfn.MAXIFS($D$2:$D$1001,$A$2:$A$1001,$A854,$B$2:$B$1001,"&lt;="&amp;$B854),$C854)))),"")</f>
        <v/>
      </c>
      <c r="H854" s="15">
        <f>IFERROR(IF(G854="","",IF(INDEX(Accounts!$P$2:$P$11,$F854)="static",INDEX(Accounts!$Q$2:$Q$11,$F854)-INDEX(Accounts!$R$2:$R$11,$F854),IF(INDEX(Accounts!$S$2:$S$11,$F854)="NONE",G854-INDEX(Accounts!$R$2:$R$11,$F854),MIN(G854-INDEX(Accounts!$R$2:$R$11,$F854),INDEX(Accounts!$Q$2:$Q$11,$F854)+INDEX(Accounts!$S$2:$S$11,$F854))))),"")</f>
        <v/>
      </c>
      <c r="I854" s="16">
        <f>IF(AND($A854="",$B854="",$C854="",$D854="",$E854=""),"",IF(OR($A854="",$F854=""),"UNKNOWN_ACCOUNT",IF(OR($B854="",$C854=""),"INCOMPLETE",IFERROR(IF(OR(NOT(ISNUMBER($B854)),NOT(ISNUMBER($C854)),IF(C854="",FALSE,IF(ISNUMBER(C854),OR(C854&lt;=0,C854&gt;100000000,ROUND(C854*100,6)&lt;&gt;INT(ROUND(C854*100,6))),TRUE)),IF(D854="",FALSE,IF(ISNUMBER(D854),OR(D854&lt;=0,D854&gt;100000000,ROUND(D854*100,6)&lt;&gt;INT(ROUND(D854*100,6))),TRUE)),IF(E854="",FALSE,IF(ISNUMBER(E854),OR(E854&lt;=0,E854&gt;100000000,ROUND(E854*100,6)&lt;&gt;INT(ROUND(E854*100,6))),TRUE)),AND($D854&lt;&gt;"",$D854&lt;MAX($C854,$E854)),AND($E854&lt;&gt;"",$E854&gt;MIN($C854,IF($D854="",$C854,$D854))),COUNTIFS($A$2:$A$1001,$A854,$B$2:$B$1001,$B854)&gt;1),"INVALID",IFERROR(IF(IF(INDEX(Accounts!$T$2:$T$11,$F854),ROUND(IF($E854="",$C854,MIN($C854,$E854))-(H854),6)&lt;=0,ROUND(IF($E854="",$C854,MIN($C854,$E854))-(H854),6)&lt;0),"BREACHED","OK"),"INCOMPLETE")),"INVALID"))))</f>
        <v/>
      </c>
      <c r="J854" s="33">
        <f>IF(OR(I854="OK",I854="BREACHED"),-INT(ROUND(-(H854)*100,6))/100,I854)</f>
        <v/>
      </c>
    </row>
    <row r="855" ht="18" customHeight="1">
      <c r="A855" s="9" t="n"/>
      <c r="B855" s="32" t="n"/>
      <c r="C855" s="12" t="n"/>
      <c r="D855" s="12" t="n"/>
      <c r="E855" s="12" t="n"/>
      <c r="F855" s="15">
        <f>IFERROR(MATCH($A855,Accounts!$A$2:$A$11,0),"")</f>
        <v/>
      </c>
      <c r="G855" s="14">
        <f>IFERROR(IF(OR($A855="",$F855=""),"",IF(INDEX(Accounts!$P$2:$P$11,$F855)="static",INDEX(Accounts!$Q$2:$Q$11,$F855),IF(INDEX(Accounts!$P$2:$P$11,$F855)="eod_trailing",MAX(INDEX(Accounts!$Q$2:$Q$11,$F855),_xlfn.MAXIFS($C$2:$C$1001,$A$2:$A$1001,$A855,$B$2:$B$1001,"&lt;"&amp;$B855)),MAX(INDEX(Accounts!$Q$2:$Q$11,$F855),_xlfn.MAXIFS($C$2:$C$1001,$A$2:$A$1001,$A855,$B$2:$B$1001,"&lt;"&amp;$B855),_xlfn.MAXIFS($D$2:$D$1001,$A$2:$A$1001,$A855,$B$2:$B$1001,"&lt;="&amp;$B855),$C855)))),"")</f>
        <v/>
      </c>
      <c r="H855" s="15">
        <f>IFERROR(IF(G855="","",IF(INDEX(Accounts!$P$2:$P$11,$F855)="static",INDEX(Accounts!$Q$2:$Q$11,$F855)-INDEX(Accounts!$R$2:$R$11,$F855),IF(INDEX(Accounts!$S$2:$S$11,$F855)="NONE",G855-INDEX(Accounts!$R$2:$R$11,$F855),MIN(G855-INDEX(Accounts!$R$2:$R$11,$F855),INDEX(Accounts!$Q$2:$Q$11,$F855)+INDEX(Accounts!$S$2:$S$11,$F855))))),"")</f>
        <v/>
      </c>
      <c r="I855" s="16">
        <f>IF(AND($A855="",$B855="",$C855="",$D855="",$E855=""),"",IF(OR($A855="",$F855=""),"UNKNOWN_ACCOUNT",IF(OR($B855="",$C855=""),"INCOMPLETE",IFERROR(IF(OR(NOT(ISNUMBER($B855)),NOT(ISNUMBER($C855)),IF(C855="",FALSE,IF(ISNUMBER(C855),OR(C855&lt;=0,C855&gt;100000000,ROUND(C855*100,6)&lt;&gt;INT(ROUND(C855*100,6))),TRUE)),IF(D855="",FALSE,IF(ISNUMBER(D855),OR(D855&lt;=0,D855&gt;100000000,ROUND(D855*100,6)&lt;&gt;INT(ROUND(D855*100,6))),TRUE)),IF(E855="",FALSE,IF(ISNUMBER(E855),OR(E855&lt;=0,E855&gt;100000000,ROUND(E855*100,6)&lt;&gt;INT(ROUND(E855*100,6))),TRUE)),AND($D855&lt;&gt;"",$D855&lt;MAX($C855,$E855)),AND($E855&lt;&gt;"",$E855&gt;MIN($C855,IF($D855="",$C855,$D855))),COUNTIFS($A$2:$A$1001,$A855,$B$2:$B$1001,$B855)&gt;1),"INVALID",IFERROR(IF(IF(INDEX(Accounts!$T$2:$T$11,$F855),ROUND(IF($E855="",$C855,MIN($C855,$E855))-(H855),6)&lt;=0,ROUND(IF($E855="",$C855,MIN($C855,$E855))-(H855),6)&lt;0),"BREACHED","OK"),"INCOMPLETE")),"INVALID"))))</f>
        <v/>
      </c>
      <c r="J855" s="33">
        <f>IF(OR(I855="OK",I855="BREACHED"),-INT(ROUND(-(H855)*100,6))/100,I855)</f>
        <v/>
      </c>
    </row>
    <row r="856" ht="18" customHeight="1">
      <c r="A856" s="9" t="n"/>
      <c r="B856" s="32" t="n"/>
      <c r="C856" s="12" t="n"/>
      <c r="D856" s="12" t="n"/>
      <c r="E856" s="12" t="n"/>
      <c r="F856" s="15">
        <f>IFERROR(MATCH($A856,Accounts!$A$2:$A$11,0),"")</f>
        <v/>
      </c>
      <c r="G856" s="14">
        <f>IFERROR(IF(OR($A856="",$F856=""),"",IF(INDEX(Accounts!$P$2:$P$11,$F856)="static",INDEX(Accounts!$Q$2:$Q$11,$F856),IF(INDEX(Accounts!$P$2:$P$11,$F856)="eod_trailing",MAX(INDEX(Accounts!$Q$2:$Q$11,$F856),_xlfn.MAXIFS($C$2:$C$1001,$A$2:$A$1001,$A856,$B$2:$B$1001,"&lt;"&amp;$B856)),MAX(INDEX(Accounts!$Q$2:$Q$11,$F856),_xlfn.MAXIFS($C$2:$C$1001,$A$2:$A$1001,$A856,$B$2:$B$1001,"&lt;"&amp;$B856),_xlfn.MAXIFS($D$2:$D$1001,$A$2:$A$1001,$A856,$B$2:$B$1001,"&lt;="&amp;$B856),$C856)))),"")</f>
        <v/>
      </c>
      <c r="H856" s="15">
        <f>IFERROR(IF(G856="","",IF(INDEX(Accounts!$P$2:$P$11,$F856)="static",INDEX(Accounts!$Q$2:$Q$11,$F856)-INDEX(Accounts!$R$2:$R$11,$F856),IF(INDEX(Accounts!$S$2:$S$11,$F856)="NONE",G856-INDEX(Accounts!$R$2:$R$11,$F856),MIN(G856-INDEX(Accounts!$R$2:$R$11,$F856),INDEX(Accounts!$Q$2:$Q$11,$F856)+INDEX(Accounts!$S$2:$S$11,$F856))))),"")</f>
        <v/>
      </c>
      <c r="I856" s="16">
        <f>IF(AND($A856="",$B856="",$C856="",$D856="",$E856=""),"",IF(OR($A856="",$F856=""),"UNKNOWN_ACCOUNT",IF(OR($B856="",$C856=""),"INCOMPLETE",IFERROR(IF(OR(NOT(ISNUMBER($B856)),NOT(ISNUMBER($C856)),IF(C856="",FALSE,IF(ISNUMBER(C856),OR(C856&lt;=0,C856&gt;100000000,ROUND(C856*100,6)&lt;&gt;INT(ROUND(C856*100,6))),TRUE)),IF(D856="",FALSE,IF(ISNUMBER(D856),OR(D856&lt;=0,D856&gt;100000000,ROUND(D856*100,6)&lt;&gt;INT(ROUND(D856*100,6))),TRUE)),IF(E856="",FALSE,IF(ISNUMBER(E856),OR(E856&lt;=0,E856&gt;100000000,ROUND(E856*100,6)&lt;&gt;INT(ROUND(E856*100,6))),TRUE)),AND($D856&lt;&gt;"",$D856&lt;MAX($C856,$E856)),AND($E856&lt;&gt;"",$E856&gt;MIN($C856,IF($D856="",$C856,$D856))),COUNTIFS($A$2:$A$1001,$A856,$B$2:$B$1001,$B856)&gt;1),"INVALID",IFERROR(IF(IF(INDEX(Accounts!$T$2:$T$11,$F856),ROUND(IF($E856="",$C856,MIN($C856,$E856))-(H856),6)&lt;=0,ROUND(IF($E856="",$C856,MIN($C856,$E856))-(H856),6)&lt;0),"BREACHED","OK"),"INCOMPLETE")),"INVALID"))))</f>
        <v/>
      </c>
      <c r="J856" s="33">
        <f>IF(OR(I856="OK",I856="BREACHED"),-INT(ROUND(-(H856)*100,6))/100,I856)</f>
        <v/>
      </c>
    </row>
    <row r="857" ht="18" customHeight="1">
      <c r="A857" s="9" t="n"/>
      <c r="B857" s="32" t="n"/>
      <c r="C857" s="12" t="n"/>
      <c r="D857" s="12" t="n"/>
      <c r="E857" s="12" t="n"/>
      <c r="F857" s="15">
        <f>IFERROR(MATCH($A857,Accounts!$A$2:$A$11,0),"")</f>
        <v/>
      </c>
      <c r="G857" s="14">
        <f>IFERROR(IF(OR($A857="",$F857=""),"",IF(INDEX(Accounts!$P$2:$P$11,$F857)="static",INDEX(Accounts!$Q$2:$Q$11,$F857),IF(INDEX(Accounts!$P$2:$P$11,$F857)="eod_trailing",MAX(INDEX(Accounts!$Q$2:$Q$11,$F857),_xlfn.MAXIFS($C$2:$C$1001,$A$2:$A$1001,$A857,$B$2:$B$1001,"&lt;"&amp;$B857)),MAX(INDEX(Accounts!$Q$2:$Q$11,$F857),_xlfn.MAXIFS($C$2:$C$1001,$A$2:$A$1001,$A857,$B$2:$B$1001,"&lt;"&amp;$B857),_xlfn.MAXIFS($D$2:$D$1001,$A$2:$A$1001,$A857,$B$2:$B$1001,"&lt;="&amp;$B857),$C857)))),"")</f>
        <v/>
      </c>
      <c r="H857" s="15">
        <f>IFERROR(IF(G857="","",IF(INDEX(Accounts!$P$2:$P$11,$F857)="static",INDEX(Accounts!$Q$2:$Q$11,$F857)-INDEX(Accounts!$R$2:$R$11,$F857),IF(INDEX(Accounts!$S$2:$S$11,$F857)="NONE",G857-INDEX(Accounts!$R$2:$R$11,$F857),MIN(G857-INDEX(Accounts!$R$2:$R$11,$F857),INDEX(Accounts!$Q$2:$Q$11,$F857)+INDEX(Accounts!$S$2:$S$11,$F857))))),"")</f>
        <v/>
      </c>
      <c r="I857" s="16">
        <f>IF(AND($A857="",$B857="",$C857="",$D857="",$E857=""),"",IF(OR($A857="",$F857=""),"UNKNOWN_ACCOUNT",IF(OR($B857="",$C857=""),"INCOMPLETE",IFERROR(IF(OR(NOT(ISNUMBER($B857)),NOT(ISNUMBER($C857)),IF(C857="",FALSE,IF(ISNUMBER(C857),OR(C857&lt;=0,C857&gt;100000000,ROUND(C857*100,6)&lt;&gt;INT(ROUND(C857*100,6))),TRUE)),IF(D857="",FALSE,IF(ISNUMBER(D857),OR(D857&lt;=0,D857&gt;100000000,ROUND(D857*100,6)&lt;&gt;INT(ROUND(D857*100,6))),TRUE)),IF(E857="",FALSE,IF(ISNUMBER(E857),OR(E857&lt;=0,E857&gt;100000000,ROUND(E857*100,6)&lt;&gt;INT(ROUND(E857*100,6))),TRUE)),AND($D857&lt;&gt;"",$D857&lt;MAX($C857,$E857)),AND($E857&lt;&gt;"",$E857&gt;MIN($C857,IF($D857="",$C857,$D857))),COUNTIFS($A$2:$A$1001,$A857,$B$2:$B$1001,$B857)&gt;1),"INVALID",IFERROR(IF(IF(INDEX(Accounts!$T$2:$T$11,$F857),ROUND(IF($E857="",$C857,MIN($C857,$E857))-(H857),6)&lt;=0,ROUND(IF($E857="",$C857,MIN($C857,$E857))-(H857),6)&lt;0),"BREACHED","OK"),"INCOMPLETE")),"INVALID"))))</f>
        <v/>
      </c>
      <c r="J857" s="33">
        <f>IF(OR(I857="OK",I857="BREACHED"),-INT(ROUND(-(H857)*100,6))/100,I857)</f>
        <v/>
      </c>
    </row>
    <row r="858" ht="18" customHeight="1">
      <c r="A858" s="9" t="n"/>
      <c r="B858" s="32" t="n"/>
      <c r="C858" s="12" t="n"/>
      <c r="D858" s="12" t="n"/>
      <c r="E858" s="12" t="n"/>
      <c r="F858" s="15">
        <f>IFERROR(MATCH($A858,Accounts!$A$2:$A$11,0),"")</f>
        <v/>
      </c>
      <c r="G858" s="14">
        <f>IFERROR(IF(OR($A858="",$F858=""),"",IF(INDEX(Accounts!$P$2:$P$11,$F858)="static",INDEX(Accounts!$Q$2:$Q$11,$F858),IF(INDEX(Accounts!$P$2:$P$11,$F858)="eod_trailing",MAX(INDEX(Accounts!$Q$2:$Q$11,$F858),_xlfn.MAXIFS($C$2:$C$1001,$A$2:$A$1001,$A858,$B$2:$B$1001,"&lt;"&amp;$B858)),MAX(INDEX(Accounts!$Q$2:$Q$11,$F858),_xlfn.MAXIFS($C$2:$C$1001,$A$2:$A$1001,$A858,$B$2:$B$1001,"&lt;"&amp;$B858),_xlfn.MAXIFS($D$2:$D$1001,$A$2:$A$1001,$A858,$B$2:$B$1001,"&lt;="&amp;$B858),$C858)))),"")</f>
        <v/>
      </c>
      <c r="H858" s="15">
        <f>IFERROR(IF(G858="","",IF(INDEX(Accounts!$P$2:$P$11,$F858)="static",INDEX(Accounts!$Q$2:$Q$11,$F858)-INDEX(Accounts!$R$2:$R$11,$F858),IF(INDEX(Accounts!$S$2:$S$11,$F858)="NONE",G858-INDEX(Accounts!$R$2:$R$11,$F858),MIN(G858-INDEX(Accounts!$R$2:$R$11,$F858),INDEX(Accounts!$Q$2:$Q$11,$F858)+INDEX(Accounts!$S$2:$S$11,$F858))))),"")</f>
        <v/>
      </c>
      <c r="I858" s="16">
        <f>IF(AND($A858="",$B858="",$C858="",$D858="",$E858=""),"",IF(OR($A858="",$F858=""),"UNKNOWN_ACCOUNT",IF(OR($B858="",$C858=""),"INCOMPLETE",IFERROR(IF(OR(NOT(ISNUMBER($B858)),NOT(ISNUMBER($C858)),IF(C858="",FALSE,IF(ISNUMBER(C858),OR(C858&lt;=0,C858&gt;100000000,ROUND(C858*100,6)&lt;&gt;INT(ROUND(C858*100,6))),TRUE)),IF(D858="",FALSE,IF(ISNUMBER(D858),OR(D858&lt;=0,D858&gt;100000000,ROUND(D858*100,6)&lt;&gt;INT(ROUND(D858*100,6))),TRUE)),IF(E858="",FALSE,IF(ISNUMBER(E858),OR(E858&lt;=0,E858&gt;100000000,ROUND(E858*100,6)&lt;&gt;INT(ROUND(E858*100,6))),TRUE)),AND($D858&lt;&gt;"",$D858&lt;MAX($C858,$E858)),AND($E858&lt;&gt;"",$E858&gt;MIN($C858,IF($D858="",$C858,$D858))),COUNTIFS($A$2:$A$1001,$A858,$B$2:$B$1001,$B858)&gt;1),"INVALID",IFERROR(IF(IF(INDEX(Accounts!$T$2:$T$11,$F858),ROUND(IF($E858="",$C858,MIN($C858,$E858))-(H858),6)&lt;=0,ROUND(IF($E858="",$C858,MIN($C858,$E858))-(H858),6)&lt;0),"BREACHED","OK"),"INCOMPLETE")),"INVALID"))))</f>
        <v/>
      </c>
      <c r="J858" s="33">
        <f>IF(OR(I858="OK",I858="BREACHED"),-INT(ROUND(-(H858)*100,6))/100,I858)</f>
        <v/>
      </c>
    </row>
    <row r="859" ht="18" customHeight="1">
      <c r="A859" s="9" t="n"/>
      <c r="B859" s="32" t="n"/>
      <c r="C859" s="12" t="n"/>
      <c r="D859" s="12" t="n"/>
      <c r="E859" s="12" t="n"/>
      <c r="F859" s="15">
        <f>IFERROR(MATCH($A859,Accounts!$A$2:$A$11,0),"")</f>
        <v/>
      </c>
      <c r="G859" s="14">
        <f>IFERROR(IF(OR($A859="",$F859=""),"",IF(INDEX(Accounts!$P$2:$P$11,$F859)="static",INDEX(Accounts!$Q$2:$Q$11,$F859),IF(INDEX(Accounts!$P$2:$P$11,$F859)="eod_trailing",MAX(INDEX(Accounts!$Q$2:$Q$11,$F859),_xlfn.MAXIFS($C$2:$C$1001,$A$2:$A$1001,$A859,$B$2:$B$1001,"&lt;"&amp;$B859)),MAX(INDEX(Accounts!$Q$2:$Q$11,$F859),_xlfn.MAXIFS($C$2:$C$1001,$A$2:$A$1001,$A859,$B$2:$B$1001,"&lt;"&amp;$B859),_xlfn.MAXIFS($D$2:$D$1001,$A$2:$A$1001,$A859,$B$2:$B$1001,"&lt;="&amp;$B859),$C859)))),"")</f>
        <v/>
      </c>
      <c r="H859" s="15">
        <f>IFERROR(IF(G859="","",IF(INDEX(Accounts!$P$2:$P$11,$F859)="static",INDEX(Accounts!$Q$2:$Q$11,$F859)-INDEX(Accounts!$R$2:$R$11,$F859),IF(INDEX(Accounts!$S$2:$S$11,$F859)="NONE",G859-INDEX(Accounts!$R$2:$R$11,$F859),MIN(G859-INDEX(Accounts!$R$2:$R$11,$F859),INDEX(Accounts!$Q$2:$Q$11,$F859)+INDEX(Accounts!$S$2:$S$11,$F859))))),"")</f>
        <v/>
      </c>
      <c r="I859" s="16">
        <f>IF(AND($A859="",$B859="",$C859="",$D859="",$E859=""),"",IF(OR($A859="",$F859=""),"UNKNOWN_ACCOUNT",IF(OR($B859="",$C859=""),"INCOMPLETE",IFERROR(IF(OR(NOT(ISNUMBER($B859)),NOT(ISNUMBER($C859)),IF(C859="",FALSE,IF(ISNUMBER(C859),OR(C859&lt;=0,C859&gt;100000000,ROUND(C859*100,6)&lt;&gt;INT(ROUND(C859*100,6))),TRUE)),IF(D859="",FALSE,IF(ISNUMBER(D859),OR(D859&lt;=0,D859&gt;100000000,ROUND(D859*100,6)&lt;&gt;INT(ROUND(D859*100,6))),TRUE)),IF(E859="",FALSE,IF(ISNUMBER(E859),OR(E859&lt;=0,E859&gt;100000000,ROUND(E859*100,6)&lt;&gt;INT(ROUND(E859*100,6))),TRUE)),AND($D859&lt;&gt;"",$D859&lt;MAX($C859,$E859)),AND($E859&lt;&gt;"",$E859&gt;MIN($C859,IF($D859="",$C859,$D859))),COUNTIFS($A$2:$A$1001,$A859,$B$2:$B$1001,$B859)&gt;1),"INVALID",IFERROR(IF(IF(INDEX(Accounts!$T$2:$T$11,$F859),ROUND(IF($E859="",$C859,MIN($C859,$E859))-(H859),6)&lt;=0,ROUND(IF($E859="",$C859,MIN($C859,$E859))-(H859),6)&lt;0),"BREACHED","OK"),"INCOMPLETE")),"INVALID"))))</f>
        <v/>
      </c>
      <c r="J859" s="33">
        <f>IF(OR(I859="OK",I859="BREACHED"),-INT(ROUND(-(H859)*100,6))/100,I859)</f>
        <v/>
      </c>
    </row>
    <row r="860" ht="18" customHeight="1">
      <c r="A860" s="9" t="n"/>
      <c r="B860" s="32" t="n"/>
      <c r="C860" s="12" t="n"/>
      <c r="D860" s="12" t="n"/>
      <c r="E860" s="12" t="n"/>
      <c r="F860" s="15">
        <f>IFERROR(MATCH($A860,Accounts!$A$2:$A$11,0),"")</f>
        <v/>
      </c>
      <c r="G860" s="14">
        <f>IFERROR(IF(OR($A860="",$F860=""),"",IF(INDEX(Accounts!$P$2:$P$11,$F860)="static",INDEX(Accounts!$Q$2:$Q$11,$F860),IF(INDEX(Accounts!$P$2:$P$11,$F860)="eod_trailing",MAX(INDEX(Accounts!$Q$2:$Q$11,$F860),_xlfn.MAXIFS($C$2:$C$1001,$A$2:$A$1001,$A860,$B$2:$B$1001,"&lt;"&amp;$B860)),MAX(INDEX(Accounts!$Q$2:$Q$11,$F860),_xlfn.MAXIFS($C$2:$C$1001,$A$2:$A$1001,$A860,$B$2:$B$1001,"&lt;"&amp;$B860),_xlfn.MAXIFS($D$2:$D$1001,$A$2:$A$1001,$A860,$B$2:$B$1001,"&lt;="&amp;$B860),$C860)))),"")</f>
        <v/>
      </c>
      <c r="H860" s="15">
        <f>IFERROR(IF(G860="","",IF(INDEX(Accounts!$P$2:$P$11,$F860)="static",INDEX(Accounts!$Q$2:$Q$11,$F860)-INDEX(Accounts!$R$2:$R$11,$F860),IF(INDEX(Accounts!$S$2:$S$11,$F860)="NONE",G860-INDEX(Accounts!$R$2:$R$11,$F860),MIN(G860-INDEX(Accounts!$R$2:$R$11,$F860),INDEX(Accounts!$Q$2:$Q$11,$F860)+INDEX(Accounts!$S$2:$S$11,$F860))))),"")</f>
        <v/>
      </c>
      <c r="I860" s="16">
        <f>IF(AND($A860="",$B860="",$C860="",$D860="",$E860=""),"",IF(OR($A860="",$F860=""),"UNKNOWN_ACCOUNT",IF(OR($B860="",$C860=""),"INCOMPLETE",IFERROR(IF(OR(NOT(ISNUMBER($B860)),NOT(ISNUMBER($C860)),IF(C860="",FALSE,IF(ISNUMBER(C860),OR(C860&lt;=0,C860&gt;100000000,ROUND(C860*100,6)&lt;&gt;INT(ROUND(C860*100,6))),TRUE)),IF(D860="",FALSE,IF(ISNUMBER(D860),OR(D860&lt;=0,D860&gt;100000000,ROUND(D860*100,6)&lt;&gt;INT(ROUND(D860*100,6))),TRUE)),IF(E860="",FALSE,IF(ISNUMBER(E860),OR(E860&lt;=0,E860&gt;100000000,ROUND(E860*100,6)&lt;&gt;INT(ROUND(E860*100,6))),TRUE)),AND($D860&lt;&gt;"",$D860&lt;MAX($C860,$E860)),AND($E860&lt;&gt;"",$E860&gt;MIN($C860,IF($D860="",$C860,$D860))),COUNTIFS($A$2:$A$1001,$A860,$B$2:$B$1001,$B860)&gt;1),"INVALID",IFERROR(IF(IF(INDEX(Accounts!$T$2:$T$11,$F860),ROUND(IF($E860="",$C860,MIN($C860,$E860))-(H860),6)&lt;=0,ROUND(IF($E860="",$C860,MIN($C860,$E860))-(H860),6)&lt;0),"BREACHED","OK"),"INCOMPLETE")),"INVALID"))))</f>
        <v/>
      </c>
      <c r="J860" s="33">
        <f>IF(OR(I860="OK",I860="BREACHED"),-INT(ROUND(-(H860)*100,6))/100,I860)</f>
        <v/>
      </c>
    </row>
    <row r="861" ht="18" customHeight="1">
      <c r="A861" s="9" t="n"/>
      <c r="B861" s="32" t="n"/>
      <c r="C861" s="12" t="n"/>
      <c r="D861" s="12" t="n"/>
      <c r="E861" s="12" t="n"/>
      <c r="F861" s="15">
        <f>IFERROR(MATCH($A861,Accounts!$A$2:$A$11,0),"")</f>
        <v/>
      </c>
      <c r="G861" s="14">
        <f>IFERROR(IF(OR($A861="",$F861=""),"",IF(INDEX(Accounts!$P$2:$P$11,$F861)="static",INDEX(Accounts!$Q$2:$Q$11,$F861),IF(INDEX(Accounts!$P$2:$P$11,$F861)="eod_trailing",MAX(INDEX(Accounts!$Q$2:$Q$11,$F861),_xlfn.MAXIFS($C$2:$C$1001,$A$2:$A$1001,$A861,$B$2:$B$1001,"&lt;"&amp;$B861)),MAX(INDEX(Accounts!$Q$2:$Q$11,$F861),_xlfn.MAXIFS($C$2:$C$1001,$A$2:$A$1001,$A861,$B$2:$B$1001,"&lt;"&amp;$B861),_xlfn.MAXIFS($D$2:$D$1001,$A$2:$A$1001,$A861,$B$2:$B$1001,"&lt;="&amp;$B861),$C861)))),"")</f>
        <v/>
      </c>
      <c r="H861" s="15">
        <f>IFERROR(IF(G861="","",IF(INDEX(Accounts!$P$2:$P$11,$F861)="static",INDEX(Accounts!$Q$2:$Q$11,$F861)-INDEX(Accounts!$R$2:$R$11,$F861),IF(INDEX(Accounts!$S$2:$S$11,$F861)="NONE",G861-INDEX(Accounts!$R$2:$R$11,$F861),MIN(G861-INDEX(Accounts!$R$2:$R$11,$F861),INDEX(Accounts!$Q$2:$Q$11,$F861)+INDEX(Accounts!$S$2:$S$11,$F861))))),"")</f>
        <v/>
      </c>
      <c r="I861" s="16">
        <f>IF(AND($A861="",$B861="",$C861="",$D861="",$E861=""),"",IF(OR($A861="",$F861=""),"UNKNOWN_ACCOUNT",IF(OR($B861="",$C861=""),"INCOMPLETE",IFERROR(IF(OR(NOT(ISNUMBER($B861)),NOT(ISNUMBER($C861)),IF(C861="",FALSE,IF(ISNUMBER(C861),OR(C861&lt;=0,C861&gt;100000000,ROUND(C861*100,6)&lt;&gt;INT(ROUND(C861*100,6))),TRUE)),IF(D861="",FALSE,IF(ISNUMBER(D861),OR(D861&lt;=0,D861&gt;100000000,ROUND(D861*100,6)&lt;&gt;INT(ROUND(D861*100,6))),TRUE)),IF(E861="",FALSE,IF(ISNUMBER(E861),OR(E861&lt;=0,E861&gt;100000000,ROUND(E861*100,6)&lt;&gt;INT(ROUND(E861*100,6))),TRUE)),AND($D861&lt;&gt;"",$D861&lt;MAX($C861,$E861)),AND($E861&lt;&gt;"",$E861&gt;MIN($C861,IF($D861="",$C861,$D861))),COUNTIFS($A$2:$A$1001,$A861,$B$2:$B$1001,$B861)&gt;1),"INVALID",IFERROR(IF(IF(INDEX(Accounts!$T$2:$T$11,$F861),ROUND(IF($E861="",$C861,MIN($C861,$E861))-(H861),6)&lt;=0,ROUND(IF($E861="",$C861,MIN($C861,$E861))-(H861),6)&lt;0),"BREACHED","OK"),"INCOMPLETE")),"INVALID"))))</f>
        <v/>
      </c>
      <c r="J861" s="33">
        <f>IF(OR(I861="OK",I861="BREACHED"),-INT(ROUND(-(H861)*100,6))/100,I861)</f>
        <v/>
      </c>
    </row>
    <row r="862" ht="18" customHeight="1">
      <c r="A862" s="9" t="n"/>
      <c r="B862" s="32" t="n"/>
      <c r="C862" s="12" t="n"/>
      <c r="D862" s="12" t="n"/>
      <c r="E862" s="12" t="n"/>
      <c r="F862" s="15">
        <f>IFERROR(MATCH($A862,Accounts!$A$2:$A$11,0),"")</f>
        <v/>
      </c>
      <c r="G862" s="14">
        <f>IFERROR(IF(OR($A862="",$F862=""),"",IF(INDEX(Accounts!$P$2:$P$11,$F862)="static",INDEX(Accounts!$Q$2:$Q$11,$F862),IF(INDEX(Accounts!$P$2:$P$11,$F862)="eod_trailing",MAX(INDEX(Accounts!$Q$2:$Q$11,$F862),_xlfn.MAXIFS($C$2:$C$1001,$A$2:$A$1001,$A862,$B$2:$B$1001,"&lt;"&amp;$B862)),MAX(INDEX(Accounts!$Q$2:$Q$11,$F862),_xlfn.MAXIFS($C$2:$C$1001,$A$2:$A$1001,$A862,$B$2:$B$1001,"&lt;"&amp;$B862),_xlfn.MAXIFS($D$2:$D$1001,$A$2:$A$1001,$A862,$B$2:$B$1001,"&lt;="&amp;$B862),$C862)))),"")</f>
        <v/>
      </c>
      <c r="H862" s="15">
        <f>IFERROR(IF(G862="","",IF(INDEX(Accounts!$P$2:$P$11,$F862)="static",INDEX(Accounts!$Q$2:$Q$11,$F862)-INDEX(Accounts!$R$2:$R$11,$F862),IF(INDEX(Accounts!$S$2:$S$11,$F862)="NONE",G862-INDEX(Accounts!$R$2:$R$11,$F862),MIN(G862-INDEX(Accounts!$R$2:$R$11,$F862),INDEX(Accounts!$Q$2:$Q$11,$F862)+INDEX(Accounts!$S$2:$S$11,$F862))))),"")</f>
        <v/>
      </c>
      <c r="I862" s="16">
        <f>IF(AND($A862="",$B862="",$C862="",$D862="",$E862=""),"",IF(OR($A862="",$F862=""),"UNKNOWN_ACCOUNT",IF(OR($B862="",$C862=""),"INCOMPLETE",IFERROR(IF(OR(NOT(ISNUMBER($B862)),NOT(ISNUMBER($C862)),IF(C862="",FALSE,IF(ISNUMBER(C862),OR(C862&lt;=0,C862&gt;100000000,ROUND(C862*100,6)&lt;&gt;INT(ROUND(C862*100,6))),TRUE)),IF(D862="",FALSE,IF(ISNUMBER(D862),OR(D862&lt;=0,D862&gt;100000000,ROUND(D862*100,6)&lt;&gt;INT(ROUND(D862*100,6))),TRUE)),IF(E862="",FALSE,IF(ISNUMBER(E862),OR(E862&lt;=0,E862&gt;100000000,ROUND(E862*100,6)&lt;&gt;INT(ROUND(E862*100,6))),TRUE)),AND($D862&lt;&gt;"",$D862&lt;MAX($C862,$E862)),AND($E862&lt;&gt;"",$E862&gt;MIN($C862,IF($D862="",$C862,$D862))),COUNTIFS($A$2:$A$1001,$A862,$B$2:$B$1001,$B862)&gt;1),"INVALID",IFERROR(IF(IF(INDEX(Accounts!$T$2:$T$11,$F862),ROUND(IF($E862="",$C862,MIN($C862,$E862))-(H862),6)&lt;=0,ROUND(IF($E862="",$C862,MIN($C862,$E862))-(H862),6)&lt;0),"BREACHED","OK"),"INCOMPLETE")),"INVALID"))))</f>
        <v/>
      </c>
      <c r="J862" s="33">
        <f>IF(OR(I862="OK",I862="BREACHED"),-INT(ROUND(-(H862)*100,6))/100,I862)</f>
        <v/>
      </c>
    </row>
    <row r="863" ht="18" customHeight="1">
      <c r="A863" s="9" t="n"/>
      <c r="B863" s="32" t="n"/>
      <c r="C863" s="12" t="n"/>
      <c r="D863" s="12" t="n"/>
      <c r="E863" s="12" t="n"/>
      <c r="F863" s="15">
        <f>IFERROR(MATCH($A863,Accounts!$A$2:$A$11,0),"")</f>
        <v/>
      </c>
      <c r="G863" s="14">
        <f>IFERROR(IF(OR($A863="",$F863=""),"",IF(INDEX(Accounts!$P$2:$P$11,$F863)="static",INDEX(Accounts!$Q$2:$Q$11,$F863),IF(INDEX(Accounts!$P$2:$P$11,$F863)="eod_trailing",MAX(INDEX(Accounts!$Q$2:$Q$11,$F863),_xlfn.MAXIFS($C$2:$C$1001,$A$2:$A$1001,$A863,$B$2:$B$1001,"&lt;"&amp;$B863)),MAX(INDEX(Accounts!$Q$2:$Q$11,$F863),_xlfn.MAXIFS($C$2:$C$1001,$A$2:$A$1001,$A863,$B$2:$B$1001,"&lt;"&amp;$B863),_xlfn.MAXIFS($D$2:$D$1001,$A$2:$A$1001,$A863,$B$2:$B$1001,"&lt;="&amp;$B863),$C863)))),"")</f>
        <v/>
      </c>
      <c r="H863" s="15">
        <f>IFERROR(IF(G863="","",IF(INDEX(Accounts!$P$2:$P$11,$F863)="static",INDEX(Accounts!$Q$2:$Q$11,$F863)-INDEX(Accounts!$R$2:$R$11,$F863),IF(INDEX(Accounts!$S$2:$S$11,$F863)="NONE",G863-INDEX(Accounts!$R$2:$R$11,$F863),MIN(G863-INDEX(Accounts!$R$2:$R$11,$F863),INDEX(Accounts!$Q$2:$Q$11,$F863)+INDEX(Accounts!$S$2:$S$11,$F863))))),"")</f>
        <v/>
      </c>
      <c r="I863" s="16">
        <f>IF(AND($A863="",$B863="",$C863="",$D863="",$E863=""),"",IF(OR($A863="",$F863=""),"UNKNOWN_ACCOUNT",IF(OR($B863="",$C863=""),"INCOMPLETE",IFERROR(IF(OR(NOT(ISNUMBER($B863)),NOT(ISNUMBER($C863)),IF(C863="",FALSE,IF(ISNUMBER(C863),OR(C863&lt;=0,C863&gt;100000000,ROUND(C863*100,6)&lt;&gt;INT(ROUND(C863*100,6))),TRUE)),IF(D863="",FALSE,IF(ISNUMBER(D863),OR(D863&lt;=0,D863&gt;100000000,ROUND(D863*100,6)&lt;&gt;INT(ROUND(D863*100,6))),TRUE)),IF(E863="",FALSE,IF(ISNUMBER(E863),OR(E863&lt;=0,E863&gt;100000000,ROUND(E863*100,6)&lt;&gt;INT(ROUND(E863*100,6))),TRUE)),AND($D863&lt;&gt;"",$D863&lt;MAX($C863,$E863)),AND($E863&lt;&gt;"",$E863&gt;MIN($C863,IF($D863="",$C863,$D863))),COUNTIFS($A$2:$A$1001,$A863,$B$2:$B$1001,$B863)&gt;1),"INVALID",IFERROR(IF(IF(INDEX(Accounts!$T$2:$T$11,$F863),ROUND(IF($E863="",$C863,MIN($C863,$E863))-(H863),6)&lt;=0,ROUND(IF($E863="",$C863,MIN($C863,$E863))-(H863),6)&lt;0),"BREACHED","OK"),"INCOMPLETE")),"INVALID"))))</f>
        <v/>
      </c>
      <c r="J863" s="33">
        <f>IF(OR(I863="OK",I863="BREACHED"),-INT(ROUND(-(H863)*100,6))/100,I863)</f>
        <v/>
      </c>
    </row>
    <row r="864" ht="18" customHeight="1">
      <c r="A864" s="9" t="n"/>
      <c r="B864" s="32" t="n"/>
      <c r="C864" s="12" t="n"/>
      <c r="D864" s="12" t="n"/>
      <c r="E864" s="12" t="n"/>
      <c r="F864" s="15">
        <f>IFERROR(MATCH($A864,Accounts!$A$2:$A$11,0),"")</f>
        <v/>
      </c>
      <c r="G864" s="14">
        <f>IFERROR(IF(OR($A864="",$F864=""),"",IF(INDEX(Accounts!$P$2:$P$11,$F864)="static",INDEX(Accounts!$Q$2:$Q$11,$F864),IF(INDEX(Accounts!$P$2:$P$11,$F864)="eod_trailing",MAX(INDEX(Accounts!$Q$2:$Q$11,$F864),_xlfn.MAXIFS($C$2:$C$1001,$A$2:$A$1001,$A864,$B$2:$B$1001,"&lt;"&amp;$B864)),MAX(INDEX(Accounts!$Q$2:$Q$11,$F864),_xlfn.MAXIFS($C$2:$C$1001,$A$2:$A$1001,$A864,$B$2:$B$1001,"&lt;"&amp;$B864),_xlfn.MAXIFS($D$2:$D$1001,$A$2:$A$1001,$A864,$B$2:$B$1001,"&lt;="&amp;$B864),$C864)))),"")</f>
        <v/>
      </c>
      <c r="H864" s="15">
        <f>IFERROR(IF(G864="","",IF(INDEX(Accounts!$P$2:$P$11,$F864)="static",INDEX(Accounts!$Q$2:$Q$11,$F864)-INDEX(Accounts!$R$2:$R$11,$F864),IF(INDEX(Accounts!$S$2:$S$11,$F864)="NONE",G864-INDEX(Accounts!$R$2:$R$11,$F864),MIN(G864-INDEX(Accounts!$R$2:$R$11,$F864),INDEX(Accounts!$Q$2:$Q$11,$F864)+INDEX(Accounts!$S$2:$S$11,$F864))))),"")</f>
        <v/>
      </c>
      <c r="I864" s="16">
        <f>IF(AND($A864="",$B864="",$C864="",$D864="",$E864=""),"",IF(OR($A864="",$F864=""),"UNKNOWN_ACCOUNT",IF(OR($B864="",$C864=""),"INCOMPLETE",IFERROR(IF(OR(NOT(ISNUMBER($B864)),NOT(ISNUMBER($C864)),IF(C864="",FALSE,IF(ISNUMBER(C864),OR(C864&lt;=0,C864&gt;100000000,ROUND(C864*100,6)&lt;&gt;INT(ROUND(C864*100,6))),TRUE)),IF(D864="",FALSE,IF(ISNUMBER(D864),OR(D864&lt;=0,D864&gt;100000000,ROUND(D864*100,6)&lt;&gt;INT(ROUND(D864*100,6))),TRUE)),IF(E864="",FALSE,IF(ISNUMBER(E864),OR(E864&lt;=0,E864&gt;100000000,ROUND(E864*100,6)&lt;&gt;INT(ROUND(E864*100,6))),TRUE)),AND($D864&lt;&gt;"",$D864&lt;MAX($C864,$E864)),AND($E864&lt;&gt;"",$E864&gt;MIN($C864,IF($D864="",$C864,$D864))),COUNTIFS($A$2:$A$1001,$A864,$B$2:$B$1001,$B864)&gt;1),"INVALID",IFERROR(IF(IF(INDEX(Accounts!$T$2:$T$11,$F864),ROUND(IF($E864="",$C864,MIN($C864,$E864))-(H864),6)&lt;=0,ROUND(IF($E864="",$C864,MIN($C864,$E864))-(H864),6)&lt;0),"BREACHED","OK"),"INCOMPLETE")),"INVALID"))))</f>
        <v/>
      </c>
      <c r="J864" s="33">
        <f>IF(OR(I864="OK",I864="BREACHED"),-INT(ROUND(-(H864)*100,6))/100,I864)</f>
        <v/>
      </c>
    </row>
    <row r="865" ht="18" customHeight="1">
      <c r="A865" s="9" t="n"/>
      <c r="B865" s="32" t="n"/>
      <c r="C865" s="12" t="n"/>
      <c r="D865" s="12" t="n"/>
      <c r="E865" s="12" t="n"/>
      <c r="F865" s="15">
        <f>IFERROR(MATCH($A865,Accounts!$A$2:$A$11,0),"")</f>
        <v/>
      </c>
      <c r="G865" s="14">
        <f>IFERROR(IF(OR($A865="",$F865=""),"",IF(INDEX(Accounts!$P$2:$P$11,$F865)="static",INDEX(Accounts!$Q$2:$Q$11,$F865),IF(INDEX(Accounts!$P$2:$P$11,$F865)="eod_trailing",MAX(INDEX(Accounts!$Q$2:$Q$11,$F865),_xlfn.MAXIFS($C$2:$C$1001,$A$2:$A$1001,$A865,$B$2:$B$1001,"&lt;"&amp;$B865)),MAX(INDEX(Accounts!$Q$2:$Q$11,$F865),_xlfn.MAXIFS($C$2:$C$1001,$A$2:$A$1001,$A865,$B$2:$B$1001,"&lt;"&amp;$B865),_xlfn.MAXIFS($D$2:$D$1001,$A$2:$A$1001,$A865,$B$2:$B$1001,"&lt;="&amp;$B865),$C865)))),"")</f>
        <v/>
      </c>
      <c r="H865" s="15">
        <f>IFERROR(IF(G865="","",IF(INDEX(Accounts!$P$2:$P$11,$F865)="static",INDEX(Accounts!$Q$2:$Q$11,$F865)-INDEX(Accounts!$R$2:$R$11,$F865),IF(INDEX(Accounts!$S$2:$S$11,$F865)="NONE",G865-INDEX(Accounts!$R$2:$R$11,$F865),MIN(G865-INDEX(Accounts!$R$2:$R$11,$F865),INDEX(Accounts!$Q$2:$Q$11,$F865)+INDEX(Accounts!$S$2:$S$11,$F865))))),"")</f>
        <v/>
      </c>
      <c r="I865" s="16">
        <f>IF(AND($A865="",$B865="",$C865="",$D865="",$E865=""),"",IF(OR($A865="",$F865=""),"UNKNOWN_ACCOUNT",IF(OR($B865="",$C865=""),"INCOMPLETE",IFERROR(IF(OR(NOT(ISNUMBER($B865)),NOT(ISNUMBER($C865)),IF(C865="",FALSE,IF(ISNUMBER(C865),OR(C865&lt;=0,C865&gt;100000000,ROUND(C865*100,6)&lt;&gt;INT(ROUND(C865*100,6))),TRUE)),IF(D865="",FALSE,IF(ISNUMBER(D865),OR(D865&lt;=0,D865&gt;100000000,ROUND(D865*100,6)&lt;&gt;INT(ROUND(D865*100,6))),TRUE)),IF(E865="",FALSE,IF(ISNUMBER(E865),OR(E865&lt;=0,E865&gt;100000000,ROUND(E865*100,6)&lt;&gt;INT(ROUND(E865*100,6))),TRUE)),AND($D865&lt;&gt;"",$D865&lt;MAX($C865,$E865)),AND($E865&lt;&gt;"",$E865&gt;MIN($C865,IF($D865="",$C865,$D865))),COUNTIFS($A$2:$A$1001,$A865,$B$2:$B$1001,$B865)&gt;1),"INVALID",IFERROR(IF(IF(INDEX(Accounts!$T$2:$T$11,$F865),ROUND(IF($E865="",$C865,MIN($C865,$E865))-(H865),6)&lt;=0,ROUND(IF($E865="",$C865,MIN($C865,$E865))-(H865),6)&lt;0),"BREACHED","OK"),"INCOMPLETE")),"INVALID"))))</f>
        <v/>
      </c>
      <c r="J865" s="33">
        <f>IF(OR(I865="OK",I865="BREACHED"),-INT(ROUND(-(H865)*100,6))/100,I865)</f>
        <v/>
      </c>
    </row>
    <row r="866" ht="18" customHeight="1">
      <c r="A866" s="9" t="n"/>
      <c r="B866" s="32" t="n"/>
      <c r="C866" s="12" t="n"/>
      <c r="D866" s="12" t="n"/>
      <c r="E866" s="12" t="n"/>
      <c r="F866" s="15">
        <f>IFERROR(MATCH($A866,Accounts!$A$2:$A$11,0),"")</f>
        <v/>
      </c>
      <c r="G866" s="14">
        <f>IFERROR(IF(OR($A866="",$F866=""),"",IF(INDEX(Accounts!$P$2:$P$11,$F866)="static",INDEX(Accounts!$Q$2:$Q$11,$F866),IF(INDEX(Accounts!$P$2:$P$11,$F866)="eod_trailing",MAX(INDEX(Accounts!$Q$2:$Q$11,$F866),_xlfn.MAXIFS($C$2:$C$1001,$A$2:$A$1001,$A866,$B$2:$B$1001,"&lt;"&amp;$B866)),MAX(INDEX(Accounts!$Q$2:$Q$11,$F866),_xlfn.MAXIFS($C$2:$C$1001,$A$2:$A$1001,$A866,$B$2:$B$1001,"&lt;"&amp;$B866),_xlfn.MAXIFS($D$2:$D$1001,$A$2:$A$1001,$A866,$B$2:$B$1001,"&lt;="&amp;$B866),$C866)))),"")</f>
        <v/>
      </c>
      <c r="H866" s="15">
        <f>IFERROR(IF(G866="","",IF(INDEX(Accounts!$P$2:$P$11,$F866)="static",INDEX(Accounts!$Q$2:$Q$11,$F866)-INDEX(Accounts!$R$2:$R$11,$F866),IF(INDEX(Accounts!$S$2:$S$11,$F866)="NONE",G866-INDEX(Accounts!$R$2:$R$11,$F866),MIN(G866-INDEX(Accounts!$R$2:$R$11,$F866),INDEX(Accounts!$Q$2:$Q$11,$F866)+INDEX(Accounts!$S$2:$S$11,$F866))))),"")</f>
        <v/>
      </c>
      <c r="I866" s="16">
        <f>IF(AND($A866="",$B866="",$C866="",$D866="",$E866=""),"",IF(OR($A866="",$F866=""),"UNKNOWN_ACCOUNT",IF(OR($B866="",$C866=""),"INCOMPLETE",IFERROR(IF(OR(NOT(ISNUMBER($B866)),NOT(ISNUMBER($C866)),IF(C866="",FALSE,IF(ISNUMBER(C866),OR(C866&lt;=0,C866&gt;100000000,ROUND(C866*100,6)&lt;&gt;INT(ROUND(C866*100,6))),TRUE)),IF(D866="",FALSE,IF(ISNUMBER(D866),OR(D866&lt;=0,D866&gt;100000000,ROUND(D866*100,6)&lt;&gt;INT(ROUND(D866*100,6))),TRUE)),IF(E866="",FALSE,IF(ISNUMBER(E866),OR(E866&lt;=0,E866&gt;100000000,ROUND(E866*100,6)&lt;&gt;INT(ROUND(E866*100,6))),TRUE)),AND($D866&lt;&gt;"",$D866&lt;MAX($C866,$E866)),AND($E866&lt;&gt;"",$E866&gt;MIN($C866,IF($D866="",$C866,$D866))),COUNTIFS($A$2:$A$1001,$A866,$B$2:$B$1001,$B866)&gt;1),"INVALID",IFERROR(IF(IF(INDEX(Accounts!$T$2:$T$11,$F866),ROUND(IF($E866="",$C866,MIN($C866,$E866))-(H866),6)&lt;=0,ROUND(IF($E866="",$C866,MIN($C866,$E866))-(H866),6)&lt;0),"BREACHED","OK"),"INCOMPLETE")),"INVALID"))))</f>
        <v/>
      </c>
      <c r="J866" s="33">
        <f>IF(OR(I866="OK",I866="BREACHED"),-INT(ROUND(-(H866)*100,6))/100,I866)</f>
        <v/>
      </c>
    </row>
    <row r="867" ht="18" customHeight="1">
      <c r="A867" s="9" t="n"/>
      <c r="B867" s="32" t="n"/>
      <c r="C867" s="12" t="n"/>
      <c r="D867" s="12" t="n"/>
      <c r="E867" s="12" t="n"/>
      <c r="F867" s="15">
        <f>IFERROR(MATCH($A867,Accounts!$A$2:$A$11,0),"")</f>
        <v/>
      </c>
      <c r="G867" s="14">
        <f>IFERROR(IF(OR($A867="",$F867=""),"",IF(INDEX(Accounts!$P$2:$P$11,$F867)="static",INDEX(Accounts!$Q$2:$Q$11,$F867),IF(INDEX(Accounts!$P$2:$P$11,$F867)="eod_trailing",MAX(INDEX(Accounts!$Q$2:$Q$11,$F867),_xlfn.MAXIFS($C$2:$C$1001,$A$2:$A$1001,$A867,$B$2:$B$1001,"&lt;"&amp;$B867)),MAX(INDEX(Accounts!$Q$2:$Q$11,$F867),_xlfn.MAXIFS($C$2:$C$1001,$A$2:$A$1001,$A867,$B$2:$B$1001,"&lt;"&amp;$B867),_xlfn.MAXIFS($D$2:$D$1001,$A$2:$A$1001,$A867,$B$2:$B$1001,"&lt;="&amp;$B867),$C867)))),"")</f>
        <v/>
      </c>
      <c r="H867" s="15">
        <f>IFERROR(IF(G867="","",IF(INDEX(Accounts!$P$2:$P$11,$F867)="static",INDEX(Accounts!$Q$2:$Q$11,$F867)-INDEX(Accounts!$R$2:$R$11,$F867),IF(INDEX(Accounts!$S$2:$S$11,$F867)="NONE",G867-INDEX(Accounts!$R$2:$R$11,$F867),MIN(G867-INDEX(Accounts!$R$2:$R$11,$F867),INDEX(Accounts!$Q$2:$Q$11,$F867)+INDEX(Accounts!$S$2:$S$11,$F867))))),"")</f>
        <v/>
      </c>
      <c r="I867" s="16">
        <f>IF(AND($A867="",$B867="",$C867="",$D867="",$E867=""),"",IF(OR($A867="",$F867=""),"UNKNOWN_ACCOUNT",IF(OR($B867="",$C867=""),"INCOMPLETE",IFERROR(IF(OR(NOT(ISNUMBER($B867)),NOT(ISNUMBER($C867)),IF(C867="",FALSE,IF(ISNUMBER(C867),OR(C867&lt;=0,C867&gt;100000000,ROUND(C867*100,6)&lt;&gt;INT(ROUND(C867*100,6))),TRUE)),IF(D867="",FALSE,IF(ISNUMBER(D867),OR(D867&lt;=0,D867&gt;100000000,ROUND(D867*100,6)&lt;&gt;INT(ROUND(D867*100,6))),TRUE)),IF(E867="",FALSE,IF(ISNUMBER(E867),OR(E867&lt;=0,E867&gt;100000000,ROUND(E867*100,6)&lt;&gt;INT(ROUND(E867*100,6))),TRUE)),AND($D867&lt;&gt;"",$D867&lt;MAX($C867,$E867)),AND($E867&lt;&gt;"",$E867&gt;MIN($C867,IF($D867="",$C867,$D867))),COUNTIFS($A$2:$A$1001,$A867,$B$2:$B$1001,$B867)&gt;1),"INVALID",IFERROR(IF(IF(INDEX(Accounts!$T$2:$T$11,$F867),ROUND(IF($E867="",$C867,MIN($C867,$E867))-(H867),6)&lt;=0,ROUND(IF($E867="",$C867,MIN($C867,$E867))-(H867),6)&lt;0),"BREACHED","OK"),"INCOMPLETE")),"INVALID"))))</f>
        <v/>
      </c>
      <c r="J867" s="33">
        <f>IF(OR(I867="OK",I867="BREACHED"),-INT(ROUND(-(H867)*100,6))/100,I867)</f>
        <v/>
      </c>
    </row>
    <row r="868" ht="18" customHeight="1">
      <c r="A868" s="9" t="n"/>
      <c r="B868" s="32" t="n"/>
      <c r="C868" s="12" t="n"/>
      <c r="D868" s="12" t="n"/>
      <c r="E868" s="12" t="n"/>
      <c r="F868" s="15">
        <f>IFERROR(MATCH($A868,Accounts!$A$2:$A$11,0),"")</f>
        <v/>
      </c>
      <c r="G868" s="14">
        <f>IFERROR(IF(OR($A868="",$F868=""),"",IF(INDEX(Accounts!$P$2:$P$11,$F868)="static",INDEX(Accounts!$Q$2:$Q$11,$F868),IF(INDEX(Accounts!$P$2:$P$11,$F868)="eod_trailing",MAX(INDEX(Accounts!$Q$2:$Q$11,$F868),_xlfn.MAXIFS($C$2:$C$1001,$A$2:$A$1001,$A868,$B$2:$B$1001,"&lt;"&amp;$B868)),MAX(INDEX(Accounts!$Q$2:$Q$11,$F868),_xlfn.MAXIFS($C$2:$C$1001,$A$2:$A$1001,$A868,$B$2:$B$1001,"&lt;"&amp;$B868),_xlfn.MAXIFS($D$2:$D$1001,$A$2:$A$1001,$A868,$B$2:$B$1001,"&lt;="&amp;$B868),$C868)))),"")</f>
        <v/>
      </c>
      <c r="H868" s="15">
        <f>IFERROR(IF(G868="","",IF(INDEX(Accounts!$P$2:$P$11,$F868)="static",INDEX(Accounts!$Q$2:$Q$11,$F868)-INDEX(Accounts!$R$2:$R$11,$F868),IF(INDEX(Accounts!$S$2:$S$11,$F868)="NONE",G868-INDEX(Accounts!$R$2:$R$11,$F868),MIN(G868-INDEX(Accounts!$R$2:$R$11,$F868),INDEX(Accounts!$Q$2:$Q$11,$F868)+INDEX(Accounts!$S$2:$S$11,$F868))))),"")</f>
        <v/>
      </c>
      <c r="I868" s="16">
        <f>IF(AND($A868="",$B868="",$C868="",$D868="",$E868=""),"",IF(OR($A868="",$F868=""),"UNKNOWN_ACCOUNT",IF(OR($B868="",$C868=""),"INCOMPLETE",IFERROR(IF(OR(NOT(ISNUMBER($B868)),NOT(ISNUMBER($C868)),IF(C868="",FALSE,IF(ISNUMBER(C868),OR(C868&lt;=0,C868&gt;100000000,ROUND(C868*100,6)&lt;&gt;INT(ROUND(C868*100,6))),TRUE)),IF(D868="",FALSE,IF(ISNUMBER(D868),OR(D868&lt;=0,D868&gt;100000000,ROUND(D868*100,6)&lt;&gt;INT(ROUND(D868*100,6))),TRUE)),IF(E868="",FALSE,IF(ISNUMBER(E868),OR(E868&lt;=0,E868&gt;100000000,ROUND(E868*100,6)&lt;&gt;INT(ROUND(E868*100,6))),TRUE)),AND($D868&lt;&gt;"",$D868&lt;MAX($C868,$E868)),AND($E868&lt;&gt;"",$E868&gt;MIN($C868,IF($D868="",$C868,$D868))),COUNTIFS($A$2:$A$1001,$A868,$B$2:$B$1001,$B868)&gt;1),"INVALID",IFERROR(IF(IF(INDEX(Accounts!$T$2:$T$11,$F868),ROUND(IF($E868="",$C868,MIN($C868,$E868))-(H868),6)&lt;=0,ROUND(IF($E868="",$C868,MIN($C868,$E868))-(H868),6)&lt;0),"BREACHED","OK"),"INCOMPLETE")),"INVALID"))))</f>
        <v/>
      </c>
      <c r="J868" s="33">
        <f>IF(OR(I868="OK",I868="BREACHED"),-INT(ROUND(-(H868)*100,6))/100,I868)</f>
        <v/>
      </c>
    </row>
    <row r="869" ht="18" customHeight="1">
      <c r="A869" s="9" t="n"/>
      <c r="B869" s="32" t="n"/>
      <c r="C869" s="12" t="n"/>
      <c r="D869" s="12" t="n"/>
      <c r="E869" s="12" t="n"/>
      <c r="F869" s="15">
        <f>IFERROR(MATCH($A869,Accounts!$A$2:$A$11,0),"")</f>
        <v/>
      </c>
      <c r="G869" s="14">
        <f>IFERROR(IF(OR($A869="",$F869=""),"",IF(INDEX(Accounts!$P$2:$P$11,$F869)="static",INDEX(Accounts!$Q$2:$Q$11,$F869),IF(INDEX(Accounts!$P$2:$P$11,$F869)="eod_trailing",MAX(INDEX(Accounts!$Q$2:$Q$11,$F869),_xlfn.MAXIFS($C$2:$C$1001,$A$2:$A$1001,$A869,$B$2:$B$1001,"&lt;"&amp;$B869)),MAX(INDEX(Accounts!$Q$2:$Q$11,$F869),_xlfn.MAXIFS($C$2:$C$1001,$A$2:$A$1001,$A869,$B$2:$B$1001,"&lt;"&amp;$B869),_xlfn.MAXIFS($D$2:$D$1001,$A$2:$A$1001,$A869,$B$2:$B$1001,"&lt;="&amp;$B869),$C869)))),"")</f>
        <v/>
      </c>
      <c r="H869" s="15">
        <f>IFERROR(IF(G869="","",IF(INDEX(Accounts!$P$2:$P$11,$F869)="static",INDEX(Accounts!$Q$2:$Q$11,$F869)-INDEX(Accounts!$R$2:$R$11,$F869),IF(INDEX(Accounts!$S$2:$S$11,$F869)="NONE",G869-INDEX(Accounts!$R$2:$R$11,$F869),MIN(G869-INDEX(Accounts!$R$2:$R$11,$F869),INDEX(Accounts!$Q$2:$Q$11,$F869)+INDEX(Accounts!$S$2:$S$11,$F869))))),"")</f>
        <v/>
      </c>
      <c r="I869" s="16">
        <f>IF(AND($A869="",$B869="",$C869="",$D869="",$E869=""),"",IF(OR($A869="",$F869=""),"UNKNOWN_ACCOUNT",IF(OR($B869="",$C869=""),"INCOMPLETE",IFERROR(IF(OR(NOT(ISNUMBER($B869)),NOT(ISNUMBER($C869)),IF(C869="",FALSE,IF(ISNUMBER(C869),OR(C869&lt;=0,C869&gt;100000000,ROUND(C869*100,6)&lt;&gt;INT(ROUND(C869*100,6))),TRUE)),IF(D869="",FALSE,IF(ISNUMBER(D869),OR(D869&lt;=0,D869&gt;100000000,ROUND(D869*100,6)&lt;&gt;INT(ROUND(D869*100,6))),TRUE)),IF(E869="",FALSE,IF(ISNUMBER(E869),OR(E869&lt;=0,E869&gt;100000000,ROUND(E869*100,6)&lt;&gt;INT(ROUND(E869*100,6))),TRUE)),AND($D869&lt;&gt;"",$D869&lt;MAX($C869,$E869)),AND($E869&lt;&gt;"",$E869&gt;MIN($C869,IF($D869="",$C869,$D869))),COUNTIFS($A$2:$A$1001,$A869,$B$2:$B$1001,$B869)&gt;1),"INVALID",IFERROR(IF(IF(INDEX(Accounts!$T$2:$T$11,$F869),ROUND(IF($E869="",$C869,MIN($C869,$E869))-(H869),6)&lt;=0,ROUND(IF($E869="",$C869,MIN($C869,$E869))-(H869),6)&lt;0),"BREACHED","OK"),"INCOMPLETE")),"INVALID"))))</f>
        <v/>
      </c>
      <c r="J869" s="33">
        <f>IF(OR(I869="OK",I869="BREACHED"),-INT(ROUND(-(H869)*100,6))/100,I869)</f>
        <v/>
      </c>
    </row>
    <row r="870" ht="18" customHeight="1">
      <c r="A870" s="9" t="n"/>
      <c r="B870" s="32" t="n"/>
      <c r="C870" s="12" t="n"/>
      <c r="D870" s="12" t="n"/>
      <c r="E870" s="12" t="n"/>
      <c r="F870" s="15">
        <f>IFERROR(MATCH($A870,Accounts!$A$2:$A$11,0),"")</f>
        <v/>
      </c>
      <c r="G870" s="14">
        <f>IFERROR(IF(OR($A870="",$F870=""),"",IF(INDEX(Accounts!$P$2:$P$11,$F870)="static",INDEX(Accounts!$Q$2:$Q$11,$F870),IF(INDEX(Accounts!$P$2:$P$11,$F870)="eod_trailing",MAX(INDEX(Accounts!$Q$2:$Q$11,$F870),_xlfn.MAXIFS($C$2:$C$1001,$A$2:$A$1001,$A870,$B$2:$B$1001,"&lt;"&amp;$B870)),MAX(INDEX(Accounts!$Q$2:$Q$11,$F870),_xlfn.MAXIFS($C$2:$C$1001,$A$2:$A$1001,$A870,$B$2:$B$1001,"&lt;"&amp;$B870),_xlfn.MAXIFS($D$2:$D$1001,$A$2:$A$1001,$A870,$B$2:$B$1001,"&lt;="&amp;$B870),$C870)))),"")</f>
        <v/>
      </c>
      <c r="H870" s="15">
        <f>IFERROR(IF(G870="","",IF(INDEX(Accounts!$P$2:$P$11,$F870)="static",INDEX(Accounts!$Q$2:$Q$11,$F870)-INDEX(Accounts!$R$2:$R$11,$F870),IF(INDEX(Accounts!$S$2:$S$11,$F870)="NONE",G870-INDEX(Accounts!$R$2:$R$11,$F870),MIN(G870-INDEX(Accounts!$R$2:$R$11,$F870),INDEX(Accounts!$Q$2:$Q$11,$F870)+INDEX(Accounts!$S$2:$S$11,$F870))))),"")</f>
        <v/>
      </c>
      <c r="I870" s="16">
        <f>IF(AND($A870="",$B870="",$C870="",$D870="",$E870=""),"",IF(OR($A870="",$F870=""),"UNKNOWN_ACCOUNT",IF(OR($B870="",$C870=""),"INCOMPLETE",IFERROR(IF(OR(NOT(ISNUMBER($B870)),NOT(ISNUMBER($C870)),IF(C870="",FALSE,IF(ISNUMBER(C870),OR(C870&lt;=0,C870&gt;100000000,ROUND(C870*100,6)&lt;&gt;INT(ROUND(C870*100,6))),TRUE)),IF(D870="",FALSE,IF(ISNUMBER(D870),OR(D870&lt;=0,D870&gt;100000000,ROUND(D870*100,6)&lt;&gt;INT(ROUND(D870*100,6))),TRUE)),IF(E870="",FALSE,IF(ISNUMBER(E870),OR(E870&lt;=0,E870&gt;100000000,ROUND(E870*100,6)&lt;&gt;INT(ROUND(E870*100,6))),TRUE)),AND($D870&lt;&gt;"",$D870&lt;MAX($C870,$E870)),AND($E870&lt;&gt;"",$E870&gt;MIN($C870,IF($D870="",$C870,$D870))),COUNTIFS($A$2:$A$1001,$A870,$B$2:$B$1001,$B870)&gt;1),"INVALID",IFERROR(IF(IF(INDEX(Accounts!$T$2:$T$11,$F870),ROUND(IF($E870="",$C870,MIN($C870,$E870))-(H870),6)&lt;=0,ROUND(IF($E870="",$C870,MIN($C870,$E870))-(H870),6)&lt;0),"BREACHED","OK"),"INCOMPLETE")),"INVALID"))))</f>
        <v/>
      </c>
      <c r="J870" s="33">
        <f>IF(OR(I870="OK",I870="BREACHED"),-INT(ROUND(-(H870)*100,6))/100,I870)</f>
        <v/>
      </c>
    </row>
    <row r="871" ht="18" customHeight="1">
      <c r="A871" s="9" t="n"/>
      <c r="B871" s="32" t="n"/>
      <c r="C871" s="12" t="n"/>
      <c r="D871" s="12" t="n"/>
      <c r="E871" s="12" t="n"/>
      <c r="F871" s="15">
        <f>IFERROR(MATCH($A871,Accounts!$A$2:$A$11,0),"")</f>
        <v/>
      </c>
      <c r="G871" s="14">
        <f>IFERROR(IF(OR($A871="",$F871=""),"",IF(INDEX(Accounts!$P$2:$P$11,$F871)="static",INDEX(Accounts!$Q$2:$Q$11,$F871),IF(INDEX(Accounts!$P$2:$P$11,$F871)="eod_trailing",MAX(INDEX(Accounts!$Q$2:$Q$11,$F871),_xlfn.MAXIFS($C$2:$C$1001,$A$2:$A$1001,$A871,$B$2:$B$1001,"&lt;"&amp;$B871)),MAX(INDEX(Accounts!$Q$2:$Q$11,$F871),_xlfn.MAXIFS($C$2:$C$1001,$A$2:$A$1001,$A871,$B$2:$B$1001,"&lt;"&amp;$B871),_xlfn.MAXIFS($D$2:$D$1001,$A$2:$A$1001,$A871,$B$2:$B$1001,"&lt;="&amp;$B871),$C871)))),"")</f>
        <v/>
      </c>
      <c r="H871" s="15">
        <f>IFERROR(IF(G871="","",IF(INDEX(Accounts!$P$2:$P$11,$F871)="static",INDEX(Accounts!$Q$2:$Q$11,$F871)-INDEX(Accounts!$R$2:$R$11,$F871),IF(INDEX(Accounts!$S$2:$S$11,$F871)="NONE",G871-INDEX(Accounts!$R$2:$R$11,$F871),MIN(G871-INDEX(Accounts!$R$2:$R$11,$F871),INDEX(Accounts!$Q$2:$Q$11,$F871)+INDEX(Accounts!$S$2:$S$11,$F871))))),"")</f>
        <v/>
      </c>
      <c r="I871" s="16">
        <f>IF(AND($A871="",$B871="",$C871="",$D871="",$E871=""),"",IF(OR($A871="",$F871=""),"UNKNOWN_ACCOUNT",IF(OR($B871="",$C871=""),"INCOMPLETE",IFERROR(IF(OR(NOT(ISNUMBER($B871)),NOT(ISNUMBER($C871)),IF(C871="",FALSE,IF(ISNUMBER(C871),OR(C871&lt;=0,C871&gt;100000000,ROUND(C871*100,6)&lt;&gt;INT(ROUND(C871*100,6))),TRUE)),IF(D871="",FALSE,IF(ISNUMBER(D871),OR(D871&lt;=0,D871&gt;100000000,ROUND(D871*100,6)&lt;&gt;INT(ROUND(D871*100,6))),TRUE)),IF(E871="",FALSE,IF(ISNUMBER(E871),OR(E871&lt;=0,E871&gt;100000000,ROUND(E871*100,6)&lt;&gt;INT(ROUND(E871*100,6))),TRUE)),AND($D871&lt;&gt;"",$D871&lt;MAX($C871,$E871)),AND($E871&lt;&gt;"",$E871&gt;MIN($C871,IF($D871="",$C871,$D871))),COUNTIFS($A$2:$A$1001,$A871,$B$2:$B$1001,$B871)&gt;1),"INVALID",IFERROR(IF(IF(INDEX(Accounts!$T$2:$T$11,$F871),ROUND(IF($E871="",$C871,MIN($C871,$E871))-(H871),6)&lt;=0,ROUND(IF($E871="",$C871,MIN($C871,$E871))-(H871),6)&lt;0),"BREACHED","OK"),"INCOMPLETE")),"INVALID"))))</f>
        <v/>
      </c>
      <c r="J871" s="33">
        <f>IF(OR(I871="OK",I871="BREACHED"),-INT(ROUND(-(H871)*100,6))/100,I871)</f>
        <v/>
      </c>
    </row>
    <row r="872" ht="18" customHeight="1">
      <c r="A872" s="9" t="n"/>
      <c r="B872" s="32" t="n"/>
      <c r="C872" s="12" t="n"/>
      <c r="D872" s="12" t="n"/>
      <c r="E872" s="12" t="n"/>
      <c r="F872" s="15">
        <f>IFERROR(MATCH($A872,Accounts!$A$2:$A$11,0),"")</f>
        <v/>
      </c>
      <c r="G872" s="14">
        <f>IFERROR(IF(OR($A872="",$F872=""),"",IF(INDEX(Accounts!$P$2:$P$11,$F872)="static",INDEX(Accounts!$Q$2:$Q$11,$F872),IF(INDEX(Accounts!$P$2:$P$11,$F872)="eod_trailing",MAX(INDEX(Accounts!$Q$2:$Q$11,$F872),_xlfn.MAXIFS($C$2:$C$1001,$A$2:$A$1001,$A872,$B$2:$B$1001,"&lt;"&amp;$B872)),MAX(INDEX(Accounts!$Q$2:$Q$11,$F872),_xlfn.MAXIFS($C$2:$C$1001,$A$2:$A$1001,$A872,$B$2:$B$1001,"&lt;"&amp;$B872),_xlfn.MAXIFS($D$2:$D$1001,$A$2:$A$1001,$A872,$B$2:$B$1001,"&lt;="&amp;$B872),$C872)))),"")</f>
        <v/>
      </c>
      <c r="H872" s="15">
        <f>IFERROR(IF(G872="","",IF(INDEX(Accounts!$P$2:$P$11,$F872)="static",INDEX(Accounts!$Q$2:$Q$11,$F872)-INDEX(Accounts!$R$2:$R$11,$F872),IF(INDEX(Accounts!$S$2:$S$11,$F872)="NONE",G872-INDEX(Accounts!$R$2:$R$11,$F872),MIN(G872-INDEX(Accounts!$R$2:$R$11,$F872),INDEX(Accounts!$Q$2:$Q$11,$F872)+INDEX(Accounts!$S$2:$S$11,$F872))))),"")</f>
        <v/>
      </c>
      <c r="I872" s="16">
        <f>IF(AND($A872="",$B872="",$C872="",$D872="",$E872=""),"",IF(OR($A872="",$F872=""),"UNKNOWN_ACCOUNT",IF(OR($B872="",$C872=""),"INCOMPLETE",IFERROR(IF(OR(NOT(ISNUMBER($B872)),NOT(ISNUMBER($C872)),IF(C872="",FALSE,IF(ISNUMBER(C872),OR(C872&lt;=0,C872&gt;100000000,ROUND(C872*100,6)&lt;&gt;INT(ROUND(C872*100,6))),TRUE)),IF(D872="",FALSE,IF(ISNUMBER(D872),OR(D872&lt;=0,D872&gt;100000000,ROUND(D872*100,6)&lt;&gt;INT(ROUND(D872*100,6))),TRUE)),IF(E872="",FALSE,IF(ISNUMBER(E872),OR(E872&lt;=0,E872&gt;100000000,ROUND(E872*100,6)&lt;&gt;INT(ROUND(E872*100,6))),TRUE)),AND($D872&lt;&gt;"",$D872&lt;MAX($C872,$E872)),AND($E872&lt;&gt;"",$E872&gt;MIN($C872,IF($D872="",$C872,$D872))),COUNTIFS($A$2:$A$1001,$A872,$B$2:$B$1001,$B872)&gt;1),"INVALID",IFERROR(IF(IF(INDEX(Accounts!$T$2:$T$11,$F872),ROUND(IF($E872="",$C872,MIN($C872,$E872))-(H872),6)&lt;=0,ROUND(IF($E872="",$C872,MIN($C872,$E872))-(H872),6)&lt;0),"BREACHED","OK"),"INCOMPLETE")),"INVALID"))))</f>
        <v/>
      </c>
      <c r="J872" s="33">
        <f>IF(OR(I872="OK",I872="BREACHED"),-INT(ROUND(-(H872)*100,6))/100,I872)</f>
        <v/>
      </c>
    </row>
    <row r="873" ht="18" customHeight="1">
      <c r="A873" s="9" t="n"/>
      <c r="B873" s="32" t="n"/>
      <c r="C873" s="12" t="n"/>
      <c r="D873" s="12" t="n"/>
      <c r="E873" s="12" t="n"/>
      <c r="F873" s="15">
        <f>IFERROR(MATCH($A873,Accounts!$A$2:$A$11,0),"")</f>
        <v/>
      </c>
      <c r="G873" s="14">
        <f>IFERROR(IF(OR($A873="",$F873=""),"",IF(INDEX(Accounts!$P$2:$P$11,$F873)="static",INDEX(Accounts!$Q$2:$Q$11,$F873),IF(INDEX(Accounts!$P$2:$P$11,$F873)="eod_trailing",MAX(INDEX(Accounts!$Q$2:$Q$11,$F873),_xlfn.MAXIFS($C$2:$C$1001,$A$2:$A$1001,$A873,$B$2:$B$1001,"&lt;"&amp;$B873)),MAX(INDEX(Accounts!$Q$2:$Q$11,$F873),_xlfn.MAXIFS($C$2:$C$1001,$A$2:$A$1001,$A873,$B$2:$B$1001,"&lt;"&amp;$B873),_xlfn.MAXIFS($D$2:$D$1001,$A$2:$A$1001,$A873,$B$2:$B$1001,"&lt;="&amp;$B873),$C873)))),"")</f>
        <v/>
      </c>
      <c r="H873" s="15">
        <f>IFERROR(IF(G873="","",IF(INDEX(Accounts!$P$2:$P$11,$F873)="static",INDEX(Accounts!$Q$2:$Q$11,$F873)-INDEX(Accounts!$R$2:$R$11,$F873),IF(INDEX(Accounts!$S$2:$S$11,$F873)="NONE",G873-INDEX(Accounts!$R$2:$R$11,$F873),MIN(G873-INDEX(Accounts!$R$2:$R$11,$F873),INDEX(Accounts!$Q$2:$Q$11,$F873)+INDEX(Accounts!$S$2:$S$11,$F873))))),"")</f>
        <v/>
      </c>
      <c r="I873" s="16">
        <f>IF(AND($A873="",$B873="",$C873="",$D873="",$E873=""),"",IF(OR($A873="",$F873=""),"UNKNOWN_ACCOUNT",IF(OR($B873="",$C873=""),"INCOMPLETE",IFERROR(IF(OR(NOT(ISNUMBER($B873)),NOT(ISNUMBER($C873)),IF(C873="",FALSE,IF(ISNUMBER(C873),OR(C873&lt;=0,C873&gt;100000000,ROUND(C873*100,6)&lt;&gt;INT(ROUND(C873*100,6))),TRUE)),IF(D873="",FALSE,IF(ISNUMBER(D873),OR(D873&lt;=0,D873&gt;100000000,ROUND(D873*100,6)&lt;&gt;INT(ROUND(D873*100,6))),TRUE)),IF(E873="",FALSE,IF(ISNUMBER(E873),OR(E873&lt;=0,E873&gt;100000000,ROUND(E873*100,6)&lt;&gt;INT(ROUND(E873*100,6))),TRUE)),AND($D873&lt;&gt;"",$D873&lt;MAX($C873,$E873)),AND($E873&lt;&gt;"",$E873&gt;MIN($C873,IF($D873="",$C873,$D873))),COUNTIFS($A$2:$A$1001,$A873,$B$2:$B$1001,$B873)&gt;1),"INVALID",IFERROR(IF(IF(INDEX(Accounts!$T$2:$T$11,$F873),ROUND(IF($E873="",$C873,MIN($C873,$E873))-(H873),6)&lt;=0,ROUND(IF($E873="",$C873,MIN($C873,$E873))-(H873),6)&lt;0),"BREACHED","OK"),"INCOMPLETE")),"INVALID"))))</f>
        <v/>
      </c>
      <c r="J873" s="33">
        <f>IF(OR(I873="OK",I873="BREACHED"),-INT(ROUND(-(H873)*100,6))/100,I873)</f>
        <v/>
      </c>
    </row>
    <row r="874" ht="18" customHeight="1">
      <c r="A874" s="9" t="n"/>
      <c r="B874" s="32" t="n"/>
      <c r="C874" s="12" t="n"/>
      <c r="D874" s="12" t="n"/>
      <c r="E874" s="12" t="n"/>
      <c r="F874" s="15">
        <f>IFERROR(MATCH($A874,Accounts!$A$2:$A$11,0),"")</f>
        <v/>
      </c>
      <c r="G874" s="14">
        <f>IFERROR(IF(OR($A874="",$F874=""),"",IF(INDEX(Accounts!$P$2:$P$11,$F874)="static",INDEX(Accounts!$Q$2:$Q$11,$F874),IF(INDEX(Accounts!$P$2:$P$11,$F874)="eod_trailing",MAX(INDEX(Accounts!$Q$2:$Q$11,$F874),_xlfn.MAXIFS($C$2:$C$1001,$A$2:$A$1001,$A874,$B$2:$B$1001,"&lt;"&amp;$B874)),MAX(INDEX(Accounts!$Q$2:$Q$11,$F874),_xlfn.MAXIFS($C$2:$C$1001,$A$2:$A$1001,$A874,$B$2:$B$1001,"&lt;"&amp;$B874),_xlfn.MAXIFS($D$2:$D$1001,$A$2:$A$1001,$A874,$B$2:$B$1001,"&lt;="&amp;$B874),$C874)))),"")</f>
        <v/>
      </c>
      <c r="H874" s="15">
        <f>IFERROR(IF(G874="","",IF(INDEX(Accounts!$P$2:$P$11,$F874)="static",INDEX(Accounts!$Q$2:$Q$11,$F874)-INDEX(Accounts!$R$2:$R$11,$F874),IF(INDEX(Accounts!$S$2:$S$11,$F874)="NONE",G874-INDEX(Accounts!$R$2:$R$11,$F874),MIN(G874-INDEX(Accounts!$R$2:$R$11,$F874),INDEX(Accounts!$Q$2:$Q$11,$F874)+INDEX(Accounts!$S$2:$S$11,$F874))))),"")</f>
        <v/>
      </c>
      <c r="I874" s="16">
        <f>IF(AND($A874="",$B874="",$C874="",$D874="",$E874=""),"",IF(OR($A874="",$F874=""),"UNKNOWN_ACCOUNT",IF(OR($B874="",$C874=""),"INCOMPLETE",IFERROR(IF(OR(NOT(ISNUMBER($B874)),NOT(ISNUMBER($C874)),IF(C874="",FALSE,IF(ISNUMBER(C874),OR(C874&lt;=0,C874&gt;100000000,ROUND(C874*100,6)&lt;&gt;INT(ROUND(C874*100,6))),TRUE)),IF(D874="",FALSE,IF(ISNUMBER(D874),OR(D874&lt;=0,D874&gt;100000000,ROUND(D874*100,6)&lt;&gt;INT(ROUND(D874*100,6))),TRUE)),IF(E874="",FALSE,IF(ISNUMBER(E874),OR(E874&lt;=0,E874&gt;100000000,ROUND(E874*100,6)&lt;&gt;INT(ROUND(E874*100,6))),TRUE)),AND($D874&lt;&gt;"",$D874&lt;MAX($C874,$E874)),AND($E874&lt;&gt;"",$E874&gt;MIN($C874,IF($D874="",$C874,$D874))),COUNTIFS($A$2:$A$1001,$A874,$B$2:$B$1001,$B874)&gt;1),"INVALID",IFERROR(IF(IF(INDEX(Accounts!$T$2:$T$11,$F874),ROUND(IF($E874="",$C874,MIN($C874,$E874))-(H874),6)&lt;=0,ROUND(IF($E874="",$C874,MIN($C874,$E874))-(H874),6)&lt;0),"BREACHED","OK"),"INCOMPLETE")),"INVALID"))))</f>
        <v/>
      </c>
      <c r="J874" s="33">
        <f>IF(OR(I874="OK",I874="BREACHED"),-INT(ROUND(-(H874)*100,6))/100,I874)</f>
        <v/>
      </c>
    </row>
    <row r="875" ht="18" customHeight="1">
      <c r="A875" s="9" t="n"/>
      <c r="B875" s="32" t="n"/>
      <c r="C875" s="12" t="n"/>
      <c r="D875" s="12" t="n"/>
      <c r="E875" s="12" t="n"/>
      <c r="F875" s="15">
        <f>IFERROR(MATCH($A875,Accounts!$A$2:$A$11,0),"")</f>
        <v/>
      </c>
      <c r="G875" s="14">
        <f>IFERROR(IF(OR($A875="",$F875=""),"",IF(INDEX(Accounts!$P$2:$P$11,$F875)="static",INDEX(Accounts!$Q$2:$Q$11,$F875),IF(INDEX(Accounts!$P$2:$P$11,$F875)="eod_trailing",MAX(INDEX(Accounts!$Q$2:$Q$11,$F875),_xlfn.MAXIFS($C$2:$C$1001,$A$2:$A$1001,$A875,$B$2:$B$1001,"&lt;"&amp;$B875)),MAX(INDEX(Accounts!$Q$2:$Q$11,$F875),_xlfn.MAXIFS($C$2:$C$1001,$A$2:$A$1001,$A875,$B$2:$B$1001,"&lt;"&amp;$B875),_xlfn.MAXIFS($D$2:$D$1001,$A$2:$A$1001,$A875,$B$2:$B$1001,"&lt;="&amp;$B875),$C875)))),"")</f>
        <v/>
      </c>
      <c r="H875" s="15">
        <f>IFERROR(IF(G875="","",IF(INDEX(Accounts!$P$2:$P$11,$F875)="static",INDEX(Accounts!$Q$2:$Q$11,$F875)-INDEX(Accounts!$R$2:$R$11,$F875),IF(INDEX(Accounts!$S$2:$S$11,$F875)="NONE",G875-INDEX(Accounts!$R$2:$R$11,$F875),MIN(G875-INDEX(Accounts!$R$2:$R$11,$F875),INDEX(Accounts!$Q$2:$Q$11,$F875)+INDEX(Accounts!$S$2:$S$11,$F875))))),"")</f>
        <v/>
      </c>
      <c r="I875" s="16">
        <f>IF(AND($A875="",$B875="",$C875="",$D875="",$E875=""),"",IF(OR($A875="",$F875=""),"UNKNOWN_ACCOUNT",IF(OR($B875="",$C875=""),"INCOMPLETE",IFERROR(IF(OR(NOT(ISNUMBER($B875)),NOT(ISNUMBER($C875)),IF(C875="",FALSE,IF(ISNUMBER(C875),OR(C875&lt;=0,C875&gt;100000000,ROUND(C875*100,6)&lt;&gt;INT(ROUND(C875*100,6))),TRUE)),IF(D875="",FALSE,IF(ISNUMBER(D875),OR(D875&lt;=0,D875&gt;100000000,ROUND(D875*100,6)&lt;&gt;INT(ROUND(D875*100,6))),TRUE)),IF(E875="",FALSE,IF(ISNUMBER(E875),OR(E875&lt;=0,E875&gt;100000000,ROUND(E875*100,6)&lt;&gt;INT(ROUND(E875*100,6))),TRUE)),AND($D875&lt;&gt;"",$D875&lt;MAX($C875,$E875)),AND($E875&lt;&gt;"",$E875&gt;MIN($C875,IF($D875="",$C875,$D875))),COUNTIFS($A$2:$A$1001,$A875,$B$2:$B$1001,$B875)&gt;1),"INVALID",IFERROR(IF(IF(INDEX(Accounts!$T$2:$T$11,$F875),ROUND(IF($E875="",$C875,MIN($C875,$E875))-(H875),6)&lt;=0,ROUND(IF($E875="",$C875,MIN($C875,$E875))-(H875),6)&lt;0),"BREACHED","OK"),"INCOMPLETE")),"INVALID"))))</f>
        <v/>
      </c>
      <c r="J875" s="33">
        <f>IF(OR(I875="OK",I875="BREACHED"),-INT(ROUND(-(H875)*100,6))/100,I875)</f>
        <v/>
      </c>
    </row>
    <row r="876" ht="18" customHeight="1">
      <c r="A876" s="9" t="n"/>
      <c r="B876" s="32" t="n"/>
      <c r="C876" s="12" t="n"/>
      <c r="D876" s="12" t="n"/>
      <c r="E876" s="12" t="n"/>
      <c r="F876" s="15">
        <f>IFERROR(MATCH($A876,Accounts!$A$2:$A$11,0),"")</f>
        <v/>
      </c>
      <c r="G876" s="14">
        <f>IFERROR(IF(OR($A876="",$F876=""),"",IF(INDEX(Accounts!$P$2:$P$11,$F876)="static",INDEX(Accounts!$Q$2:$Q$11,$F876),IF(INDEX(Accounts!$P$2:$P$11,$F876)="eod_trailing",MAX(INDEX(Accounts!$Q$2:$Q$11,$F876),_xlfn.MAXIFS($C$2:$C$1001,$A$2:$A$1001,$A876,$B$2:$B$1001,"&lt;"&amp;$B876)),MAX(INDEX(Accounts!$Q$2:$Q$11,$F876),_xlfn.MAXIFS($C$2:$C$1001,$A$2:$A$1001,$A876,$B$2:$B$1001,"&lt;"&amp;$B876),_xlfn.MAXIFS($D$2:$D$1001,$A$2:$A$1001,$A876,$B$2:$B$1001,"&lt;="&amp;$B876),$C876)))),"")</f>
        <v/>
      </c>
      <c r="H876" s="15">
        <f>IFERROR(IF(G876="","",IF(INDEX(Accounts!$P$2:$P$11,$F876)="static",INDEX(Accounts!$Q$2:$Q$11,$F876)-INDEX(Accounts!$R$2:$R$11,$F876),IF(INDEX(Accounts!$S$2:$S$11,$F876)="NONE",G876-INDEX(Accounts!$R$2:$R$11,$F876),MIN(G876-INDEX(Accounts!$R$2:$R$11,$F876),INDEX(Accounts!$Q$2:$Q$11,$F876)+INDEX(Accounts!$S$2:$S$11,$F876))))),"")</f>
        <v/>
      </c>
      <c r="I876" s="16">
        <f>IF(AND($A876="",$B876="",$C876="",$D876="",$E876=""),"",IF(OR($A876="",$F876=""),"UNKNOWN_ACCOUNT",IF(OR($B876="",$C876=""),"INCOMPLETE",IFERROR(IF(OR(NOT(ISNUMBER($B876)),NOT(ISNUMBER($C876)),IF(C876="",FALSE,IF(ISNUMBER(C876),OR(C876&lt;=0,C876&gt;100000000,ROUND(C876*100,6)&lt;&gt;INT(ROUND(C876*100,6))),TRUE)),IF(D876="",FALSE,IF(ISNUMBER(D876),OR(D876&lt;=0,D876&gt;100000000,ROUND(D876*100,6)&lt;&gt;INT(ROUND(D876*100,6))),TRUE)),IF(E876="",FALSE,IF(ISNUMBER(E876),OR(E876&lt;=0,E876&gt;100000000,ROUND(E876*100,6)&lt;&gt;INT(ROUND(E876*100,6))),TRUE)),AND($D876&lt;&gt;"",$D876&lt;MAX($C876,$E876)),AND($E876&lt;&gt;"",$E876&gt;MIN($C876,IF($D876="",$C876,$D876))),COUNTIFS($A$2:$A$1001,$A876,$B$2:$B$1001,$B876)&gt;1),"INVALID",IFERROR(IF(IF(INDEX(Accounts!$T$2:$T$11,$F876),ROUND(IF($E876="",$C876,MIN($C876,$E876))-(H876),6)&lt;=0,ROUND(IF($E876="",$C876,MIN($C876,$E876))-(H876),6)&lt;0),"BREACHED","OK"),"INCOMPLETE")),"INVALID"))))</f>
        <v/>
      </c>
      <c r="J876" s="33">
        <f>IF(OR(I876="OK",I876="BREACHED"),-INT(ROUND(-(H876)*100,6))/100,I876)</f>
        <v/>
      </c>
    </row>
    <row r="877" ht="18" customHeight="1">
      <c r="A877" s="9" t="n"/>
      <c r="B877" s="32" t="n"/>
      <c r="C877" s="12" t="n"/>
      <c r="D877" s="12" t="n"/>
      <c r="E877" s="12" t="n"/>
      <c r="F877" s="15">
        <f>IFERROR(MATCH($A877,Accounts!$A$2:$A$11,0),"")</f>
        <v/>
      </c>
      <c r="G877" s="14">
        <f>IFERROR(IF(OR($A877="",$F877=""),"",IF(INDEX(Accounts!$P$2:$P$11,$F877)="static",INDEX(Accounts!$Q$2:$Q$11,$F877),IF(INDEX(Accounts!$P$2:$P$11,$F877)="eod_trailing",MAX(INDEX(Accounts!$Q$2:$Q$11,$F877),_xlfn.MAXIFS($C$2:$C$1001,$A$2:$A$1001,$A877,$B$2:$B$1001,"&lt;"&amp;$B877)),MAX(INDEX(Accounts!$Q$2:$Q$11,$F877),_xlfn.MAXIFS($C$2:$C$1001,$A$2:$A$1001,$A877,$B$2:$B$1001,"&lt;"&amp;$B877),_xlfn.MAXIFS($D$2:$D$1001,$A$2:$A$1001,$A877,$B$2:$B$1001,"&lt;="&amp;$B877),$C877)))),"")</f>
        <v/>
      </c>
      <c r="H877" s="15">
        <f>IFERROR(IF(G877="","",IF(INDEX(Accounts!$P$2:$P$11,$F877)="static",INDEX(Accounts!$Q$2:$Q$11,$F877)-INDEX(Accounts!$R$2:$R$11,$F877),IF(INDEX(Accounts!$S$2:$S$11,$F877)="NONE",G877-INDEX(Accounts!$R$2:$R$11,$F877),MIN(G877-INDEX(Accounts!$R$2:$R$11,$F877),INDEX(Accounts!$Q$2:$Q$11,$F877)+INDEX(Accounts!$S$2:$S$11,$F877))))),"")</f>
        <v/>
      </c>
      <c r="I877" s="16">
        <f>IF(AND($A877="",$B877="",$C877="",$D877="",$E877=""),"",IF(OR($A877="",$F877=""),"UNKNOWN_ACCOUNT",IF(OR($B877="",$C877=""),"INCOMPLETE",IFERROR(IF(OR(NOT(ISNUMBER($B877)),NOT(ISNUMBER($C877)),IF(C877="",FALSE,IF(ISNUMBER(C877),OR(C877&lt;=0,C877&gt;100000000,ROUND(C877*100,6)&lt;&gt;INT(ROUND(C877*100,6))),TRUE)),IF(D877="",FALSE,IF(ISNUMBER(D877),OR(D877&lt;=0,D877&gt;100000000,ROUND(D877*100,6)&lt;&gt;INT(ROUND(D877*100,6))),TRUE)),IF(E877="",FALSE,IF(ISNUMBER(E877),OR(E877&lt;=0,E877&gt;100000000,ROUND(E877*100,6)&lt;&gt;INT(ROUND(E877*100,6))),TRUE)),AND($D877&lt;&gt;"",$D877&lt;MAX($C877,$E877)),AND($E877&lt;&gt;"",$E877&gt;MIN($C877,IF($D877="",$C877,$D877))),COUNTIFS($A$2:$A$1001,$A877,$B$2:$B$1001,$B877)&gt;1),"INVALID",IFERROR(IF(IF(INDEX(Accounts!$T$2:$T$11,$F877),ROUND(IF($E877="",$C877,MIN($C877,$E877))-(H877),6)&lt;=0,ROUND(IF($E877="",$C877,MIN($C877,$E877))-(H877),6)&lt;0),"BREACHED","OK"),"INCOMPLETE")),"INVALID"))))</f>
        <v/>
      </c>
      <c r="J877" s="33">
        <f>IF(OR(I877="OK",I877="BREACHED"),-INT(ROUND(-(H877)*100,6))/100,I877)</f>
        <v/>
      </c>
    </row>
    <row r="878" ht="18" customHeight="1">
      <c r="A878" s="9" t="n"/>
      <c r="B878" s="32" t="n"/>
      <c r="C878" s="12" t="n"/>
      <c r="D878" s="12" t="n"/>
      <c r="E878" s="12" t="n"/>
      <c r="F878" s="15">
        <f>IFERROR(MATCH($A878,Accounts!$A$2:$A$11,0),"")</f>
        <v/>
      </c>
      <c r="G878" s="14">
        <f>IFERROR(IF(OR($A878="",$F878=""),"",IF(INDEX(Accounts!$P$2:$P$11,$F878)="static",INDEX(Accounts!$Q$2:$Q$11,$F878),IF(INDEX(Accounts!$P$2:$P$11,$F878)="eod_trailing",MAX(INDEX(Accounts!$Q$2:$Q$11,$F878),_xlfn.MAXIFS($C$2:$C$1001,$A$2:$A$1001,$A878,$B$2:$B$1001,"&lt;"&amp;$B878)),MAX(INDEX(Accounts!$Q$2:$Q$11,$F878),_xlfn.MAXIFS($C$2:$C$1001,$A$2:$A$1001,$A878,$B$2:$B$1001,"&lt;"&amp;$B878),_xlfn.MAXIFS($D$2:$D$1001,$A$2:$A$1001,$A878,$B$2:$B$1001,"&lt;="&amp;$B878),$C878)))),"")</f>
        <v/>
      </c>
      <c r="H878" s="15">
        <f>IFERROR(IF(G878="","",IF(INDEX(Accounts!$P$2:$P$11,$F878)="static",INDEX(Accounts!$Q$2:$Q$11,$F878)-INDEX(Accounts!$R$2:$R$11,$F878),IF(INDEX(Accounts!$S$2:$S$11,$F878)="NONE",G878-INDEX(Accounts!$R$2:$R$11,$F878),MIN(G878-INDEX(Accounts!$R$2:$R$11,$F878),INDEX(Accounts!$Q$2:$Q$11,$F878)+INDEX(Accounts!$S$2:$S$11,$F878))))),"")</f>
        <v/>
      </c>
      <c r="I878" s="16">
        <f>IF(AND($A878="",$B878="",$C878="",$D878="",$E878=""),"",IF(OR($A878="",$F878=""),"UNKNOWN_ACCOUNT",IF(OR($B878="",$C878=""),"INCOMPLETE",IFERROR(IF(OR(NOT(ISNUMBER($B878)),NOT(ISNUMBER($C878)),IF(C878="",FALSE,IF(ISNUMBER(C878),OR(C878&lt;=0,C878&gt;100000000,ROUND(C878*100,6)&lt;&gt;INT(ROUND(C878*100,6))),TRUE)),IF(D878="",FALSE,IF(ISNUMBER(D878),OR(D878&lt;=0,D878&gt;100000000,ROUND(D878*100,6)&lt;&gt;INT(ROUND(D878*100,6))),TRUE)),IF(E878="",FALSE,IF(ISNUMBER(E878),OR(E878&lt;=0,E878&gt;100000000,ROUND(E878*100,6)&lt;&gt;INT(ROUND(E878*100,6))),TRUE)),AND($D878&lt;&gt;"",$D878&lt;MAX($C878,$E878)),AND($E878&lt;&gt;"",$E878&gt;MIN($C878,IF($D878="",$C878,$D878))),COUNTIFS($A$2:$A$1001,$A878,$B$2:$B$1001,$B878)&gt;1),"INVALID",IFERROR(IF(IF(INDEX(Accounts!$T$2:$T$11,$F878),ROUND(IF($E878="",$C878,MIN($C878,$E878))-(H878),6)&lt;=0,ROUND(IF($E878="",$C878,MIN($C878,$E878))-(H878),6)&lt;0),"BREACHED","OK"),"INCOMPLETE")),"INVALID"))))</f>
        <v/>
      </c>
      <c r="J878" s="33">
        <f>IF(OR(I878="OK",I878="BREACHED"),-INT(ROUND(-(H878)*100,6))/100,I878)</f>
        <v/>
      </c>
    </row>
    <row r="879" ht="18" customHeight="1">
      <c r="A879" s="9" t="n"/>
      <c r="B879" s="32" t="n"/>
      <c r="C879" s="12" t="n"/>
      <c r="D879" s="12" t="n"/>
      <c r="E879" s="12" t="n"/>
      <c r="F879" s="15">
        <f>IFERROR(MATCH($A879,Accounts!$A$2:$A$11,0),"")</f>
        <v/>
      </c>
      <c r="G879" s="14">
        <f>IFERROR(IF(OR($A879="",$F879=""),"",IF(INDEX(Accounts!$P$2:$P$11,$F879)="static",INDEX(Accounts!$Q$2:$Q$11,$F879),IF(INDEX(Accounts!$P$2:$P$11,$F879)="eod_trailing",MAX(INDEX(Accounts!$Q$2:$Q$11,$F879),_xlfn.MAXIFS($C$2:$C$1001,$A$2:$A$1001,$A879,$B$2:$B$1001,"&lt;"&amp;$B879)),MAX(INDEX(Accounts!$Q$2:$Q$11,$F879),_xlfn.MAXIFS($C$2:$C$1001,$A$2:$A$1001,$A879,$B$2:$B$1001,"&lt;"&amp;$B879),_xlfn.MAXIFS($D$2:$D$1001,$A$2:$A$1001,$A879,$B$2:$B$1001,"&lt;="&amp;$B879),$C879)))),"")</f>
        <v/>
      </c>
      <c r="H879" s="15">
        <f>IFERROR(IF(G879="","",IF(INDEX(Accounts!$P$2:$P$11,$F879)="static",INDEX(Accounts!$Q$2:$Q$11,$F879)-INDEX(Accounts!$R$2:$R$11,$F879),IF(INDEX(Accounts!$S$2:$S$11,$F879)="NONE",G879-INDEX(Accounts!$R$2:$R$11,$F879),MIN(G879-INDEX(Accounts!$R$2:$R$11,$F879),INDEX(Accounts!$Q$2:$Q$11,$F879)+INDEX(Accounts!$S$2:$S$11,$F879))))),"")</f>
        <v/>
      </c>
      <c r="I879" s="16">
        <f>IF(AND($A879="",$B879="",$C879="",$D879="",$E879=""),"",IF(OR($A879="",$F879=""),"UNKNOWN_ACCOUNT",IF(OR($B879="",$C879=""),"INCOMPLETE",IFERROR(IF(OR(NOT(ISNUMBER($B879)),NOT(ISNUMBER($C879)),IF(C879="",FALSE,IF(ISNUMBER(C879),OR(C879&lt;=0,C879&gt;100000000,ROUND(C879*100,6)&lt;&gt;INT(ROUND(C879*100,6))),TRUE)),IF(D879="",FALSE,IF(ISNUMBER(D879),OR(D879&lt;=0,D879&gt;100000000,ROUND(D879*100,6)&lt;&gt;INT(ROUND(D879*100,6))),TRUE)),IF(E879="",FALSE,IF(ISNUMBER(E879),OR(E879&lt;=0,E879&gt;100000000,ROUND(E879*100,6)&lt;&gt;INT(ROUND(E879*100,6))),TRUE)),AND($D879&lt;&gt;"",$D879&lt;MAX($C879,$E879)),AND($E879&lt;&gt;"",$E879&gt;MIN($C879,IF($D879="",$C879,$D879))),COUNTIFS($A$2:$A$1001,$A879,$B$2:$B$1001,$B879)&gt;1),"INVALID",IFERROR(IF(IF(INDEX(Accounts!$T$2:$T$11,$F879),ROUND(IF($E879="",$C879,MIN($C879,$E879))-(H879),6)&lt;=0,ROUND(IF($E879="",$C879,MIN($C879,$E879))-(H879),6)&lt;0),"BREACHED","OK"),"INCOMPLETE")),"INVALID"))))</f>
        <v/>
      </c>
      <c r="J879" s="33">
        <f>IF(OR(I879="OK",I879="BREACHED"),-INT(ROUND(-(H879)*100,6))/100,I879)</f>
        <v/>
      </c>
    </row>
    <row r="880" ht="18" customHeight="1">
      <c r="A880" s="9" t="n"/>
      <c r="B880" s="32" t="n"/>
      <c r="C880" s="12" t="n"/>
      <c r="D880" s="12" t="n"/>
      <c r="E880" s="12" t="n"/>
      <c r="F880" s="15">
        <f>IFERROR(MATCH($A880,Accounts!$A$2:$A$11,0),"")</f>
        <v/>
      </c>
      <c r="G880" s="14">
        <f>IFERROR(IF(OR($A880="",$F880=""),"",IF(INDEX(Accounts!$P$2:$P$11,$F880)="static",INDEX(Accounts!$Q$2:$Q$11,$F880),IF(INDEX(Accounts!$P$2:$P$11,$F880)="eod_trailing",MAX(INDEX(Accounts!$Q$2:$Q$11,$F880),_xlfn.MAXIFS($C$2:$C$1001,$A$2:$A$1001,$A880,$B$2:$B$1001,"&lt;"&amp;$B880)),MAX(INDEX(Accounts!$Q$2:$Q$11,$F880),_xlfn.MAXIFS($C$2:$C$1001,$A$2:$A$1001,$A880,$B$2:$B$1001,"&lt;"&amp;$B880),_xlfn.MAXIFS($D$2:$D$1001,$A$2:$A$1001,$A880,$B$2:$B$1001,"&lt;="&amp;$B880),$C880)))),"")</f>
        <v/>
      </c>
      <c r="H880" s="15">
        <f>IFERROR(IF(G880="","",IF(INDEX(Accounts!$P$2:$P$11,$F880)="static",INDEX(Accounts!$Q$2:$Q$11,$F880)-INDEX(Accounts!$R$2:$R$11,$F880),IF(INDEX(Accounts!$S$2:$S$11,$F880)="NONE",G880-INDEX(Accounts!$R$2:$R$11,$F880),MIN(G880-INDEX(Accounts!$R$2:$R$11,$F880),INDEX(Accounts!$Q$2:$Q$11,$F880)+INDEX(Accounts!$S$2:$S$11,$F880))))),"")</f>
        <v/>
      </c>
      <c r="I880" s="16">
        <f>IF(AND($A880="",$B880="",$C880="",$D880="",$E880=""),"",IF(OR($A880="",$F880=""),"UNKNOWN_ACCOUNT",IF(OR($B880="",$C880=""),"INCOMPLETE",IFERROR(IF(OR(NOT(ISNUMBER($B880)),NOT(ISNUMBER($C880)),IF(C880="",FALSE,IF(ISNUMBER(C880),OR(C880&lt;=0,C880&gt;100000000,ROUND(C880*100,6)&lt;&gt;INT(ROUND(C880*100,6))),TRUE)),IF(D880="",FALSE,IF(ISNUMBER(D880),OR(D880&lt;=0,D880&gt;100000000,ROUND(D880*100,6)&lt;&gt;INT(ROUND(D880*100,6))),TRUE)),IF(E880="",FALSE,IF(ISNUMBER(E880),OR(E880&lt;=0,E880&gt;100000000,ROUND(E880*100,6)&lt;&gt;INT(ROUND(E880*100,6))),TRUE)),AND($D880&lt;&gt;"",$D880&lt;MAX($C880,$E880)),AND($E880&lt;&gt;"",$E880&gt;MIN($C880,IF($D880="",$C880,$D880))),COUNTIFS($A$2:$A$1001,$A880,$B$2:$B$1001,$B880)&gt;1),"INVALID",IFERROR(IF(IF(INDEX(Accounts!$T$2:$T$11,$F880),ROUND(IF($E880="",$C880,MIN($C880,$E880))-(H880),6)&lt;=0,ROUND(IF($E880="",$C880,MIN($C880,$E880))-(H880),6)&lt;0),"BREACHED","OK"),"INCOMPLETE")),"INVALID"))))</f>
        <v/>
      </c>
      <c r="J880" s="33">
        <f>IF(OR(I880="OK",I880="BREACHED"),-INT(ROUND(-(H880)*100,6))/100,I880)</f>
        <v/>
      </c>
    </row>
    <row r="881" ht="18" customHeight="1">
      <c r="A881" s="9" t="n"/>
      <c r="B881" s="32" t="n"/>
      <c r="C881" s="12" t="n"/>
      <c r="D881" s="12" t="n"/>
      <c r="E881" s="12" t="n"/>
      <c r="F881" s="15">
        <f>IFERROR(MATCH($A881,Accounts!$A$2:$A$11,0),"")</f>
        <v/>
      </c>
      <c r="G881" s="14">
        <f>IFERROR(IF(OR($A881="",$F881=""),"",IF(INDEX(Accounts!$P$2:$P$11,$F881)="static",INDEX(Accounts!$Q$2:$Q$11,$F881),IF(INDEX(Accounts!$P$2:$P$11,$F881)="eod_trailing",MAX(INDEX(Accounts!$Q$2:$Q$11,$F881),_xlfn.MAXIFS($C$2:$C$1001,$A$2:$A$1001,$A881,$B$2:$B$1001,"&lt;"&amp;$B881)),MAX(INDEX(Accounts!$Q$2:$Q$11,$F881),_xlfn.MAXIFS($C$2:$C$1001,$A$2:$A$1001,$A881,$B$2:$B$1001,"&lt;"&amp;$B881),_xlfn.MAXIFS($D$2:$D$1001,$A$2:$A$1001,$A881,$B$2:$B$1001,"&lt;="&amp;$B881),$C881)))),"")</f>
        <v/>
      </c>
      <c r="H881" s="15">
        <f>IFERROR(IF(G881="","",IF(INDEX(Accounts!$P$2:$P$11,$F881)="static",INDEX(Accounts!$Q$2:$Q$11,$F881)-INDEX(Accounts!$R$2:$R$11,$F881),IF(INDEX(Accounts!$S$2:$S$11,$F881)="NONE",G881-INDEX(Accounts!$R$2:$R$11,$F881),MIN(G881-INDEX(Accounts!$R$2:$R$11,$F881),INDEX(Accounts!$Q$2:$Q$11,$F881)+INDEX(Accounts!$S$2:$S$11,$F881))))),"")</f>
        <v/>
      </c>
      <c r="I881" s="16">
        <f>IF(AND($A881="",$B881="",$C881="",$D881="",$E881=""),"",IF(OR($A881="",$F881=""),"UNKNOWN_ACCOUNT",IF(OR($B881="",$C881=""),"INCOMPLETE",IFERROR(IF(OR(NOT(ISNUMBER($B881)),NOT(ISNUMBER($C881)),IF(C881="",FALSE,IF(ISNUMBER(C881),OR(C881&lt;=0,C881&gt;100000000,ROUND(C881*100,6)&lt;&gt;INT(ROUND(C881*100,6))),TRUE)),IF(D881="",FALSE,IF(ISNUMBER(D881),OR(D881&lt;=0,D881&gt;100000000,ROUND(D881*100,6)&lt;&gt;INT(ROUND(D881*100,6))),TRUE)),IF(E881="",FALSE,IF(ISNUMBER(E881),OR(E881&lt;=0,E881&gt;100000000,ROUND(E881*100,6)&lt;&gt;INT(ROUND(E881*100,6))),TRUE)),AND($D881&lt;&gt;"",$D881&lt;MAX($C881,$E881)),AND($E881&lt;&gt;"",$E881&gt;MIN($C881,IF($D881="",$C881,$D881))),COUNTIFS($A$2:$A$1001,$A881,$B$2:$B$1001,$B881)&gt;1),"INVALID",IFERROR(IF(IF(INDEX(Accounts!$T$2:$T$11,$F881),ROUND(IF($E881="",$C881,MIN($C881,$E881))-(H881),6)&lt;=0,ROUND(IF($E881="",$C881,MIN($C881,$E881))-(H881),6)&lt;0),"BREACHED","OK"),"INCOMPLETE")),"INVALID"))))</f>
        <v/>
      </c>
      <c r="J881" s="33">
        <f>IF(OR(I881="OK",I881="BREACHED"),-INT(ROUND(-(H881)*100,6))/100,I881)</f>
        <v/>
      </c>
    </row>
    <row r="882" ht="18" customHeight="1">
      <c r="A882" s="9" t="n"/>
      <c r="B882" s="32" t="n"/>
      <c r="C882" s="12" t="n"/>
      <c r="D882" s="12" t="n"/>
      <c r="E882" s="12" t="n"/>
      <c r="F882" s="15">
        <f>IFERROR(MATCH($A882,Accounts!$A$2:$A$11,0),"")</f>
        <v/>
      </c>
      <c r="G882" s="14">
        <f>IFERROR(IF(OR($A882="",$F882=""),"",IF(INDEX(Accounts!$P$2:$P$11,$F882)="static",INDEX(Accounts!$Q$2:$Q$11,$F882),IF(INDEX(Accounts!$P$2:$P$11,$F882)="eod_trailing",MAX(INDEX(Accounts!$Q$2:$Q$11,$F882),_xlfn.MAXIFS($C$2:$C$1001,$A$2:$A$1001,$A882,$B$2:$B$1001,"&lt;"&amp;$B882)),MAX(INDEX(Accounts!$Q$2:$Q$11,$F882),_xlfn.MAXIFS($C$2:$C$1001,$A$2:$A$1001,$A882,$B$2:$B$1001,"&lt;"&amp;$B882),_xlfn.MAXIFS($D$2:$D$1001,$A$2:$A$1001,$A882,$B$2:$B$1001,"&lt;="&amp;$B882),$C882)))),"")</f>
        <v/>
      </c>
      <c r="H882" s="15">
        <f>IFERROR(IF(G882="","",IF(INDEX(Accounts!$P$2:$P$11,$F882)="static",INDEX(Accounts!$Q$2:$Q$11,$F882)-INDEX(Accounts!$R$2:$R$11,$F882),IF(INDEX(Accounts!$S$2:$S$11,$F882)="NONE",G882-INDEX(Accounts!$R$2:$R$11,$F882),MIN(G882-INDEX(Accounts!$R$2:$R$11,$F882),INDEX(Accounts!$Q$2:$Q$11,$F882)+INDEX(Accounts!$S$2:$S$11,$F882))))),"")</f>
        <v/>
      </c>
      <c r="I882" s="16">
        <f>IF(AND($A882="",$B882="",$C882="",$D882="",$E882=""),"",IF(OR($A882="",$F882=""),"UNKNOWN_ACCOUNT",IF(OR($B882="",$C882=""),"INCOMPLETE",IFERROR(IF(OR(NOT(ISNUMBER($B882)),NOT(ISNUMBER($C882)),IF(C882="",FALSE,IF(ISNUMBER(C882),OR(C882&lt;=0,C882&gt;100000000,ROUND(C882*100,6)&lt;&gt;INT(ROUND(C882*100,6))),TRUE)),IF(D882="",FALSE,IF(ISNUMBER(D882),OR(D882&lt;=0,D882&gt;100000000,ROUND(D882*100,6)&lt;&gt;INT(ROUND(D882*100,6))),TRUE)),IF(E882="",FALSE,IF(ISNUMBER(E882),OR(E882&lt;=0,E882&gt;100000000,ROUND(E882*100,6)&lt;&gt;INT(ROUND(E882*100,6))),TRUE)),AND($D882&lt;&gt;"",$D882&lt;MAX($C882,$E882)),AND($E882&lt;&gt;"",$E882&gt;MIN($C882,IF($D882="",$C882,$D882))),COUNTIFS($A$2:$A$1001,$A882,$B$2:$B$1001,$B882)&gt;1),"INVALID",IFERROR(IF(IF(INDEX(Accounts!$T$2:$T$11,$F882),ROUND(IF($E882="",$C882,MIN($C882,$E882))-(H882),6)&lt;=0,ROUND(IF($E882="",$C882,MIN($C882,$E882))-(H882),6)&lt;0),"BREACHED","OK"),"INCOMPLETE")),"INVALID"))))</f>
        <v/>
      </c>
      <c r="J882" s="33">
        <f>IF(OR(I882="OK",I882="BREACHED"),-INT(ROUND(-(H882)*100,6))/100,I882)</f>
        <v/>
      </c>
    </row>
    <row r="883" ht="18" customHeight="1">
      <c r="A883" s="9" t="n"/>
      <c r="B883" s="32" t="n"/>
      <c r="C883" s="12" t="n"/>
      <c r="D883" s="12" t="n"/>
      <c r="E883" s="12" t="n"/>
      <c r="F883" s="15">
        <f>IFERROR(MATCH($A883,Accounts!$A$2:$A$11,0),"")</f>
        <v/>
      </c>
      <c r="G883" s="14">
        <f>IFERROR(IF(OR($A883="",$F883=""),"",IF(INDEX(Accounts!$P$2:$P$11,$F883)="static",INDEX(Accounts!$Q$2:$Q$11,$F883),IF(INDEX(Accounts!$P$2:$P$11,$F883)="eod_trailing",MAX(INDEX(Accounts!$Q$2:$Q$11,$F883),_xlfn.MAXIFS($C$2:$C$1001,$A$2:$A$1001,$A883,$B$2:$B$1001,"&lt;"&amp;$B883)),MAX(INDEX(Accounts!$Q$2:$Q$11,$F883),_xlfn.MAXIFS($C$2:$C$1001,$A$2:$A$1001,$A883,$B$2:$B$1001,"&lt;"&amp;$B883),_xlfn.MAXIFS($D$2:$D$1001,$A$2:$A$1001,$A883,$B$2:$B$1001,"&lt;="&amp;$B883),$C883)))),"")</f>
        <v/>
      </c>
      <c r="H883" s="15">
        <f>IFERROR(IF(G883="","",IF(INDEX(Accounts!$P$2:$P$11,$F883)="static",INDEX(Accounts!$Q$2:$Q$11,$F883)-INDEX(Accounts!$R$2:$R$11,$F883),IF(INDEX(Accounts!$S$2:$S$11,$F883)="NONE",G883-INDEX(Accounts!$R$2:$R$11,$F883),MIN(G883-INDEX(Accounts!$R$2:$R$11,$F883),INDEX(Accounts!$Q$2:$Q$11,$F883)+INDEX(Accounts!$S$2:$S$11,$F883))))),"")</f>
        <v/>
      </c>
      <c r="I883" s="16">
        <f>IF(AND($A883="",$B883="",$C883="",$D883="",$E883=""),"",IF(OR($A883="",$F883=""),"UNKNOWN_ACCOUNT",IF(OR($B883="",$C883=""),"INCOMPLETE",IFERROR(IF(OR(NOT(ISNUMBER($B883)),NOT(ISNUMBER($C883)),IF(C883="",FALSE,IF(ISNUMBER(C883),OR(C883&lt;=0,C883&gt;100000000,ROUND(C883*100,6)&lt;&gt;INT(ROUND(C883*100,6))),TRUE)),IF(D883="",FALSE,IF(ISNUMBER(D883),OR(D883&lt;=0,D883&gt;100000000,ROUND(D883*100,6)&lt;&gt;INT(ROUND(D883*100,6))),TRUE)),IF(E883="",FALSE,IF(ISNUMBER(E883),OR(E883&lt;=0,E883&gt;100000000,ROUND(E883*100,6)&lt;&gt;INT(ROUND(E883*100,6))),TRUE)),AND($D883&lt;&gt;"",$D883&lt;MAX($C883,$E883)),AND($E883&lt;&gt;"",$E883&gt;MIN($C883,IF($D883="",$C883,$D883))),COUNTIFS($A$2:$A$1001,$A883,$B$2:$B$1001,$B883)&gt;1),"INVALID",IFERROR(IF(IF(INDEX(Accounts!$T$2:$T$11,$F883),ROUND(IF($E883="",$C883,MIN($C883,$E883))-(H883),6)&lt;=0,ROUND(IF($E883="",$C883,MIN($C883,$E883))-(H883),6)&lt;0),"BREACHED","OK"),"INCOMPLETE")),"INVALID"))))</f>
        <v/>
      </c>
      <c r="J883" s="33">
        <f>IF(OR(I883="OK",I883="BREACHED"),-INT(ROUND(-(H883)*100,6))/100,I883)</f>
        <v/>
      </c>
    </row>
    <row r="884" ht="18" customHeight="1">
      <c r="A884" s="9" t="n"/>
      <c r="B884" s="32" t="n"/>
      <c r="C884" s="12" t="n"/>
      <c r="D884" s="12" t="n"/>
      <c r="E884" s="12" t="n"/>
      <c r="F884" s="15">
        <f>IFERROR(MATCH($A884,Accounts!$A$2:$A$11,0),"")</f>
        <v/>
      </c>
      <c r="G884" s="14">
        <f>IFERROR(IF(OR($A884="",$F884=""),"",IF(INDEX(Accounts!$P$2:$P$11,$F884)="static",INDEX(Accounts!$Q$2:$Q$11,$F884),IF(INDEX(Accounts!$P$2:$P$11,$F884)="eod_trailing",MAX(INDEX(Accounts!$Q$2:$Q$11,$F884),_xlfn.MAXIFS($C$2:$C$1001,$A$2:$A$1001,$A884,$B$2:$B$1001,"&lt;"&amp;$B884)),MAX(INDEX(Accounts!$Q$2:$Q$11,$F884),_xlfn.MAXIFS($C$2:$C$1001,$A$2:$A$1001,$A884,$B$2:$B$1001,"&lt;"&amp;$B884),_xlfn.MAXIFS($D$2:$D$1001,$A$2:$A$1001,$A884,$B$2:$B$1001,"&lt;="&amp;$B884),$C884)))),"")</f>
        <v/>
      </c>
      <c r="H884" s="15">
        <f>IFERROR(IF(G884="","",IF(INDEX(Accounts!$P$2:$P$11,$F884)="static",INDEX(Accounts!$Q$2:$Q$11,$F884)-INDEX(Accounts!$R$2:$R$11,$F884),IF(INDEX(Accounts!$S$2:$S$11,$F884)="NONE",G884-INDEX(Accounts!$R$2:$R$11,$F884),MIN(G884-INDEX(Accounts!$R$2:$R$11,$F884),INDEX(Accounts!$Q$2:$Q$11,$F884)+INDEX(Accounts!$S$2:$S$11,$F884))))),"")</f>
        <v/>
      </c>
      <c r="I884" s="16">
        <f>IF(AND($A884="",$B884="",$C884="",$D884="",$E884=""),"",IF(OR($A884="",$F884=""),"UNKNOWN_ACCOUNT",IF(OR($B884="",$C884=""),"INCOMPLETE",IFERROR(IF(OR(NOT(ISNUMBER($B884)),NOT(ISNUMBER($C884)),IF(C884="",FALSE,IF(ISNUMBER(C884),OR(C884&lt;=0,C884&gt;100000000,ROUND(C884*100,6)&lt;&gt;INT(ROUND(C884*100,6))),TRUE)),IF(D884="",FALSE,IF(ISNUMBER(D884),OR(D884&lt;=0,D884&gt;100000000,ROUND(D884*100,6)&lt;&gt;INT(ROUND(D884*100,6))),TRUE)),IF(E884="",FALSE,IF(ISNUMBER(E884),OR(E884&lt;=0,E884&gt;100000000,ROUND(E884*100,6)&lt;&gt;INT(ROUND(E884*100,6))),TRUE)),AND($D884&lt;&gt;"",$D884&lt;MAX($C884,$E884)),AND($E884&lt;&gt;"",$E884&gt;MIN($C884,IF($D884="",$C884,$D884))),COUNTIFS($A$2:$A$1001,$A884,$B$2:$B$1001,$B884)&gt;1),"INVALID",IFERROR(IF(IF(INDEX(Accounts!$T$2:$T$11,$F884),ROUND(IF($E884="",$C884,MIN($C884,$E884))-(H884),6)&lt;=0,ROUND(IF($E884="",$C884,MIN($C884,$E884))-(H884),6)&lt;0),"BREACHED","OK"),"INCOMPLETE")),"INVALID"))))</f>
        <v/>
      </c>
      <c r="J884" s="33">
        <f>IF(OR(I884="OK",I884="BREACHED"),-INT(ROUND(-(H884)*100,6))/100,I884)</f>
        <v/>
      </c>
    </row>
    <row r="885" ht="18" customHeight="1">
      <c r="A885" s="9" t="n"/>
      <c r="B885" s="32" t="n"/>
      <c r="C885" s="12" t="n"/>
      <c r="D885" s="12" t="n"/>
      <c r="E885" s="12" t="n"/>
      <c r="F885" s="15">
        <f>IFERROR(MATCH($A885,Accounts!$A$2:$A$11,0),"")</f>
        <v/>
      </c>
      <c r="G885" s="14">
        <f>IFERROR(IF(OR($A885="",$F885=""),"",IF(INDEX(Accounts!$P$2:$P$11,$F885)="static",INDEX(Accounts!$Q$2:$Q$11,$F885),IF(INDEX(Accounts!$P$2:$P$11,$F885)="eod_trailing",MAX(INDEX(Accounts!$Q$2:$Q$11,$F885),_xlfn.MAXIFS($C$2:$C$1001,$A$2:$A$1001,$A885,$B$2:$B$1001,"&lt;"&amp;$B885)),MAX(INDEX(Accounts!$Q$2:$Q$11,$F885),_xlfn.MAXIFS($C$2:$C$1001,$A$2:$A$1001,$A885,$B$2:$B$1001,"&lt;"&amp;$B885),_xlfn.MAXIFS($D$2:$D$1001,$A$2:$A$1001,$A885,$B$2:$B$1001,"&lt;="&amp;$B885),$C885)))),"")</f>
        <v/>
      </c>
      <c r="H885" s="15">
        <f>IFERROR(IF(G885="","",IF(INDEX(Accounts!$P$2:$P$11,$F885)="static",INDEX(Accounts!$Q$2:$Q$11,$F885)-INDEX(Accounts!$R$2:$R$11,$F885),IF(INDEX(Accounts!$S$2:$S$11,$F885)="NONE",G885-INDEX(Accounts!$R$2:$R$11,$F885),MIN(G885-INDEX(Accounts!$R$2:$R$11,$F885),INDEX(Accounts!$Q$2:$Q$11,$F885)+INDEX(Accounts!$S$2:$S$11,$F885))))),"")</f>
        <v/>
      </c>
      <c r="I885" s="16">
        <f>IF(AND($A885="",$B885="",$C885="",$D885="",$E885=""),"",IF(OR($A885="",$F885=""),"UNKNOWN_ACCOUNT",IF(OR($B885="",$C885=""),"INCOMPLETE",IFERROR(IF(OR(NOT(ISNUMBER($B885)),NOT(ISNUMBER($C885)),IF(C885="",FALSE,IF(ISNUMBER(C885),OR(C885&lt;=0,C885&gt;100000000,ROUND(C885*100,6)&lt;&gt;INT(ROUND(C885*100,6))),TRUE)),IF(D885="",FALSE,IF(ISNUMBER(D885),OR(D885&lt;=0,D885&gt;100000000,ROUND(D885*100,6)&lt;&gt;INT(ROUND(D885*100,6))),TRUE)),IF(E885="",FALSE,IF(ISNUMBER(E885),OR(E885&lt;=0,E885&gt;100000000,ROUND(E885*100,6)&lt;&gt;INT(ROUND(E885*100,6))),TRUE)),AND($D885&lt;&gt;"",$D885&lt;MAX($C885,$E885)),AND($E885&lt;&gt;"",$E885&gt;MIN($C885,IF($D885="",$C885,$D885))),COUNTIFS($A$2:$A$1001,$A885,$B$2:$B$1001,$B885)&gt;1),"INVALID",IFERROR(IF(IF(INDEX(Accounts!$T$2:$T$11,$F885),ROUND(IF($E885="",$C885,MIN($C885,$E885))-(H885),6)&lt;=0,ROUND(IF($E885="",$C885,MIN($C885,$E885))-(H885),6)&lt;0),"BREACHED","OK"),"INCOMPLETE")),"INVALID"))))</f>
        <v/>
      </c>
      <c r="J885" s="33">
        <f>IF(OR(I885="OK",I885="BREACHED"),-INT(ROUND(-(H885)*100,6))/100,I885)</f>
        <v/>
      </c>
    </row>
    <row r="886" ht="18" customHeight="1">
      <c r="A886" s="9" t="n"/>
      <c r="B886" s="32" t="n"/>
      <c r="C886" s="12" t="n"/>
      <c r="D886" s="12" t="n"/>
      <c r="E886" s="12" t="n"/>
      <c r="F886" s="15">
        <f>IFERROR(MATCH($A886,Accounts!$A$2:$A$11,0),"")</f>
        <v/>
      </c>
      <c r="G886" s="14">
        <f>IFERROR(IF(OR($A886="",$F886=""),"",IF(INDEX(Accounts!$P$2:$P$11,$F886)="static",INDEX(Accounts!$Q$2:$Q$11,$F886),IF(INDEX(Accounts!$P$2:$P$11,$F886)="eod_trailing",MAX(INDEX(Accounts!$Q$2:$Q$11,$F886),_xlfn.MAXIFS($C$2:$C$1001,$A$2:$A$1001,$A886,$B$2:$B$1001,"&lt;"&amp;$B886)),MAX(INDEX(Accounts!$Q$2:$Q$11,$F886),_xlfn.MAXIFS($C$2:$C$1001,$A$2:$A$1001,$A886,$B$2:$B$1001,"&lt;"&amp;$B886),_xlfn.MAXIFS($D$2:$D$1001,$A$2:$A$1001,$A886,$B$2:$B$1001,"&lt;="&amp;$B886),$C886)))),"")</f>
        <v/>
      </c>
      <c r="H886" s="15">
        <f>IFERROR(IF(G886="","",IF(INDEX(Accounts!$P$2:$P$11,$F886)="static",INDEX(Accounts!$Q$2:$Q$11,$F886)-INDEX(Accounts!$R$2:$R$11,$F886),IF(INDEX(Accounts!$S$2:$S$11,$F886)="NONE",G886-INDEX(Accounts!$R$2:$R$11,$F886),MIN(G886-INDEX(Accounts!$R$2:$R$11,$F886),INDEX(Accounts!$Q$2:$Q$11,$F886)+INDEX(Accounts!$S$2:$S$11,$F886))))),"")</f>
        <v/>
      </c>
      <c r="I886" s="16">
        <f>IF(AND($A886="",$B886="",$C886="",$D886="",$E886=""),"",IF(OR($A886="",$F886=""),"UNKNOWN_ACCOUNT",IF(OR($B886="",$C886=""),"INCOMPLETE",IFERROR(IF(OR(NOT(ISNUMBER($B886)),NOT(ISNUMBER($C886)),IF(C886="",FALSE,IF(ISNUMBER(C886),OR(C886&lt;=0,C886&gt;100000000,ROUND(C886*100,6)&lt;&gt;INT(ROUND(C886*100,6))),TRUE)),IF(D886="",FALSE,IF(ISNUMBER(D886),OR(D886&lt;=0,D886&gt;100000000,ROUND(D886*100,6)&lt;&gt;INT(ROUND(D886*100,6))),TRUE)),IF(E886="",FALSE,IF(ISNUMBER(E886),OR(E886&lt;=0,E886&gt;100000000,ROUND(E886*100,6)&lt;&gt;INT(ROUND(E886*100,6))),TRUE)),AND($D886&lt;&gt;"",$D886&lt;MAX($C886,$E886)),AND($E886&lt;&gt;"",$E886&gt;MIN($C886,IF($D886="",$C886,$D886))),COUNTIFS($A$2:$A$1001,$A886,$B$2:$B$1001,$B886)&gt;1),"INVALID",IFERROR(IF(IF(INDEX(Accounts!$T$2:$T$11,$F886),ROUND(IF($E886="",$C886,MIN($C886,$E886))-(H886),6)&lt;=0,ROUND(IF($E886="",$C886,MIN($C886,$E886))-(H886),6)&lt;0),"BREACHED","OK"),"INCOMPLETE")),"INVALID"))))</f>
        <v/>
      </c>
      <c r="J886" s="33">
        <f>IF(OR(I886="OK",I886="BREACHED"),-INT(ROUND(-(H886)*100,6))/100,I886)</f>
        <v/>
      </c>
    </row>
    <row r="887" ht="18" customHeight="1">
      <c r="A887" s="9" t="n"/>
      <c r="B887" s="32" t="n"/>
      <c r="C887" s="12" t="n"/>
      <c r="D887" s="12" t="n"/>
      <c r="E887" s="12" t="n"/>
      <c r="F887" s="15">
        <f>IFERROR(MATCH($A887,Accounts!$A$2:$A$11,0),"")</f>
        <v/>
      </c>
      <c r="G887" s="14">
        <f>IFERROR(IF(OR($A887="",$F887=""),"",IF(INDEX(Accounts!$P$2:$P$11,$F887)="static",INDEX(Accounts!$Q$2:$Q$11,$F887),IF(INDEX(Accounts!$P$2:$P$11,$F887)="eod_trailing",MAX(INDEX(Accounts!$Q$2:$Q$11,$F887),_xlfn.MAXIFS($C$2:$C$1001,$A$2:$A$1001,$A887,$B$2:$B$1001,"&lt;"&amp;$B887)),MAX(INDEX(Accounts!$Q$2:$Q$11,$F887),_xlfn.MAXIFS($C$2:$C$1001,$A$2:$A$1001,$A887,$B$2:$B$1001,"&lt;"&amp;$B887),_xlfn.MAXIFS($D$2:$D$1001,$A$2:$A$1001,$A887,$B$2:$B$1001,"&lt;="&amp;$B887),$C887)))),"")</f>
        <v/>
      </c>
      <c r="H887" s="15">
        <f>IFERROR(IF(G887="","",IF(INDEX(Accounts!$P$2:$P$11,$F887)="static",INDEX(Accounts!$Q$2:$Q$11,$F887)-INDEX(Accounts!$R$2:$R$11,$F887),IF(INDEX(Accounts!$S$2:$S$11,$F887)="NONE",G887-INDEX(Accounts!$R$2:$R$11,$F887),MIN(G887-INDEX(Accounts!$R$2:$R$11,$F887),INDEX(Accounts!$Q$2:$Q$11,$F887)+INDEX(Accounts!$S$2:$S$11,$F887))))),"")</f>
        <v/>
      </c>
      <c r="I887" s="16">
        <f>IF(AND($A887="",$B887="",$C887="",$D887="",$E887=""),"",IF(OR($A887="",$F887=""),"UNKNOWN_ACCOUNT",IF(OR($B887="",$C887=""),"INCOMPLETE",IFERROR(IF(OR(NOT(ISNUMBER($B887)),NOT(ISNUMBER($C887)),IF(C887="",FALSE,IF(ISNUMBER(C887),OR(C887&lt;=0,C887&gt;100000000,ROUND(C887*100,6)&lt;&gt;INT(ROUND(C887*100,6))),TRUE)),IF(D887="",FALSE,IF(ISNUMBER(D887),OR(D887&lt;=0,D887&gt;100000000,ROUND(D887*100,6)&lt;&gt;INT(ROUND(D887*100,6))),TRUE)),IF(E887="",FALSE,IF(ISNUMBER(E887),OR(E887&lt;=0,E887&gt;100000000,ROUND(E887*100,6)&lt;&gt;INT(ROUND(E887*100,6))),TRUE)),AND($D887&lt;&gt;"",$D887&lt;MAX($C887,$E887)),AND($E887&lt;&gt;"",$E887&gt;MIN($C887,IF($D887="",$C887,$D887))),COUNTIFS($A$2:$A$1001,$A887,$B$2:$B$1001,$B887)&gt;1),"INVALID",IFERROR(IF(IF(INDEX(Accounts!$T$2:$T$11,$F887),ROUND(IF($E887="",$C887,MIN($C887,$E887))-(H887),6)&lt;=0,ROUND(IF($E887="",$C887,MIN($C887,$E887))-(H887),6)&lt;0),"BREACHED","OK"),"INCOMPLETE")),"INVALID"))))</f>
        <v/>
      </c>
      <c r="J887" s="33">
        <f>IF(OR(I887="OK",I887="BREACHED"),-INT(ROUND(-(H887)*100,6))/100,I887)</f>
        <v/>
      </c>
    </row>
    <row r="888" ht="18" customHeight="1">
      <c r="A888" s="9" t="n"/>
      <c r="B888" s="32" t="n"/>
      <c r="C888" s="12" t="n"/>
      <c r="D888" s="12" t="n"/>
      <c r="E888" s="12" t="n"/>
      <c r="F888" s="15">
        <f>IFERROR(MATCH($A888,Accounts!$A$2:$A$11,0),"")</f>
        <v/>
      </c>
      <c r="G888" s="14">
        <f>IFERROR(IF(OR($A888="",$F888=""),"",IF(INDEX(Accounts!$P$2:$P$11,$F888)="static",INDEX(Accounts!$Q$2:$Q$11,$F888),IF(INDEX(Accounts!$P$2:$P$11,$F888)="eod_trailing",MAX(INDEX(Accounts!$Q$2:$Q$11,$F888),_xlfn.MAXIFS($C$2:$C$1001,$A$2:$A$1001,$A888,$B$2:$B$1001,"&lt;"&amp;$B888)),MAX(INDEX(Accounts!$Q$2:$Q$11,$F888),_xlfn.MAXIFS($C$2:$C$1001,$A$2:$A$1001,$A888,$B$2:$B$1001,"&lt;"&amp;$B888),_xlfn.MAXIFS($D$2:$D$1001,$A$2:$A$1001,$A888,$B$2:$B$1001,"&lt;="&amp;$B888),$C888)))),"")</f>
        <v/>
      </c>
      <c r="H888" s="15">
        <f>IFERROR(IF(G888="","",IF(INDEX(Accounts!$P$2:$P$11,$F888)="static",INDEX(Accounts!$Q$2:$Q$11,$F888)-INDEX(Accounts!$R$2:$R$11,$F888),IF(INDEX(Accounts!$S$2:$S$11,$F888)="NONE",G888-INDEX(Accounts!$R$2:$R$11,$F888),MIN(G888-INDEX(Accounts!$R$2:$R$11,$F888),INDEX(Accounts!$Q$2:$Q$11,$F888)+INDEX(Accounts!$S$2:$S$11,$F888))))),"")</f>
        <v/>
      </c>
      <c r="I888" s="16">
        <f>IF(AND($A888="",$B888="",$C888="",$D888="",$E888=""),"",IF(OR($A888="",$F888=""),"UNKNOWN_ACCOUNT",IF(OR($B888="",$C888=""),"INCOMPLETE",IFERROR(IF(OR(NOT(ISNUMBER($B888)),NOT(ISNUMBER($C888)),IF(C888="",FALSE,IF(ISNUMBER(C888),OR(C888&lt;=0,C888&gt;100000000,ROUND(C888*100,6)&lt;&gt;INT(ROUND(C888*100,6))),TRUE)),IF(D888="",FALSE,IF(ISNUMBER(D888),OR(D888&lt;=0,D888&gt;100000000,ROUND(D888*100,6)&lt;&gt;INT(ROUND(D888*100,6))),TRUE)),IF(E888="",FALSE,IF(ISNUMBER(E888),OR(E888&lt;=0,E888&gt;100000000,ROUND(E888*100,6)&lt;&gt;INT(ROUND(E888*100,6))),TRUE)),AND($D888&lt;&gt;"",$D888&lt;MAX($C888,$E888)),AND($E888&lt;&gt;"",$E888&gt;MIN($C888,IF($D888="",$C888,$D888))),COUNTIFS($A$2:$A$1001,$A888,$B$2:$B$1001,$B888)&gt;1),"INVALID",IFERROR(IF(IF(INDEX(Accounts!$T$2:$T$11,$F888),ROUND(IF($E888="",$C888,MIN($C888,$E888))-(H888),6)&lt;=0,ROUND(IF($E888="",$C888,MIN($C888,$E888))-(H888),6)&lt;0),"BREACHED","OK"),"INCOMPLETE")),"INVALID"))))</f>
        <v/>
      </c>
      <c r="J888" s="33">
        <f>IF(OR(I888="OK",I888="BREACHED"),-INT(ROUND(-(H888)*100,6))/100,I888)</f>
        <v/>
      </c>
    </row>
    <row r="889" ht="18" customHeight="1">
      <c r="A889" s="9" t="n"/>
      <c r="B889" s="32" t="n"/>
      <c r="C889" s="12" t="n"/>
      <c r="D889" s="12" t="n"/>
      <c r="E889" s="12" t="n"/>
      <c r="F889" s="15">
        <f>IFERROR(MATCH($A889,Accounts!$A$2:$A$11,0),"")</f>
        <v/>
      </c>
      <c r="G889" s="14">
        <f>IFERROR(IF(OR($A889="",$F889=""),"",IF(INDEX(Accounts!$P$2:$P$11,$F889)="static",INDEX(Accounts!$Q$2:$Q$11,$F889),IF(INDEX(Accounts!$P$2:$P$11,$F889)="eod_trailing",MAX(INDEX(Accounts!$Q$2:$Q$11,$F889),_xlfn.MAXIFS($C$2:$C$1001,$A$2:$A$1001,$A889,$B$2:$B$1001,"&lt;"&amp;$B889)),MAX(INDEX(Accounts!$Q$2:$Q$11,$F889),_xlfn.MAXIFS($C$2:$C$1001,$A$2:$A$1001,$A889,$B$2:$B$1001,"&lt;"&amp;$B889),_xlfn.MAXIFS($D$2:$D$1001,$A$2:$A$1001,$A889,$B$2:$B$1001,"&lt;="&amp;$B889),$C889)))),"")</f>
        <v/>
      </c>
      <c r="H889" s="15">
        <f>IFERROR(IF(G889="","",IF(INDEX(Accounts!$P$2:$P$11,$F889)="static",INDEX(Accounts!$Q$2:$Q$11,$F889)-INDEX(Accounts!$R$2:$R$11,$F889),IF(INDEX(Accounts!$S$2:$S$11,$F889)="NONE",G889-INDEX(Accounts!$R$2:$R$11,$F889),MIN(G889-INDEX(Accounts!$R$2:$R$11,$F889),INDEX(Accounts!$Q$2:$Q$11,$F889)+INDEX(Accounts!$S$2:$S$11,$F889))))),"")</f>
        <v/>
      </c>
      <c r="I889" s="16">
        <f>IF(AND($A889="",$B889="",$C889="",$D889="",$E889=""),"",IF(OR($A889="",$F889=""),"UNKNOWN_ACCOUNT",IF(OR($B889="",$C889=""),"INCOMPLETE",IFERROR(IF(OR(NOT(ISNUMBER($B889)),NOT(ISNUMBER($C889)),IF(C889="",FALSE,IF(ISNUMBER(C889),OR(C889&lt;=0,C889&gt;100000000,ROUND(C889*100,6)&lt;&gt;INT(ROUND(C889*100,6))),TRUE)),IF(D889="",FALSE,IF(ISNUMBER(D889),OR(D889&lt;=0,D889&gt;100000000,ROUND(D889*100,6)&lt;&gt;INT(ROUND(D889*100,6))),TRUE)),IF(E889="",FALSE,IF(ISNUMBER(E889),OR(E889&lt;=0,E889&gt;100000000,ROUND(E889*100,6)&lt;&gt;INT(ROUND(E889*100,6))),TRUE)),AND($D889&lt;&gt;"",$D889&lt;MAX($C889,$E889)),AND($E889&lt;&gt;"",$E889&gt;MIN($C889,IF($D889="",$C889,$D889))),COUNTIFS($A$2:$A$1001,$A889,$B$2:$B$1001,$B889)&gt;1),"INVALID",IFERROR(IF(IF(INDEX(Accounts!$T$2:$T$11,$F889),ROUND(IF($E889="",$C889,MIN($C889,$E889))-(H889),6)&lt;=0,ROUND(IF($E889="",$C889,MIN($C889,$E889))-(H889),6)&lt;0),"BREACHED","OK"),"INCOMPLETE")),"INVALID"))))</f>
        <v/>
      </c>
      <c r="J889" s="33">
        <f>IF(OR(I889="OK",I889="BREACHED"),-INT(ROUND(-(H889)*100,6))/100,I889)</f>
        <v/>
      </c>
    </row>
    <row r="890" ht="18" customHeight="1">
      <c r="A890" s="9" t="n"/>
      <c r="B890" s="32" t="n"/>
      <c r="C890" s="12" t="n"/>
      <c r="D890" s="12" t="n"/>
      <c r="E890" s="12" t="n"/>
      <c r="F890" s="15">
        <f>IFERROR(MATCH($A890,Accounts!$A$2:$A$11,0),"")</f>
        <v/>
      </c>
      <c r="G890" s="14">
        <f>IFERROR(IF(OR($A890="",$F890=""),"",IF(INDEX(Accounts!$P$2:$P$11,$F890)="static",INDEX(Accounts!$Q$2:$Q$11,$F890),IF(INDEX(Accounts!$P$2:$P$11,$F890)="eod_trailing",MAX(INDEX(Accounts!$Q$2:$Q$11,$F890),_xlfn.MAXIFS($C$2:$C$1001,$A$2:$A$1001,$A890,$B$2:$B$1001,"&lt;"&amp;$B890)),MAX(INDEX(Accounts!$Q$2:$Q$11,$F890),_xlfn.MAXIFS($C$2:$C$1001,$A$2:$A$1001,$A890,$B$2:$B$1001,"&lt;"&amp;$B890),_xlfn.MAXIFS($D$2:$D$1001,$A$2:$A$1001,$A890,$B$2:$B$1001,"&lt;="&amp;$B890),$C890)))),"")</f>
        <v/>
      </c>
      <c r="H890" s="15">
        <f>IFERROR(IF(G890="","",IF(INDEX(Accounts!$P$2:$P$11,$F890)="static",INDEX(Accounts!$Q$2:$Q$11,$F890)-INDEX(Accounts!$R$2:$R$11,$F890),IF(INDEX(Accounts!$S$2:$S$11,$F890)="NONE",G890-INDEX(Accounts!$R$2:$R$11,$F890),MIN(G890-INDEX(Accounts!$R$2:$R$11,$F890),INDEX(Accounts!$Q$2:$Q$11,$F890)+INDEX(Accounts!$S$2:$S$11,$F890))))),"")</f>
        <v/>
      </c>
      <c r="I890" s="16">
        <f>IF(AND($A890="",$B890="",$C890="",$D890="",$E890=""),"",IF(OR($A890="",$F890=""),"UNKNOWN_ACCOUNT",IF(OR($B890="",$C890=""),"INCOMPLETE",IFERROR(IF(OR(NOT(ISNUMBER($B890)),NOT(ISNUMBER($C890)),IF(C890="",FALSE,IF(ISNUMBER(C890),OR(C890&lt;=0,C890&gt;100000000,ROUND(C890*100,6)&lt;&gt;INT(ROUND(C890*100,6))),TRUE)),IF(D890="",FALSE,IF(ISNUMBER(D890),OR(D890&lt;=0,D890&gt;100000000,ROUND(D890*100,6)&lt;&gt;INT(ROUND(D890*100,6))),TRUE)),IF(E890="",FALSE,IF(ISNUMBER(E890),OR(E890&lt;=0,E890&gt;100000000,ROUND(E890*100,6)&lt;&gt;INT(ROUND(E890*100,6))),TRUE)),AND($D890&lt;&gt;"",$D890&lt;MAX($C890,$E890)),AND($E890&lt;&gt;"",$E890&gt;MIN($C890,IF($D890="",$C890,$D890))),COUNTIFS($A$2:$A$1001,$A890,$B$2:$B$1001,$B890)&gt;1),"INVALID",IFERROR(IF(IF(INDEX(Accounts!$T$2:$T$11,$F890),ROUND(IF($E890="",$C890,MIN($C890,$E890))-(H890),6)&lt;=0,ROUND(IF($E890="",$C890,MIN($C890,$E890))-(H890),6)&lt;0),"BREACHED","OK"),"INCOMPLETE")),"INVALID"))))</f>
        <v/>
      </c>
      <c r="J890" s="33">
        <f>IF(OR(I890="OK",I890="BREACHED"),-INT(ROUND(-(H890)*100,6))/100,I890)</f>
        <v/>
      </c>
    </row>
    <row r="891" ht="18" customHeight="1">
      <c r="A891" s="9" t="n"/>
      <c r="B891" s="32" t="n"/>
      <c r="C891" s="12" t="n"/>
      <c r="D891" s="12" t="n"/>
      <c r="E891" s="12" t="n"/>
      <c r="F891" s="15">
        <f>IFERROR(MATCH($A891,Accounts!$A$2:$A$11,0),"")</f>
        <v/>
      </c>
      <c r="G891" s="14">
        <f>IFERROR(IF(OR($A891="",$F891=""),"",IF(INDEX(Accounts!$P$2:$P$11,$F891)="static",INDEX(Accounts!$Q$2:$Q$11,$F891),IF(INDEX(Accounts!$P$2:$P$11,$F891)="eod_trailing",MAX(INDEX(Accounts!$Q$2:$Q$11,$F891),_xlfn.MAXIFS($C$2:$C$1001,$A$2:$A$1001,$A891,$B$2:$B$1001,"&lt;"&amp;$B891)),MAX(INDEX(Accounts!$Q$2:$Q$11,$F891),_xlfn.MAXIFS($C$2:$C$1001,$A$2:$A$1001,$A891,$B$2:$B$1001,"&lt;"&amp;$B891),_xlfn.MAXIFS($D$2:$D$1001,$A$2:$A$1001,$A891,$B$2:$B$1001,"&lt;="&amp;$B891),$C891)))),"")</f>
        <v/>
      </c>
      <c r="H891" s="15">
        <f>IFERROR(IF(G891="","",IF(INDEX(Accounts!$P$2:$P$11,$F891)="static",INDEX(Accounts!$Q$2:$Q$11,$F891)-INDEX(Accounts!$R$2:$R$11,$F891),IF(INDEX(Accounts!$S$2:$S$11,$F891)="NONE",G891-INDEX(Accounts!$R$2:$R$11,$F891),MIN(G891-INDEX(Accounts!$R$2:$R$11,$F891),INDEX(Accounts!$Q$2:$Q$11,$F891)+INDEX(Accounts!$S$2:$S$11,$F891))))),"")</f>
        <v/>
      </c>
      <c r="I891" s="16">
        <f>IF(AND($A891="",$B891="",$C891="",$D891="",$E891=""),"",IF(OR($A891="",$F891=""),"UNKNOWN_ACCOUNT",IF(OR($B891="",$C891=""),"INCOMPLETE",IFERROR(IF(OR(NOT(ISNUMBER($B891)),NOT(ISNUMBER($C891)),IF(C891="",FALSE,IF(ISNUMBER(C891),OR(C891&lt;=0,C891&gt;100000000,ROUND(C891*100,6)&lt;&gt;INT(ROUND(C891*100,6))),TRUE)),IF(D891="",FALSE,IF(ISNUMBER(D891),OR(D891&lt;=0,D891&gt;100000000,ROUND(D891*100,6)&lt;&gt;INT(ROUND(D891*100,6))),TRUE)),IF(E891="",FALSE,IF(ISNUMBER(E891),OR(E891&lt;=0,E891&gt;100000000,ROUND(E891*100,6)&lt;&gt;INT(ROUND(E891*100,6))),TRUE)),AND($D891&lt;&gt;"",$D891&lt;MAX($C891,$E891)),AND($E891&lt;&gt;"",$E891&gt;MIN($C891,IF($D891="",$C891,$D891))),COUNTIFS($A$2:$A$1001,$A891,$B$2:$B$1001,$B891)&gt;1),"INVALID",IFERROR(IF(IF(INDEX(Accounts!$T$2:$T$11,$F891),ROUND(IF($E891="",$C891,MIN($C891,$E891))-(H891),6)&lt;=0,ROUND(IF($E891="",$C891,MIN($C891,$E891))-(H891),6)&lt;0),"BREACHED","OK"),"INCOMPLETE")),"INVALID"))))</f>
        <v/>
      </c>
      <c r="J891" s="33">
        <f>IF(OR(I891="OK",I891="BREACHED"),-INT(ROUND(-(H891)*100,6))/100,I891)</f>
        <v/>
      </c>
    </row>
    <row r="892" ht="18" customHeight="1">
      <c r="A892" s="9" t="n"/>
      <c r="B892" s="32" t="n"/>
      <c r="C892" s="12" t="n"/>
      <c r="D892" s="12" t="n"/>
      <c r="E892" s="12" t="n"/>
      <c r="F892" s="15">
        <f>IFERROR(MATCH($A892,Accounts!$A$2:$A$11,0),"")</f>
        <v/>
      </c>
      <c r="G892" s="14">
        <f>IFERROR(IF(OR($A892="",$F892=""),"",IF(INDEX(Accounts!$P$2:$P$11,$F892)="static",INDEX(Accounts!$Q$2:$Q$11,$F892),IF(INDEX(Accounts!$P$2:$P$11,$F892)="eod_trailing",MAX(INDEX(Accounts!$Q$2:$Q$11,$F892),_xlfn.MAXIFS($C$2:$C$1001,$A$2:$A$1001,$A892,$B$2:$B$1001,"&lt;"&amp;$B892)),MAX(INDEX(Accounts!$Q$2:$Q$11,$F892),_xlfn.MAXIFS($C$2:$C$1001,$A$2:$A$1001,$A892,$B$2:$B$1001,"&lt;"&amp;$B892),_xlfn.MAXIFS($D$2:$D$1001,$A$2:$A$1001,$A892,$B$2:$B$1001,"&lt;="&amp;$B892),$C892)))),"")</f>
        <v/>
      </c>
      <c r="H892" s="15">
        <f>IFERROR(IF(G892="","",IF(INDEX(Accounts!$P$2:$P$11,$F892)="static",INDEX(Accounts!$Q$2:$Q$11,$F892)-INDEX(Accounts!$R$2:$R$11,$F892),IF(INDEX(Accounts!$S$2:$S$11,$F892)="NONE",G892-INDEX(Accounts!$R$2:$R$11,$F892),MIN(G892-INDEX(Accounts!$R$2:$R$11,$F892),INDEX(Accounts!$Q$2:$Q$11,$F892)+INDEX(Accounts!$S$2:$S$11,$F892))))),"")</f>
        <v/>
      </c>
      <c r="I892" s="16">
        <f>IF(AND($A892="",$B892="",$C892="",$D892="",$E892=""),"",IF(OR($A892="",$F892=""),"UNKNOWN_ACCOUNT",IF(OR($B892="",$C892=""),"INCOMPLETE",IFERROR(IF(OR(NOT(ISNUMBER($B892)),NOT(ISNUMBER($C892)),IF(C892="",FALSE,IF(ISNUMBER(C892),OR(C892&lt;=0,C892&gt;100000000,ROUND(C892*100,6)&lt;&gt;INT(ROUND(C892*100,6))),TRUE)),IF(D892="",FALSE,IF(ISNUMBER(D892),OR(D892&lt;=0,D892&gt;100000000,ROUND(D892*100,6)&lt;&gt;INT(ROUND(D892*100,6))),TRUE)),IF(E892="",FALSE,IF(ISNUMBER(E892),OR(E892&lt;=0,E892&gt;100000000,ROUND(E892*100,6)&lt;&gt;INT(ROUND(E892*100,6))),TRUE)),AND($D892&lt;&gt;"",$D892&lt;MAX($C892,$E892)),AND($E892&lt;&gt;"",$E892&gt;MIN($C892,IF($D892="",$C892,$D892))),COUNTIFS($A$2:$A$1001,$A892,$B$2:$B$1001,$B892)&gt;1),"INVALID",IFERROR(IF(IF(INDEX(Accounts!$T$2:$T$11,$F892),ROUND(IF($E892="",$C892,MIN($C892,$E892))-(H892),6)&lt;=0,ROUND(IF($E892="",$C892,MIN($C892,$E892))-(H892),6)&lt;0),"BREACHED","OK"),"INCOMPLETE")),"INVALID"))))</f>
        <v/>
      </c>
      <c r="J892" s="33">
        <f>IF(OR(I892="OK",I892="BREACHED"),-INT(ROUND(-(H892)*100,6))/100,I892)</f>
        <v/>
      </c>
    </row>
    <row r="893" ht="18" customHeight="1">
      <c r="A893" s="9" t="n"/>
      <c r="B893" s="32" t="n"/>
      <c r="C893" s="12" t="n"/>
      <c r="D893" s="12" t="n"/>
      <c r="E893" s="12" t="n"/>
      <c r="F893" s="15">
        <f>IFERROR(MATCH($A893,Accounts!$A$2:$A$11,0),"")</f>
        <v/>
      </c>
      <c r="G893" s="14">
        <f>IFERROR(IF(OR($A893="",$F893=""),"",IF(INDEX(Accounts!$P$2:$P$11,$F893)="static",INDEX(Accounts!$Q$2:$Q$11,$F893),IF(INDEX(Accounts!$P$2:$P$11,$F893)="eod_trailing",MAX(INDEX(Accounts!$Q$2:$Q$11,$F893),_xlfn.MAXIFS($C$2:$C$1001,$A$2:$A$1001,$A893,$B$2:$B$1001,"&lt;"&amp;$B893)),MAX(INDEX(Accounts!$Q$2:$Q$11,$F893),_xlfn.MAXIFS($C$2:$C$1001,$A$2:$A$1001,$A893,$B$2:$B$1001,"&lt;"&amp;$B893),_xlfn.MAXIFS($D$2:$D$1001,$A$2:$A$1001,$A893,$B$2:$B$1001,"&lt;="&amp;$B893),$C893)))),"")</f>
        <v/>
      </c>
      <c r="H893" s="15">
        <f>IFERROR(IF(G893="","",IF(INDEX(Accounts!$P$2:$P$11,$F893)="static",INDEX(Accounts!$Q$2:$Q$11,$F893)-INDEX(Accounts!$R$2:$R$11,$F893),IF(INDEX(Accounts!$S$2:$S$11,$F893)="NONE",G893-INDEX(Accounts!$R$2:$R$11,$F893),MIN(G893-INDEX(Accounts!$R$2:$R$11,$F893),INDEX(Accounts!$Q$2:$Q$11,$F893)+INDEX(Accounts!$S$2:$S$11,$F893))))),"")</f>
        <v/>
      </c>
      <c r="I893" s="16">
        <f>IF(AND($A893="",$B893="",$C893="",$D893="",$E893=""),"",IF(OR($A893="",$F893=""),"UNKNOWN_ACCOUNT",IF(OR($B893="",$C893=""),"INCOMPLETE",IFERROR(IF(OR(NOT(ISNUMBER($B893)),NOT(ISNUMBER($C893)),IF(C893="",FALSE,IF(ISNUMBER(C893),OR(C893&lt;=0,C893&gt;100000000,ROUND(C893*100,6)&lt;&gt;INT(ROUND(C893*100,6))),TRUE)),IF(D893="",FALSE,IF(ISNUMBER(D893),OR(D893&lt;=0,D893&gt;100000000,ROUND(D893*100,6)&lt;&gt;INT(ROUND(D893*100,6))),TRUE)),IF(E893="",FALSE,IF(ISNUMBER(E893),OR(E893&lt;=0,E893&gt;100000000,ROUND(E893*100,6)&lt;&gt;INT(ROUND(E893*100,6))),TRUE)),AND($D893&lt;&gt;"",$D893&lt;MAX($C893,$E893)),AND($E893&lt;&gt;"",$E893&gt;MIN($C893,IF($D893="",$C893,$D893))),COUNTIFS($A$2:$A$1001,$A893,$B$2:$B$1001,$B893)&gt;1),"INVALID",IFERROR(IF(IF(INDEX(Accounts!$T$2:$T$11,$F893),ROUND(IF($E893="",$C893,MIN($C893,$E893))-(H893),6)&lt;=0,ROUND(IF($E893="",$C893,MIN($C893,$E893))-(H893),6)&lt;0),"BREACHED","OK"),"INCOMPLETE")),"INVALID"))))</f>
        <v/>
      </c>
      <c r="J893" s="33">
        <f>IF(OR(I893="OK",I893="BREACHED"),-INT(ROUND(-(H893)*100,6))/100,I893)</f>
        <v/>
      </c>
    </row>
    <row r="894" ht="18" customHeight="1">
      <c r="A894" s="9" t="n"/>
      <c r="B894" s="32" t="n"/>
      <c r="C894" s="12" t="n"/>
      <c r="D894" s="12" t="n"/>
      <c r="E894" s="12" t="n"/>
      <c r="F894" s="15">
        <f>IFERROR(MATCH($A894,Accounts!$A$2:$A$11,0),"")</f>
        <v/>
      </c>
      <c r="G894" s="14">
        <f>IFERROR(IF(OR($A894="",$F894=""),"",IF(INDEX(Accounts!$P$2:$P$11,$F894)="static",INDEX(Accounts!$Q$2:$Q$11,$F894),IF(INDEX(Accounts!$P$2:$P$11,$F894)="eod_trailing",MAX(INDEX(Accounts!$Q$2:$Q$11,$F894),_xlfn.MAXIFS($C$2:$C$1001,$A$2:$A$1001,$A894,$B$2:$B$1001,"&lt;"&amp;$B894)),MAX(INDEX(Accounts!$Q$2:$Q$11,$F894),_xlfn.MAXIFS($C$2:$C$1001,$A$2:$A$1001,$A894,$B$2:$B$1001,"&lt;"&amp;$B894),_xlfn.MAXIFS($D$2:$D$1001,$A$2:$A$1001,$A894,$B$2:$B$1001,"&lt;="&amp;$B894),$C894)))),"")</f>
        <v/>
      </c>
      <c r="H894" s="15">
        <f>IFERROR(IF(G894="","",IF(INDEX(Accounts!$P$2:$P$11,$F894)="static",INDEX(Accounts!$Q$2:$Q$11,$F894)-INDEX(Accounts!$R$2:$R$11,$F894),IF(INDEX(Accounts!$S$2:$S$11,$F894)="NONE",G894-INDEX(Accounts!$R$2:$R$11,$F894),MIN(G894-INDEX(Accounts!$R$2:$R$11,$F894),INDEX(Accounts!$Q$2:$Q$11,$F894)+INDEX(Accounts!$S$2:$S$11,$F894))))),"")</f>
        <v/>
      </c>
      <c r="I894" s="16">
        <f>IF(AND($A894="",$B894="",$C894="",$D894="",$E894=""),"",IF(OR($A894="",$F894=""),"UNKNOWN_ACCOUNT",IF(OR($B894="",$C894=""),"INCOMPLETE",IFERROR(IF(OR(NOT(ISNUMBER($B894)),NOT(ISNUMBER($C894)),IF(C894="",FALSE,IF(ISNUMBER(C894),OR(C894&lt;=0,C894&gt;100000000,ROUND(C894*100,6)&lt;&gt;INT(ROUND(C894*100,6))),TRUE)),IF(D894="",FALSE,IF(ISNUMBER(D894),OR(D894&lt;=0,D894&gt;100000000,ROUND(D894*100,6)&lt;&gt;INT(ROUND(D894*100,6))),TRUE)),IF(E894="",FALSE,IF(ISNUMBER(E894),OR(E894&lt;=0,E894&gt;100000000,ROUND(E894*100,6)&lt;&gt;INT(ROUND(E894*100,6))),TRUE)),AND($D894&lt;&gt;"",$D894&lt;MAX($C894,$E894)),AND($E894&lt;&gt;"",$E894&gt;MIN($C894,IF($D894="",$C894,$D894))),COUNTIFS($A$2:$A$1001,$A894,$B$2:$B$1001,$B894)&gt;1),"INVALID",IFERROR(IF(IF(INDEX(Accounts!$T$2:$T$11,$F894),ROUND(IF($E894="",$C894,MIN($C894,$E894))-(H894),6)&lt;=0,ROUND(IF($E894="",$C894,MIN($C894,$E894))-(H894),6)&lt;0),"BREACHED","OK"),"INCOMPLETE")),"INVALID"))))</f>
        <v/>
      </c>
      <c r="J894" s="33">
        <f>IF(OR(I894="OK",I894="BREACHED"),-INT(ROUND(-(H894)*100,6))/100,I894)</f>
        <v/>
      </c>
    </row>
    <row r="895" ht="18" customHeight="1">
      <c r="A895" s="9" t="n"/>
      <c r="B895" s="32" t="n"/>
      <c r="C895" s="12" t="n"/>
      <c r="D895" s="12" t="n"/>
      <c r="E895" s="12" t="n"/>
      <c r="F895" s="15">
        <f>IFERROR(MATCH($A895,Accounts!$A$2:$A$11,0),"")</f>
        <v/>
      </c>
      <c r="G895" s="14">
        <f>IFERROR(IF(OR($A895="",$F895=""),"",IF(INDEX(Accounts!$P$2:$P$11,$F895)="static",INDEX(Accounts!$Q$2:$Q$11,$F895),IF(INDEX(Accounts!$P$2:$P$11,$F895)="eod_trailing",MAX(INDEX(Accounts!$Q$2:$Q$11,$F895),_xlfn.MAXIFS($C$2:$C$1001,$A$2:$A$1001,$A895,$B$2:$B$1001,"&lt;"&amp;$B895)),MAX(INDEX(Accounts!$Q$2:$Q$11,$F895),_xlfn.MAXIFS($C$2:$C$1001,$A$2:$A$1001,$A895,$B$2:$B$1001,"&lt;"&amp;$B895),_xlfn.MAXIFS($D$2:$D$1001,$A$2:$A$1001,$A895,$B$2:$B$1001,"&lt;="&amp;$B895),$C895)))),"")</f>
        <v/>
      </c>
      <c r="H895" s="15">
        <f>IFERROR(IF(G895="","",IF(INDEX(Accounts!$P$2:$P$11,$F895)="static",INDEX(Accounts!$Q$2:$Q$11,$F895)-INDEX(Accounts!$R$2:$R$11,$F895),IF(INDEX(Accounts!$S$2:$S$11,$F895)="NONE",G895-INDEX(Accounts!$R$2:$R$11,$F895),MIN(G895-INDEX(Accounts!$R$2:$R$11,$F895),INDEX(Accounts!$Q$2:$Q$11,$F895)+INDEX(Accounts!$S$2:$S$11,$F895))))),"")</f>
        <v/>
      </c>
      <c r="I895" s="16">
        <f>IF(AND($A895="",$B895="",$C895="",$D895="",$E895=""),"",IF(OR($A895="",$F895=""),"UNKNOWN_ACCOUNT",IF(OR($B895="",$C895=""),"INCOMPLETE",IFERROR(IF(OR(NOT(ISNUMBER($B895)),NOT(ISNUMBER($C895)),IF(C895="",FALSE,IF(ISNUMBER(C895),OR(C895&lt;=0,C895&gt;100000000,ROUND(C895*100,6)&lt;&gt;INT(ROUND(C895*100,6))),TRUE)),IF(D895="",FALSE,IF(ISNUMBER(D895),OR(D895&lt;=0,D895&gt;100000000,ROUND(D895*100,6)&lt;&gt;INT(ROUND(D895*100,6))),TRUE)),IF(E895="",FALSE,IF(ISNUMBER(E895),OR(E895&lt;=0,E895&gt;100000000,ROUND(E895*100,6)&lt;&gt;INT(ROUND(E895*100,6))),TRUE)),AND($D895&lt;&gt;"",$D895&lt;MAX($C895,$E895)),AND($E895&lt;&gt;"",$E895&gt;MIN($C895,IF($D895="",$C895,$D895))),COUNTIFS($A$2:$A$1001,$A895,$B$2:$B$1001,$B895)&gt;1),"INVALID",IFERROR(IF(IF(INDEX(Accounts!$T$2:$T$11,$F895),ROUND(IF($E895="",$C895,MIN($C895,$E895))-(H895),6)&lt;=0,ROUND(IF($E895="",$C895,MIN($C895,$E895))-(H895),6)&lt;0),"BREACHED","OK"),"INCOMPLETE")),"INVALID"))))</f>
        <v/>
      </c>
      <c r="J895" s="33">
        <f>IF(OR(I895="OK",I895="BREACHED"),-INT(ROUND(-(H895)*100,6))/100,I895)</f>
        <v/>
      </c>
    </row>
    <row r="896" ht="18" customHeight="1">
      <c r="A896" s="9" t="n"/>
      <c r="B896" s="32" t="n"/>
      <c r="C896" s="12" t="n"/>
      <c r="D896" s="12" t="n"/>
      <c r="E896" s="12" t="n"/>
      <c r="F896" s="15">
        <f>IFERROR(MATCH($A896,Accounts!$A$2:$A$11,0),"")</f>
        <v/>
      </c>
      <c r="G896" s="14">
        <f>IFERROR(IF(OR($A896="",$F896=""),"",IF(INDEX(Accounts!$P$2:$P$11,$F896)="static",INDEX(Accounts!$Q$2:$Q$11,$F896),IF(INDEX(Accounts!$P$2:$P$11,$F896)="eod_trailing",MAX(INDEX(Accounts!$Q$2:$Q$11,$F896),_xlfn.MAXIFS($C$2:$C$1001,$A$2:$A$1001,$A896,$B$2:$B$1001,"&lt;"&amp;$B896)),MAX(INDEX(Accounts!$Q$2:$Q$11,$F896),_xlfn.MAXIFS($C$2:$C$1001,$A$2:$A$1001,$A896,$B$2:$B$1001,"&lt;"&amp;$B896),_xlfn.MAXIFS($D$2:$D$1001,$A$2:$A$1001,$A896,$B$2:$B$1001,"&lt;="&amp;$B896),$C896)))),"")</f>
        <v/>
      </c>
      <c r="H896" s="15">
        <f>IFERROR(IF(G896="","",IF(INDEX(Accounts!$P$2:$P$11,$F896)="static",INDEX(Accounts!$Q$2:$Q$11,$F896)-INDEX(Accounts!$R$2:$R$11,$F896),IF(INDEX(Accounts!$S$2:$S$11,$F896)="NONE",G896-INDEX(Accounts!$R$2:$R$11,$F896),MIN(G896-INDEX(Accounts!$R$2:$R$11,$F896),INDEX(Accounts!$Q$2:$Q$11,$F896)+INDEX(Accounts!$S$2:$S$11,$F896))))),"")</f>
        <v/>
      </c>
      <c r="I896" s="16">
        <f>IF(AND($A896="",$B896="",$C896="",$D896="",$E896=""),"",IF(OR($A896="",$F896=""),"UNKNOWN_ACCOUNT",IF(OR($B896="",$C896=""),"INCOMPLETE",IFERROR(IF(OR(NOT(ISNUMBER($B896)),NOT(ISNUMBER($C896)),IF(C896="",FALSE,IF(ISNUMBER(C896),OR(C896&lt;=0,C896&gt;100000000,ROUND(C896*100,6)&lt;&gt;INT(ROUND(C896*100,6))),TRUE)),IF(D896="",FALSE,IF(ISNUMBER(D896),OR(D896&lt;=0,D896&gt;100000000,ROUND(D896*100,6)&lt;&gt;INT(ROUND(D896*100,6))),TRUE)),IF(E896="",FALSE,IF(ISNUMBER(E896),OR(E896&lt;=0,E896&gt;100000000,ROUND(E896*100,6)&lt;&gt;INT(ROUND(E896*100,6))),TRUE)),AND($D896&lt;&gt;"",$D896&lt;MAX($C896,$E896)),AND($E896&lt;&gt;"",$E896&gt;MIN($C896,IF($D896="",$C896,$D896))),COUNTIFS($A$2:$A$1001,$A896,$B$2:$B$1001,$B896)&gt;1),"INVALID",IFERROR(IF(IF(INDEX(Accounts!$T$2:$T$11,$F896),ROUND(IF($E896="",$C896,MIN($C896,$E896))-(H896),6)&lt;=0,ROUND(IF($E896="",$C896,MIN($C896,$E896))-(H896),6)&lt;0),"BREACHED","OK"),"INCOMPLETE")),"INVALID"))))</f>
        <v/>
      </c>
      <c r="J896" s="33">
        <f>IF(OR(I896="OK",I896="BREACHED"),-INT(ROUND(-(H896)*100,6))/100,I896)</f>
        <v/>
      </c>
    </row>
    <row r="897" ht="18" customHeight="1">
      <c r="A897" s="9" t="n"/>
      <c r="B897" s="32" t="n"/>
      <c r="C897" s="12" t="n"/>
      <c r="D897" s="12" t="n"/>
      <c r="E897" s="12" t="n"/>
      <c r="F897" s="15">
        <f>IFERROR(MATCH($A897,Accounts!$A$2:$A$11,0),"")</f>
        <v/>
      </c>
      <c r="G897" s="14">
        <f>IFERROR(IF(OR($A897="",$F897=""),"",IF(INDEX(Accounts!$P$2:$P$11,$F897)="static",INDEX(Accounts!$Q$2:$Q$11,$F897),IF(INDEX(Accounts!$P$2:$P$11,$F897)="eod_trailing",MAX(INDEX(Accounts!$Q$2:$Q$11,$F897),_xlfn.MAXIFS($C$2:$C$1001,$A$2:$A$1001,$A897,$B$2:$B$1001,"&lt;"&amp;$B897)),MAX(INDEX(Accounts!$Q$2:$Q$11,$F897),_xlfn.MAXIFS($C$2:$C$1001,$A$2:$A$1001,$A897,$B$2:$B$1001,"&lt;"&amp;$B897),_xlfn.MAXIFS($D$2:$D$1001,$A$2:$A$1001,$A897,$B$2:$B$1001,"&lt;="&amp;$B897),$C897)))),"")</f>
        <v/>
      </c>
      <c r="H897" s="15">
        <f>IFERROR(IF(G897="","",IF(INDEX(Accounts!$P$2:$P$11,$F897)="static",INDEX(Accounts!$Q$2:$Q$11,$F897)-INDEX(Accounts!$R$2:$R$11,$F897),IF(INDEX(Accounts!$S$2:$S$11,$F897)="NONE",G897-INDEX(Accounts!$R$2:$R$11,$F897),MIN(G897-INDEX(Accounts!$R$2:$R$11,$F897),INDEX(Accounts!$Q$2:$Q$11,$F897)+INDEX(Accounts!$S$2:$S$11,$F897))))),"")</f>
        <v/>
      </c>
      <c r="I897" s="16">
        <f>IF(AND($A897="",$B897="",$C897="",$D897="",$E897=""),"",IF(OR($A897="",$F897=""),"UNKNOWN_ACCOUNT",IF(OR($B897="",$C897=""),"INCOMPLETE",IFERROR(IF(OR(NOT(ISNUMBER($B897)),NOT(ISNUMBER($C897)),IF(C897="",FALSE,IF(ISNUMBER(C897),OR(C897&lt;=0,C897&gt;100000000,ROUND(C897*100,6)&lt;&gt;INT(ROUND(C897*100,6))),TRUE)),IF(D897="",FALSE,IF(ISNUMBER(D897),OR(D897&lt;=0,D897&gt;100000000,ROUND(D897*100,6)&lt;&gt;INT(ROUND(D897*100,6))),TRUE)),IF(E897="",FALSE,IF(ISNUMBER(E897),OR(E897&lt;=0,E897&gt;100000000,ROUND(E897*100,6)&lt;&gt;INT(ROUND(E897*100,6))),TRUE)),AND($D897&lt;&gt;"",$D897&lt;MAX($C897,$E897)),AND($E897&lt;&gt;"",$E897&gt;MIN($C897,IF($D897="",$C897,$D897))),COUNTIFS($A$2:$A$1001,$A897,$B$2:$B$1001,$B897)&gt;1),"INVALID",IFERROR(IF(IF(INDEX(Accounts!$T$2:$T$11,$F897),ROUND(IF($E897="",$C897,MIN($C897,$E897))-(H897),6)&lt;=0,ROUND(IF($E897="",$C897,MIN($C897,$E897))-(H897),6)&lt;0),"BREACHED","OK"),"INCOMPLETE")),"INVALID"))))</f>
        <v/>
      </c>
      <c r="J897" s="33">
        <f>IF(OR(I897="OK",I897="BREACHED"),-INT(ROUND(-(H897)*100,6))/100,I897)</f>
        <v/>
      </c>
    </row>
    <row r="898" ht="18" customHeight="1">
      <c r="A898" s="9" t="n"/>
      <c r="B898" s="32" t="n"/>
      <c r="C898" s="12" t="n"/>
      <c r="D898" s="12" t="n"/>
      <c r="E898" s="12" t="n"/>
      <c r="F898" s="15">
        <f>IFERROR(MATCH($A898,Accounts!$A$2:$A$11,0),"")</f>
        <v/>
      </c>
      <c r="G898" s="14">
        <f>IFERROR(IF(OR($A898="",$F898=""),"",IF(INDEX(Accounts!$P$2:$P$11,$F898)="static",INDEX(Accounts!$Q$2:$Q$11,$F898),IF(INDEX(Accounts!$P$2:$P$11,$F898)="eod_trailing",MAX(INDEX(Accounts!$Q$2:$Q$11,$F898),_xlfn.MAXIFS($C$2:$C$1001,$A$2:$A$1001,$A898,$B$2:$B$1001,"&lt;"&amp;$B898)),MAX(INDEX(Accounts!$Q$2:$Q$11,$F898),_xlfn.MAXIFS($C$2:$C$1001,$A$2:$A$1001,$A898,$B$2:$B$1001,"&lt;"&amp;$B898),_xlfn.MAXIFS($D$2:$D$1001,$A$2:$A$1001,$A898,$B$2:$B$1001,"&lt;="&amp;$B898),$C898)))),"")</f>
        <v/>
      </c>
      <c r="H898" s="15">
        <f>IFERROR(IF(G898="","",IF(INDEX(Accounts!$P$2:$P$11,$F898)="static",INDEX(Accounts!$Q$2:$Q$11,$F898)-INDEX(Accounts!$R$2:$R$11,$F898),IF(INDEX(Accounts!$S$2:$S$11,$F898)="NONE",G898-INDEX(Accounts!$R$2:$R$11,$F898),MIN(G898-INDEX(Accounts!$R$2:$R$11,$F898),INDEX(Accounts!$Q$2:$Q$11,$F898)+INDEX(Accounts!$S$2:$S$11,$F898))))),"")</f>
        <v/>
      </c>
      <c r="I898" s="16">
        <f>IF(AND($A898="",$B898="",$C898="",$D898="",$E898=""),"",IF(OR($A898="",$F898=""),"UNKNOWN_ACCOUNT",IF(OR($B898="",$C898=""),"INCOMPLETE",IFERROR(IF(OR(NOT(ISNUMBER($B898)),NOT(ISNUMBER($C898)),IF(C898="",FALSE,IF(ISNUMBER(C898),OR(C898&lt;=0,C898&gt;100000000,ROUND(C898*100,6)&lt;&gt;INT(ROUND(C898*100,6))),TRUE)),IF(D898="",FALSE,IF(ISNUMBER(D898),OR(D898&lt;=0,D898&gt;100000000,ROUND(D898*100,6)&lt;&gt;INT(ROUND(D898*100,6))),TRUE)),IF(E898="",FALSE,IF(ISNUMBER(E898),OR(E898&lt;=0,E898&gt;100000000,ROUND(E898*100,6)&lt;&gt;INT(ROUND(E898*100,6))),TRUE)),AND($D898&lt;&gt;"",$D898&lt;MAX($C898,$E898)),AND($E898&lt;&gt;"",$E898&gt;MIN($C898,IF($D898="",$C898,$D898))),COUNTIFS($A$2:$A$1001,$A898,$B$2:$B$1001,$B898)&gt;1),"INVALID",IFERROR(IF(IF(INDEX(Accounts!$T$2:$T$11,$F898),ROUND(IF($E898="",$C898,MIN($C898,$E898))-(H898),6)&lt;=0,ROUND(IF($E898="",$C898,MIN($C898,$E898))-(H898),6)&lt;0),"BREACHED","OK"),"INCOMPLETE")),"INVALID"))))</f>
        <v/>
      </c>
      <c r="J898" s="33">
        <f>IF(OR(I898="OK",I898="BREACHED"),-INT(ROUND(-(H898)*100,6))/100,I898)</f>
        <v/>
      </c>
    </row>
    <row r="899" ht="18" customHeight="1">
      <c r="A899" s="9" t="n"/>
      <c r="B899" s="32" t="n"/>
      <c r="C899" s="12" t="n"/>
      <c r="D899" s="12" t="n"/>
      <c r="E899" s="12" t="n"/>
      <c r="F899" s="15">
        <f>IFERROR(MATCH($A899,Accounts!$A$2:$A$11,0),"")</f>
        <v/>
      </c>
      <c r="G899" s="14">
        <f>IFERROR(IF(OR($A899="",$F899=""),"",IF(INDEX(Accounts!$P$2:$P$11,$F899)="static",INDEX(Accounts!$Q$2:$Q$11,$F899),IF(INDEX(Accounts!$P$2:$P$11,$F899)="eod_trailing",MAX(INDEX(Accounts!$Q$2:$Q$11,$F899),_xlfn.MAXIFS($C$2:$C$1001,$A$2:$A$1001,$A899,$B$2:$B$1001,"&lt;"&amp;$B899)),MAX(INDEX(Accounts!$Q$2:$Q$11,$F899),_xlfn.MAXIFS($C$2:$C$1001,$A$2:$A$1001,$A899,$B$2:$B$1001,"&lt;"&amp;$B899),_xlfn.MAXIFS($D$2:$D$1001,$A$2:$A$1001,$A899,$B$2:$B$1001,"&lt;="&amp;$B899),$C899)))),"")</f>
        <v/>
      </c>
      <c r="H899" s="15">
        <f>IFERROR(IF(G899="","",IF(INDEX(Accounts!$P$2:$P$11,$F899)="static",INDEX(Accounts!$Q$2:$Q$11,$F899)-INDEX(Accounts!$R$2:$R$11,$F899),IF(INDEX(Accounts!$S$2:$S$11,$F899)="NONE",G899-INDEX(Accounts!$R$2:$R$11,$F899),MIN(G899-INDEX(Accounts!$R$2:$R$11,$F899),INDEX(Accounts!$Q$2:$Q$11,$F899)+INDEX(Accounts!$S$2:$S$11,$F899))))),"")</f>
        <v/>
      </c>
      <c r="I899" s="16">
        <f>IF(AND($A899="",$B899="",$C899="",$D899="",$E899=""),"",IF(OR($A899="",$F899=""),"UNKNOWN_ACCOUNT",IF(OR($B899="",$C899=""),"INCOMPLETE",IFERROR(IF(OR(NOT(ISNUMBER($B899)),NOT(ISNUMBER($C899)),IF(C899="",FALSE,IF(ISNUMBER(C899),OR(C899&lt;=0,C899&gt;100000000,ROUND(C899*100,6)&lt;&gt;INT(ROUND(C899*100,6))),TRUE)),IF(D899="",FALSE,IF(ISNUMBER(D899),OR(D899&lt;=0,D899&gt;100000000,ROUND(D899*100,6)&lt;&gt;INT(ROUND(D899*100,6))),TRUE)),IF(E899="",FALSE,IF(ISNUMBER(E899),OR(E899&lt;=0,E899&gt;100000000,ROUND(E899*100,6)&lt;&gt;INT(ROUND(E899*100,6))),TRUE)),AND($D899&lt;&gt;"",$D899&lt;MAX($C899,$E899)),AND($E899&lt;&gt;"",$E899&gt;MIN($C899,IF($D899="",$C899,$D899))),COUNTIFS($A$2:$A$1001,$A899,$B$2:$B$1001,$B899)&gt;1),"INVALID",IFERROR(IF(IF(INDEX(Accounts!$T$2:$T$11,$F899),ROUND(IF($E899="",$C899,MIN($C899,$E899))-(H899),6)&lt;=0,ROUND(IF($E899="",$C899,MIN($C899,$E899))-(H899),6)&lt;0),"BREACHED","OK"),"INCOMPLETE")),"INVALID"))))</f>
        <v/>
      </c>
      <c r="J899" s="33">
        <f>IF(OR(I899="OK",I899="BREACHED"),-INT(ROUND(-(H899)*100,6))/100,I899)</f>
        <v/>
      </c>
    </row>
    <row r="900" ht="18" customHeight="1">
      <c r="A900" s="9" t="n"/>
      <c r="B900" s="32" t="n"/>
      <c r="C900" s="12" t="n"/>
      <c r="D900" s="12" t="n"/>
      <c r="E900" s="12" t="n"/>
      <c r="F900" s="15">
        <f>IFERROR(MATCH($A900,Accounts!$A$2:$A$11,0),"")</f>
        <v/>
      </c>
      <c r="G900" s="14">
        <f>IFERROR(IF(OR($A900="",$F900=""),"",IF(INDEX(Accounts!$P$2:$P$11,$F900)="static",INDEX(Accounts!$Q$2:$Q$11,$F900),IF(INDEX(Accounts!$P$2:$P$11,$F900)="eod_trailing",MAX(INDEX(Accounts!$Q$2:$Q$11,$F900),_xlfn.MAXIFS($C$2:$C$1001,$A$2:$A$1001,$A900,$B$2:$B$1001,"&lt;"&amp;$B900)),MAX(INDEX(Accounts!$Q$2:$Q$11,$F900),_xlfn.MAXIFS($C$2:$C$1001,$A$2:$A$1001,$A900,$B$2:$B$1001,"&lt;"&amp;$B900),_xlfn.MAXIFS($D$2:$D$1001,$A$2:$A$1001,$A900,$B$2:$B$1001,"&lt;="&amp;$B900),$C900)))),"")</f>
        <v/>
      </c>
      <c r="H900" s="15">
        <f>IFERROR(IF(G900="","",IF(INDEX(Accounts!$P$2:$P$11,$F900)="static",INDEX(Accounts!$Q$2:$Q$11,$F900)-INDEX(Accounts!$R$2:$R$11,$F900),IF(INDEX(Accounts!$S$2:$S$11,$F900)="NONE",G900-INDEX(Accounts!$R$2:$R$11,$F900),MIN(G900-INDEX(Accounts!$R$2:$R$11,$F900),INDEX(Accounts!$Q$2:$Q$11,$F900)+INDEX(Accounts!$S$2:$S$11,$F900))))),"")</f>
        <v/>
      </c>
      <c r="I900" s="16">
        <f>IF(AND($A900="",$B900="",$C900="",$D900="",$E900=""),"",IF(OR($A900="",$F900=""),"UNKNOWN_ACCOUNT",IF(OR($B900="",$C900=""),"INCOMPLETE",IFERROR(IF(OR(NOT(ISNUMBER($B900)),NOT(ISNUMBER($C900)),IF(C900="",FALSE,IF(ISNUMBER(C900),OR(C900&lt;=0,C900&gt;100000000,ROUND(C900*100,6)&lt;&gt;INT(ROUND(C900*100,6))),TRUE)),IF(D900="",FALSE,IF(ISNUMBER(D900),OR(D900&lt;=0,D900&gt;100000000,ROUND(D900*100,6)&lt;&gt;INT(ROUND(D900*100,6))),TRUE)),IF(E900="",FALSE,IF(ISNUMBER(E900),OR(E900&lt;=0,E900&gt;100000000,ROUND(E900*100,6)&lt;&gt;INT(ROUND(E900*100,6))),TRUE)),AND($D900&lt;&gt;"",$D900&lt;MAX($C900,$E900)),AND($E900&lt;&gt;"",$E900&gt;MIN($C900,IF($D900="",$C900,$D900))),COUNTIFS($A$2:$A$1001,$A900,$B$2:$B$1001,$B900)&gt;1),"INVALID",IFERROR(IF(IF(INDEX(Accounts!$T$2:$T$11,$F900),ROUND(IF($E900="",$C900,MIN($C900,$E900))-(H900),6)&lt;=0,ROUND(IF($E900="",$C900,MIN($C900,$E900))-(H900),6)&lt;0),"BREACHED","OK"),"INCOMPLETE")),"INVALID"))))</f>
        <v/>
      </c>
      <c r="J900" s="33">
        <f>IF(OR(I900="OK",I900="BREACHED"),-INT(ROUND(-(H900)*100,6))/100,I900)</f>
        <v/>
      </c>
    </row>
    <row r="901" ht="18" customHeight="1">
      <c r="A901" s="9" t="n"/>
      <c r="B901" s="32" t="n"/>
      <c r="C901" s="12" t="n"/>
      <c r="D901" s="12" t="n"/>
      <c r="E901" s="12" t="n"/>
      <c r="F901" s="15">
        <f>IFERROR(MATCH($A901,Accounts!$A$2:$A$11,0),"")</f>
        <v/>
      </c>
      <c r="G901" s="14">
        <f>IFERROR(IF(OR($A901="",$F901=""),"",IF(INDEX(Accounts!$P$2:$P$11,$F901)="static",INDEX(Accounts!$Q$2:$Q$11,$F901),IF(INDEX(Accounts!$P$2:$P$11,$F901)="eod_trailing",MAX(INDEX(Accounts!$Q$2:$Q$11,$F901),_xlfn.MAXIFS($C$2:$C$1001,$A$2:$A$1001,$A901,$B$2:$B$1001,"&lt;"&amp;$B901)),MAX(INDEX(Accounts!$Q$2:$Q$11,$F901),_xlfn.MAXIFS($C$2:$C$1001,$A$2:$A$1001,$A901,$B$2:$B$1001,"&lt;"&amp;$B901),_xlfn.MAXIFS($D$2:$D$1001,$A$2:$A$1001,$A901,$B$2:$B$1001,"&lt;="&amp;$B901),$C901)))),"")</f>
        <v/>
      </c>
      <c r="H901" s="15">
        <f>IFERROR(IF(G901="","",IF(INDEX(Accounts!$P$2:$P$11,$F901)="static",INDEX(Accounts!$Q$2:$Q$11,$F901)-INDEX(Accounts!$R$2:$R$11,$F901),IF(INDEX(Accounts!$S$2:$S$11,$F901)="NONE",G901-INDEX(Accounts!$R$2:$R$11,$F901),MIN(G901-INDEX(Accounts!$R$2:$R$11,$F901),INDEX(Accounts!$Q$2:$Q$11,$F901)+INDEX(Accounts!$S$2:$S$11,$F901))))),"")</f>
        <v/>
      </c>
      <c r="I901" s="16">
        <f>IF(AND($A901="",$B901="",$C901="",$D901="",$E901=""),"",IF(OR($A901="",$F901=""),"UNKNOWN_ACCOUNT",IF(OR($B901="",$C901=""),"INCOMPLETE",IFERROR(IF(OR(NOT(ISNUMBER($B901)),NOT(ISNUMBER($C901)),IF(C901="",FALSE,IF(ISNUMBER(C901),OR(C901&lt;=0,C901&gt;100000000,ROUND(C901*100,6)&lt;&gt;INT(ROUND(C901*100,6))),TRUE)),IF(D901="",FALSE,IF(ISNUMBER(D901),OR(D901&lt;=0,D901&gt;100000000,ROUND(D901*100,6)&lt;&gt;INT(ROUND(D901*100,6))),TRUE)),IF(E901="",FALSE,IF(ISNUMBER(E901),OR(E901&lt;=0,E901&gt;100000000,ROUND(E901*100,6)&lt;&gt;INT(ROUND(E901*100,6))),TRUE)),AND($D901&lt;&gt;"",$D901&lt;MAX($C901,$E901)),AND($E901&lt;&gt;"",$E901&gt;MIN($C901,IF($D901="",$C901,$D901))),COUNTIFS($A$2:$A$1001,$A901,$B$2:$B$1001,$B901)&gt;1),"INVALID",IFERROR(IF(IF(INDEX(Accounts!$T$2:$T$11,$F901),ROUND(IF($E901="",$C901,MIN($C901,$E901))-(H901),6)&lt;=0,ROUND(IF($E901="",$C901,MIN($C901,$E901))-(H901),6)&lt;0),"BREACHED","OK"),"INCOMPLETE")),"INVALID"))))</f>
        <v/>
      </c>
      <c r="J901" s="33">
        <f>IF(OR(I901="OK",I901="BREACHED"),-INT(ROUND(-(H901)*100,6))/100,I901)</f>
        <v/>
      </c>
    </row>
    <row r="902" ht="18" customHeight="1">
      <c r="A902" s="9" t="n"/>
      <c r="B902" s="32" t="n"/>
      <c r="C902" s="12" t="n"/>
      <c r="D902" s="12" t="n"/>
      <c r="E902" s="12" t="n"/>
      <c r="F902" s="15">
        <f>IFERROR(MATCH($A902,Accounts!$A$2:$A$11,0),"")</f>
        <v/>
      </c>
      <c r="G902" s="14">
        <f>IFERROR(IF(OR($A902="",$F902=""),"",IF(INDEX(Accounts!$P$2:$P$11,$F902)="static",INDEX(Accounts!$Q$2:$Q$11,$F902),IF(INDEX(Accounts!$P$2:$P$11,$F902)="eod_trailing",MAX(INDEX(Accounts!$Q$2:$Q$11,$F902),_xlfn.MAXIFS($C$2:$C$1001,$A$2:$A$1001,$A902,$B$2:$B$1001,"&lt;"&amp;$B902)),MAX(INDEX(Accounts!$Q$2:$Q$11,$F902),_xlfn.MAXIFS($C$2:$C$1001,$A$2:$A$1001,$A902,$B$2:$B$1001,"&lt;"&amp;$B902),_xlfn.MAXIFS($D$2:$D$1001,$A$2:$A$1001,$A902,$B$2:$B$1001,"&lt;="&amp;$B902),$C902)))),"")</f>
        <v/>
      </c>
      <c r="H902" s="15">
        <f>IFERROR(IF(G902="","",IF(INDEX(Accounts!$P$2:$P$11,$F902)="static",INDEX(Accounts!$Q$2:$Q$11,$F902)-INDEX(Accounts!$R$2:$R$11,$F902),IF(INDEX(Accounts!$S$2:$S$11,$F902)="NONE",G902-INDEX(Accounts!$R$2:$R$11,$F902),MIN(G902-INDEX(Accounts!$R$2:$R$11,$F902),INDEX(Accounts!$Q$2:$Q$11,$F902)+INDEX(Accounts!$S$2:$S$11,$F902))))),"")</f>
        <v/>
      </c>
      <c r="I902" s="16">
        <f>IF(AND($A902="",$B902="",$C902="",$D902="",$E902=""),"",IF(OR($A902="",$F902=""),"UNKNOWN_ACCOUNT",IF(OR($B902="",$C902=""),"INCOMPLETE",IFERROR(IF(OR(NOT(ISNUMBER($B902)),NOT(ISNUMBER($C902)),IF(C902="",FALSE,IF(ISNUMBER(C902),OR(C902&lt;=0,C902&gt;100000000,ROUND(C902*100,6)&lt;&gt;INT(ROUND(C902*100,6))),TRUE)),IF(D902="",FALSE,IF(ISNUMBER(D902),OR(D902&lt;=0,D902&gt;100000000,ROUND(D902*100,6)&lt;&gt;INT(ROUND(D902*100,6))),TRUE)),IF(E902="",FALSE,IF(ISNUMBER(E902),OR(E902&lt;=0,E902&gt;100000000,ROUND(E902*100,6)&lt;&gt;INT(ROUND(E902*100,6))),TRUE)),AND($D902&lt;&gt;"",$D902&lt;MAX($C902,$E902)),AND($E902&lt;&gt;"",$E902&gt;MIN($C902,IF($D902="",$C902,$D902))),COUNTIFS($A$2:$A$1001,$A902,$B$2:$B$1001,$B902)&gt;1),"INVALID",IFERROR(IF(IF(INDEX(Accounts!$T$2:$T$11,$F902),ROUND(IF($E902="",$C902,MIN($C902,$E902))-(H902),6)&lt;=0,ROUND(IF($E902="",$C902,MIN($C902,$E902))-(H902),6)&lt;0),"BREACHED","OK"),"INCOMPLETE")),"INVALID"))))</f>
        <v/>
      </c>
      <c r="J902" s="33">
        <f>IF(OR(I902="OK",I902="BREACHED"),-INT(ROUND(-(H902)*100,6))/100,I902)</f>
        <v/>
      </c>
    </row>
    <row r="903" ht="18" customHeight="1">
      <c r="A903" s="9" t="n"/>
      <c r="B903" s="32" t="n"/>
      <c r="C903" s="12" t="n"/>
      <c r="D903" s="12" t="n"/>
      <c r="E903" s="12" t="n"/>
      <c r="F903" s="15">
        <f>IFERROR(MATCH($A903,Accounts!$A$2:$A$11,0),"")</f>
        <v/>
      </c>
      <c r="G903" s="14">
        <f>IFERROR(IF(OR($A903="",$F903=""),"",IF(INDEX(Accounts!$P$2:$P$11,$F903)="static",INDEX(Accounts!$Q$2:$Q$11,$F903),IF(INDEX(Accounts!$P$2:$P$11,$F903)="eod_trailing",MAX(INDEX(Accounts!$Q$2:$Q$11,$F903),_xlfn.MAXIFS($C$2:$C$1001,$A$2:$A$1001,$A903,$B$2:$B$1001,"&lt;"&amp;$B903)),MAX(INDEX(Accounts!$Q$2:$Q$11,$F903),_xlfn.MAXIFS($C$2:$C$1001,$A$2:$A$1001,$A903,$B$2:$B$1001,"&lt;"&amp;$B903),_xlfn.MAXIFS($D$2:$D$1001,$A$2:$A$1001,$A903,$B$2:$B$1001,"&lt;="&amp;$B903),$C903)))),"")</f>
        <v/>
      </c>
      <c r="H903" s="15">
        <f>IFERROR(IF(G903="","",IF(INDEX(Accounts!$P$2:$P$11,$F903)="static",INDEX(Accounts!$Q$2:$Q$11,$F903)-INDEX(Accounts!$R$2:$R$11,$F903),IF(INDEX(Accounts!$S$2:$S$11,$F903)="NONE",G903-INDEX(Accounts!$R$2:$R$11,$F903),MIN(G903-INDEX(Accounts!$R$2:$R$11,$F903),INDEX(Accounts!$Q$2:$Q$11,$F903)+INDEX(Accounts!$S$2:$S$11,$F903))))),"")</f>
        <v/>
      </c>
      <c r="I903" s="16">
        <f>IF(AND($A903="",$B903="",$C903="",$D903="",$E903=""),"",IF(OR($A903="",$F903=""),"UNKNOWN_ACCOUNT",IF(OR($B903="",$C903=""),"INCOMPLETE",IFERROR(IF(OR(NOT(ISNUMBER($B903)),NOT(ISNUMBER($C903)),IF(C903="",FALSE,IF(ISNUMBER(C903),OR(C903&lt;=0,C903&gt;100000000,ROUND(C903*100,6)&lt;&gt;INT(ROUND(C903*100,6))),TRUE)),IF(D903="",FALSE,IF(ISNUMBER(D903),OR(D903&lt;=0,D903&gt;100000000,ROUND(D903*100,6)&lt;&gt;INT(ROUND(D903*100,6))),TRUE)),IF(E903="",FALSE,IF(ISNUMBER(E903),OR(E903&lt;=0,E903&gt;100000000,ROUND(E903*100,6)&lt;&gt;INT(ROUND(E903*100,6))),TRUE)),AND($D903&lt;&gt;"",$D903&lt;MAX($C903,$E903)),AND($E903&lt;&gt;"",$E903&gt;MIN($C903,IF($D903="",$C903,$D903))),COUNTIFS($A$2:$A$1001,$A903,$B$2:$B$1001,$B903)&gt;1),"INVALID",IFERROR(IF(IF(INDEX(Accounts!$T$2:$T$11,$F903),ROUND(IF($E903="",$C903,MIN($C903,$E903))-(H903),6)&lt;=0,ROUND(IF($E903="",$C903,MIN($C903,$E903))-(H903),6)&lt;0),"BREACHED","OK"),"INCOMPLETE")),"INVALID"))))</f>
        <v/>
      </c>
      <c r="J903" s="33">
        <f>IF(OR(I903="OK",I903="BREACHED"),-INT(ROUND(-(H903)*100,6))/100,I903)</f>
        <v/>
      </c>
    </row>
    <row r="904" ht="18" customHeight="1">
      <c r="A904" s="9" t="n"/>
      <c r="B904" s="32" t="n"/>
      <c r="C904" s="12" t="n"/>
      <c r="D904" s="12" t="n"/>
      <c r="E904" s="12" t="n"/>
      <c r="F904" s="15">
        <f>IFERROR(MATCH($A904,Accounts!$A$2:$A$11,0),"")</f>
        <v/>
      </c>
      <c r="G904" s="14">
        <f>IFERROR(IF(OR($A904="",$F904=""),"",IF(INDEX(Accounts!$P$2:$P$11,$F904)="static",INDEX(Accounts!$Q$2:$Q$11,$F904),IF(INDEX(Accounts!$P$2:$P$11,$F904)="eod_trailing",MAX(INDEX(Accounts!$Q$2:$Q$11,$F904),_xlfn.MAXIFS($C$2:$C$1001,$A$2:$A$1001,$A904,$B$2:$B$1001,"&lt;"&amp;$B904)),MAX(INDEX(Accounts!$Q$2:$Q$11,$F904),_xlfn.MAXIFS($C$2:$C$1001,$A$2:$A$1001,$A904,$B$2:$B$1001,"&lt;"&amp;$B904),_xlfn.MAXIFS($D$2:$D$1001,$A$2:$A$1001,$A904,$B$2:$B$1001,"&lt;="&amp;$B904),$C904)))),"")</f>
        <v/>
      </c>
      <c r="H904" s="15">
        <f>IFERROR(IF(G904="","",IF(INDEX(Accounts!$P$2:$P$11,$F904)="static",INDEX(Accounts!$Q$2:$Q$11,$F904)-INDEX(Accounts!$R$2:$R$11,$F904),IF(INDEX(Accounts!$S$2:$S$11,$F904)="NONE",G904-INDEX(Accounts!$R$2:$R$11,$F904),MIN(G904-INDEX(Accounts!$R$2:$R$11,$F904),INDEX(Accounts!$Q$2:$Q$11,$F904)+INDEX(Accounts!$S$2:$S$11,$F904))))),"")</f>
        <v/>
      </c>
      <c r="I904" s="16">
        <f>IF(AND($A904="",$B904="",$C904="",$D904="",$E904=""),"",IF(OR($A904="",$F904=""),"UNKNOWN_ACCOUNT",IF(OR($B904="",$C904=""),"INCOMPLETE",IFERROR(IF(OR(NOT(ISNUMBER($B904)),NOT(ISNUMBER($C904)),IF(C904="",FALSE,IF(ISNUMBER(C904),OR(C904&lt;=0,C904&gt;100000000,ROUND(C904*100,6)&lt;&gt;INT(ROUND(C904*100,6))),TRUE)),IF(D904="",FALSE,IF(ISNUMBER(D904),OR(D904&lt;=0,D904&gt;100000000,ROUND(D904*100,6)&lt;&gt;INT(ROUND(D904*100,6))),TRUE)),IF(E904="",FALSE,IF(ISNUMBER(E904),OR(E904&lt;=0,E904&gt;100000000,ROUND(E904*100,6)&lt;&gt;INT(ROUND(E904*100,6))),TRUE)),AND($D904&lt;&gt;"",$D904&lt;MAX($C904,$E904)),AND($E904&lt;&gt;"",$E904&gt;MIN($C904,IF($D904="",$C904,$D904))),COUNTIFS($A$2:$A$1001,$A904,$B$2:$B$1001,$B904)&gt;1),"INVALID",IFERROR(IF(IF(INDEX(Accounts!$T$2:$T$11,$F904),ROUND(IF($E904="",$C904,MIN($C904,$E904))-(H904),6)&lt;=0,ROUND(IF($E904="",$C904,MIN($C904,$E904))-(H904),6)&lt;0),"BREACHED","OK"),"INCOMPLETE")),"INVALID"))))</f>
        <v/>
      </c>
      <c r="J904" s="33">
        <f>IF(OR(I904="OK",I904="BREACHED"),-INT(ROUND(-(H904)*100,6))/100,I904)</f>
        <v/>
      </c>
    </row>
    <row r="905" ht="18" customHeight="1">
      <c r="A905" s="9" t="n"/>
      <c r="B905" s="32" t="n"/>
      <c r="C905" s="12" t="n"/>
      <c r="D905" s="12" t="n"/>
      <c r="E905" s="12" t="n"/>
      <c r="F905" s="15">
        <f>IFERROR(MATCH($A905,Accounts!$A$2:$A$11,0),"")</f>
        <v/>
      </c>
      <c r="G905" s="14">
        <f>IFERROR(IF(OR($A905="",$F905=""),"",IF(INDEX(Accounts!$P$2:$P$11,$F905)="static",INDEX(Accounts!$Q$2:$Q$11,$F905),IF(INDEX(Accounts!$P$2:$P$11,$F905)="eod_trailing",MAX(INDEX(Accounts!$Q$2:$Q$11,$F905),_xlfn.MAXIFS($C$2:$C$1001,$A$2:$A$1001,$A905,$B$2:$B$1001,"&lt;"&amp;$B905)),MAX(INDEX(Accounts!$Q$2:$Q$11,$F905),_xlfn.MAXIFS($C$2:$C$1001,$A$2:$A$1001,$A905,$B$2:$B$1001,"&lt;"&amp;$B905),_xlfn.MAXIFS($D$2:$D$1001,$A$2:$A$1001,$A905,$B$2:$B$1001,"&lt;="&amp;$B905),$C905)))),"")</f>
        <v/>
      </c>
      <c r="H905" s="15">
        <f>IFERROR(IF(G905="","",IF(INDEX(Accounts!$P$2:$P$11,$F905)="static",INDEX(Accounts!$Q$2:$Q$11,$F905)-INDEX(Accounts!$R$2:$R$11,$F905),IF(INDEX(Accounts!$S$2:$S$11,$F905)="NONE",G905-INDEX(Accounts!$R$2:$R$11,$F905),MIN(G905-INDEX(Accounts!$R$2:$R$11,$F905),INDEX(Accounts!$Q$2:$Q$11,$F905)+INDEX(Accounts!$S$2:$S$11,$F905))))),"")</f>
        <v/>
      </c>
      <c r="I905" s="16">
        <f>IF(AND($A905="",$B905="",$C905="",$D905="",$E905=""),"",IF(OR($A905="",$F905=""),"UNKNOWN_ACCOUNT",IF(OR($B905="",$C905=""),"INCOMPLETE",IFERROR(IF(OR(NOT(ISNUMBER($B905)),NOT(ISNUMBER($C905)),IF(C905="",FALSE,IF(ISNUMBER(C905),OR(C905&lt;=0,C905&gt;100000000,ROUND(C905*100,6)&lt;&gt;INT(ROUND(C905*100,6))),TRUE)),IF(D905="",FALSE,IF(ISNUMBER(D905),OR(D905&lt;=0,D905&gt;100000000,ROUND(D905*100,6)&lt;&gt;INT(ROUND(D905*100,6))),TRUE)),IF(E905="",FALSE,IF(ISNUMBER(E905),OR(E905&lt;=0,E905&gt;100000000,ROUND(E905*100,6)&lt;&gt;INT(ROUND(E905*100,6))),TRUE)),AND($D905&lt;&gt;"",$D905&lt;MAX($C905,$E905)),AND($E905&lt;&gt;"",$E905&gt;MIN($C905,IF($D905="",$C905,$D905))),COUNTIFS($A$2:$A$1001,$A905,$B$2:$B$1001,$B905)&gt;1),"INVALID",IFERROR(IF(IF(INDEX(Accounts!$T$2:$T$11,$F905),ROUND(IF($E905="",$C905,MIN($C905,$E905))-(H905),6)&lt;=0,ROUND(IF($E905="",$C905,MIN($C905,$E905))-(H905),6)&lt;0),"BREACHED","OK"),"INCOMPLETE")),"INVALID"))))</f>
        <v/>
      </c>
      <c r="J905" s="33">
        <f>IF(OR(I905="OK",I905="BREACHED"),-INT(ROUND(-(H905)*100,6))/100,I905)</f>
        <v/>
      </c>
    </row>
    <row r="906" ht="18" customHeight="1">
      <c r="A906" s="9" t="n"/>
      <c r="B906" s="32" t="n"/>
      <c r="C906" s="12" t="n"/>
      <c r="D906" s="12" t="n"/>
      <c r="E906" s="12" t="n"/>
      <c r="F906" s="15">
        <f>IFERROR(MATCH($A906,Accounts!$A$2:$A$11,0),"")</f>
        <v/>
      </c>
      <c r="G906" s="14">
        <f>IFERROR(IF(OR($A906="",$F906=""),"",IF(INDEX(Accounts!$P$2:$P$11,$F906)="static",INDEX(Accounts!$Q$2:$Q$11,$F906),IF(INDEX(Accounts!$P$2:$P$11,$F906)="eod_trailing",MAX(INDEX(Accounts!$Q$2:$Q$11,$F906),_xlfn.MAXIFS($C$2:$C$1001,$A$2:$A$1001,$A906,$B$2:$B$1001,"&lt;"&amp;$B906)),MAX(INDEX(Accounts!$Q$2:$Q$11,$F906),_xlfn.MAXIFS($C$2:$C$1001,$A$2:$A$1001,$A906,$B$2:$B$1001,"&lt;"&amp;$B906),_xlfn.MAXIFS($D$2:$D$1001,$A$2:$A$1001,$A906,$B$2:$B$1001,"&lt;="&amp;$B906),$C906)))),"")</f>
        <v/>
      </c>
      <c r="H906" s="15">
        <f>IFERROR(IF(G906="","",IF(INDEX(Accounts!$P$2:$P$11,$F906)="static",INDEX(Accounts!$Q$2:$Q$11,$F906)-INDEX(Accounts!$R$2:$R$11,$F906),IF(INDEX(Accounts!$S$2:$S$11,$F906)="NONE",G906-INDEX(Accounts!$R$2:$R$11,$F906),MIN(G906-INDEX(Accounts!$R$2:$R$11,$F906),INDEX(Accounts!$Q$2:$Q$11,$F906)+INDEX(Accounts!$S$2:$S$11,$F906))))),"")</f>
        <v/>
      </c>
      <c r="I906" s="16">
        <f>IF(AND($A906="",$B906="",$C906="",$D906="",$E906=""),"",IF(OR($A906="",$F906=""),"UNKNOWN_ACCOUNT",IF(OR($B906="",$C906=""),"INCOMPLETE",IFERROR(IF(OR(NOT(ISNUMBER($B906)),NOT(ISNUMBER($C906)),IF(C906="",FALSE,IF(ISNUMBER(C906),OR(C906&lt;=0,C906&gt;100000000,ROUND(C906*100,6)&lt;&gt;INT(ROUND(C906*100,6))),TRUE)),IF(D906="",FALSE,IF(ISNUMBER(D906),OR(D906&lt;=0,D906&gt;100000000,ROUND(D906*100,6)&lt;&gt;INT(ROUND(D906*100,6))),TRUE)),IF(E906="",FALSE,IF(ISNUMBER(E906),OR(E906&lt;=0,E906&gt;100000000,ROUND(E906*100,6)&lt;&gt;INT(ROUND(E906*100,6))),TRUE)),AND($D906&lt;&gt;"",$D906&lt;MAX($C906,$E906)),AND($E906&lt;&gt;"",$E906&gt;MIN($C906,IF($D906="",$C906,$D906))),COUNTIFS($A$2:$A$1001,$A906,$B$2:$B$1001,$B906)&gt;1),"INVALID",IFERROR(IF(IF(INDEX(Accounts!$T$2:$T$11,$F906),ROUND(IF($E906="",$C906,MIN($C906,$E906))-(H906),6)&lt;=0,ROUND(IF($E906="",$C906,MIN($C906,$E906))-(H906),6)&lt;0),"BREACHED","OK"),"INCOMPLETE")),"INVALID"))))</f>
        <v/>
      </c>
      <c r="J906" s="33">
        <f>IF(OR(I906="OK",I906="BREACHED"),-INT(ROUND(-(H906)*100,6))/100,I906)</f>
        <v/>
      </c>
    </row>
    <row r="907" ht="18" customHeight="1">
      <c r="A907" s="9" t="n"/>
      <c r="B907" s="32" t="n"/>
      <c r="C907" s="12" t="n"/>
      <c r="D907" s="12" t="n"/>
      <c r="E907" s="12" t="n"/>
      <c r="F907" s="15">
        <f>IFERROR(MATCH($A907,Accounts!$A$2:$A$11,0),"")</f>
        <v/>
      </c>
      <c r="G907" s="14">
        <f>IFERROR(IF(OR($A907="",$F907=""),"",IF(INDEX(Accounts!$P$2:$P$11,$F907)="static",INDEX(Accounts!$Q$2:$Q$11,$F907),IF(INDEX(Accounts!$P$2:$P$11,$F907)="eod_trailing",MAX(INDEX(Accounts!$Q$2:$Q$11,$F907),_xlfn.MAXIFS($C$2:$C$1001,$A$2:$A$1001,$A907,$B$2:$B$1001,"&lt;"&amp;$B907)),MAX(INDEX(Accounts!$Q$2:$Q$11,$F907),_xlfn.MAXIFS($C$2:$C$1001,$A$2:$A$1001,$A907,$B$2:$B$1001,"&lt;"&amp;$B907),_xlfn.MAXIFS($D$2:$D$1001,$A$2:$A$1001,$A907,$B$2:$B$1001,"&lt;="&amp;$B907),$C907)))),"")</f>
        <v/>
      </c>
      <c r="H907" s="15">
        <f>IFERROR(IF(G907="","",IF(INDEX(Accounts!$P$2:$P$11,$F907)="static",INDEX(Accounts!$Q$2:$Q$11,$F907)-INDEX(Accounts!$R$2:$R$11,$F907),IF(INDEX(Accounts!$S$2:$S$11,$F907)="NONE",G907-INDEX(Accounts!$R$2:$R$11,$F907),MIN(G907-INDEX(Accounts!$R$2:$R$11,$F907),INDEX(Accounts!$Q$2:$Q$11,$F907)+INDEX(Accounts!$S$2:$S$11,$F907))))),"")</f>
        <v/>
      </c>
      <c r="I907" s="16">
        <f>IF(AND($A907="",$B907="",$C907="",$D907="",$E907=""),"",IF(OR($A907="",$F907=""),"UNKNOWN_ACCOUNT",IF(OR($B907="",$C907=""),"INCOMPLETE",IFERROR(IF(OR(NOT(ISNUMBER($B907)),NOT(ISNUMBER($C907)),IF(C907="",FALSE,IF(ISNUMBER(C907),OR(C907&lt;=0,C907&gt;100000000,ROUND(C907*100,6)&lt;&gt;INT(ROUND(C907*100,6))),TRUE)),IF(D907="",FALSE,IF(ISNUMBER(D907),OR(D907&lt;=0,D907&gt;100000000,ROUND(D907*100,6)&lt;&gt;INT(ROUND(D907*100,6))),TRUE)),IF(E907="",FALSE,IF(ISNUMBER(E907),OR(E907&lt;=0,E907&gt;100000000,ROUND(E907*100,6)&lt;&gt;INT(ROUND(E907*100,6))),TRUE)),AND($D907&lt;&gt;"",$D907&lt;MAX($C907,$E907)),AND($E907&lt;&gt;"",$E907&gt;MIN($C907,IF($D907="",$C907,$D907))),COUNTIFS($A$2:$A$1001,$A907,$B$2:$B$1001,$B907)&gt;1),"INVALID",IFERROR(IF(IF(INDEX(Accounts!$T$2:$T$11,$F907),ROUND(IF($E907="",$C907,MIN($C907,$E907))-(H907),6)&lt;=0,ROUND(IF($E907="",$C907,MIN($C907,$E907))-(H907),6)&lt;0),"BREACHED","OK"),"INCOMPLETE")),"INVALID"))))</f>
        <v/>
      </c>
      <c r="J907" s="33">
        <f>IF(OR(I907="OK",I907="BREACHED"),-INT(ROUND(-(H907)*100,6))/100,I907)</f>
        <v/>
      </c>
    </row>
    <row r="908" ht="18" customHeight="1">
      <c r="A908" s="9" t="n"/>
      <c r="B908" s="32" t="n"/>
      <c r="C908" s="12" t="n"/>
      <c r="D908" s="12" t="n"/>
      <c r="E908" s="12" t="n"/>
      <c r="F908" s="15">
        <f>IFERROR(MATCH($A908,Accounts!$A$2:$A$11,0),"")</f>
        <v/>
      </c>
      <c r="G908" s="14">
        <f>IFERROR(IF(OR($A908="",$F908=""),"",IF(INDEX(Accounts!$P$2:$P$11,$F908)="static",INDEX(Accounts!$Q$2:$Q$11,$F908),IF(INDEX(Accounts!$P$2:$P$11,$F908)="eod_trailing",MAX(INDEX(Accounts!$Q$2:$Q$11,$F908),_xlfn.MAXIFS($C$2:$C$1001,$A$2:$A$1001,$A908,$B$2:$B$1001,"&lt;"&amp;$B908)),MAX(INDEX(Accounts!$Q$2:$Q$11,$F908),_xlfn.MAXIFS($C$2:$C$1001,$A$2:$A$1001,$A908,$B$2:$B$1001,"&lt;"&amp;$B908),_xlfn.MAXIFS($D$2:$D$1001,$A$2:$A$1001,$A908,$B$2:$B$1001,"&lt;="&amp;$B908),$C908)))),"")</f>
        <v/>
      </c>
      <c r="H908" s="15">
        <f>IFERROR(IF(G908="","",IF(INDEX(Accounts!$P$2:$P$11,$F908)="static",INDEX(Accounts!$Q$2:$Q$11,$F908)-INDEX(Accounts!$R$2:$R$11,$F908),IF(INDEX(Accounts!$S$2:$S$11,$F908)="NONE",G908-INDEX(Accounts!$R$2:$R$11,$F908),MIN(G908-INDEX(Accounts!$R$2:$R$11,$F908),INDEX(Accounts!$Q$2:$Q$11,$F908)+INDEX(Accounts!$S$2:$S$11,$F908))))),"")</f>
        <v/>
      </c>
      <c r="I908" s="16">
        <f>IF(AND($A908="",$B908="",$C908="",$D908="",$E908=""),"",IF(OR($A908="",$F908=""),"UNKNOWN_ACCOUNT",IF(OR($B908="",$C908=""),"INCOMPLETE",IFERROR(IF(OR(NOT(ISNUMBER($B908)),NOT(ISNUMBER($C908)),IF(C908="",FALSE,IF(ISNUMBER(C908),OR(C908&lt;=0,C908&gt;100000000,ROUND(C908*100,6)&lt;&gt;INT(ROUND(C908*100,6))),TRUE)),IF(D908="",FALSE,IF(ISNUMBER(D908),OR(D908&lt;=0,D908&gt;100000000,ROUND(D908*100,6)&lt;&gt;INT(ROUND(D908*100,6))),TRUE)),IF(E908="",FALSE,IF(ISNUMBER(E908),OR(E908&lt;=0,E908&gt;100000000,ROUND(E908*100,6)&lt;&gt;INT(ROUND(E908*100,6))),TRUE)),AND($D908&lt;&gt;"",$D908&lt;MAX($C908,$E908)),AND($E908&lt;&gt;"",$E908&gt;MIN($C908,IF($D908="",$C908,$D908))),COUNTIFS($A$2:$A$1001,$A908,$B$2:$B$1001,$B908)&gt;1),"INVALID",IFERROR(IF(IF(INDEX(Accounts!$T$2:$T$11,$F908),ROUND(IF($E908="",$C908,MIN($C908,$E908))-(H908),6)&lt;=0,ROUND(IF($E908="",$C908,MIN($C908,$E908))-(H908),6)&lt;0),"BREACHED","OK"),"INCOMPLETE")),"INVALID"))))</f>
        <v/>
      </c>
      <c r="J908" s="33">
        <f>IF(OR(I908="OK",I908="BREACHED"),-INT(ROUND(-(H908)*100,6))/100,I908)</f>
        <v/>
      </c>
    </row>
    <row r="909" ht="18" customHeight="1">
      <c r="A909" s="9" t="n"/>
      <c r="B909" s="32" t="n"/>
      <c r="C909" s="12" t="n"/>
      <c r="D909" s="12" t="n"/>
      <c r="E909" s="12" t="n"/>
      <c r="F909" s="15">
        <f>IFERROR(MATCH($A909,Accounts!$A$2:$A$11,0),"")</f>
        <v/>
      </c>
      <c r="G909" s="14">
        <f>IFERROR(IF(OR($A909="",$F909=""),"",IF(INDEX(Accounts!$P$2:$P$11,$F909)="static",INDEX(Accounts!$Q$2:$Q$11,$F909),IF(INDEX(Accounts!$P$2:$P$11,$F909)="eod_trailing",MAX(INDEX(Accounts!$Q$2:$Q$11,$F909),_xlfn.MAXIFS($C$2:$C$1001,$A$2:$A$1001,$A909,$B$2:$B$1001,"&lt;"&amp;$B909)),MAX(INDEX(Accounts!$Q$2:$Q$11,$F909),_xlfn.MAXIFS($C$2:$C$1001,$A$2:$A$1001,$A909,$B$2:$B$1001,"&lt;"&amp;$B909),_xlfn.MAXIFS($D$2:$D$1001,$A$2:$A$1001,$A909,$B$2:$B$1001,"&lt;="&amp;$B909),$C909)))),"")</f>
        <v/>
      </c>
      <c r="H909" s="15">
        <f>IFERROR(IF(G909="","",IF(INDEX(Accounts!$P$2:$P$11,$F909)="static",INDEX(Accounts!$Q$2:$Q$11,$F909)-INDEX(Accounts!$R$2:$R$11,$F909),IF(INDEX(Accounts!$S$2:$S$11,$F909)="NONE",G909-INDEX(Accounts!$R$2:$R$11,$F909),MIN(G909-INDEX(Accounts!$R$2:$R$11,$F909),INDEX(Accounts!$Q$2:$Q$11,$F909)+INDEX(Accounts!$S$2:$S$11,$F909))))),"")</f>
        <v/>
      </c>
      <c r="I909" s="16">
        <f>IF(AND($A909="",$B909="",$C909="",$D909="",$E909=""),"",IF(OR($A909="",$F909=""),"UNKNOWN_ACCOUNT",IF(OR($B909="",$C909=""),"INCOMPLETE",IFERROR(IF(OR(NOT(ISNUMBER($B909)),NOT(ISNUMBER($C909)),IF(C909="",FALSE,IF(ISNUMBER(C909),OR(C909&lt;=0,C909&gt;100000000,ROUND(C909*100,6)&lt;&gt;INT(ROUND(C909*100,6))),TRUE)),IF(D909="",FALSE,IF(ISNUMBER(D909),OR(D909&lt;=0,D909&gt;100000000,ROUND(D909*100,6)&lt;&gt;INT(ROUND(D909*100,6))),TRUE)),IF(E909="",FALSE,IF(ISNUMBER(E909),OR(E909&lt;=0,E909&gt;100000000,ROUND(E909*100,6)&lt;&gt;INT(ROUND(E909*100,6))),TRUE)),AND($D909&lt;&gt;"",$D909&lt;MAX($C909,$E909)),AND($E909&lt;&gt;"",$E909&gt;MIN($C909,IF($D909="",$C909,$D909))),COUNTIFS($A$2:$A$1001,$A909,$B$2:$B$1001,$B909)&gt;1),"INVALID",IFERROR(IF(IF(INDEX(Accounts!$T$2:$T$11,$F909),ROUND(IF($E909="",$C909,MIN($C909,$E909))-(H909),6)&lt;=0,ROUND(IF($E909="",$C909,MIN($C909,$E909))-(H909),6)&lt;0),"BREACHED","OK"),"INCOMPLETE")),"INVALID"))))</f>
        <v/>
      </c>
      <c r="J909" s="33">
        <f>IF(OR(I909="OK",I909="BREACHED"),-INT(ROUND(-(H909)*100,6))/100,I909)</f>
        <v/>
      </c>
    </row>
    <row r="910" ht="18" customHeight="1">
      <c r="A910" s="9" t="n"/>
      <c r="B910" s="32" t="n"/>
      <c r="C910" s="12" t="n"/>
      <c r="D910" s="12" t="n"/>
      <c r="E910" s="12" t="n"/>
      <c r="F910" s="15">
        <f>IFERROR(MATCH($A910,Accounts!$A$2:$A$11,0),"")</f>
        <v/>
      </c>
      <c r="G910" s="14">
        <f>IFERROR(IF(OR($A910="",$F910=""),"",IF(INDEX(Accounts!$P$2:$P$11,$F910)="static",INDEX(Accounts!$Q$2:$Q$11,$F910),IF(INDEX(Accounts!$P$2:$P$11,$F910)="eod_trailing",MAX(INDEX(Accounts!$Q$2:$Q$11,$F910),_xlfn.MAXIFS($C$2:$C$1001,$A$2:$A$1001,$A910,$B$2:$B$1001,"&lt;"&amp;$B910)),MAX(INDEX(Accounts!$Q$2:$Q$11,$F910),_xlfn.MAXIFS($C$2:$C$1001,$A$2:$A$1001,$A910,$B$2:$B$1001,"&lt;"&amp;$B910),_xlfn.MAXIFS($D$2:$D$1001,$A$2:$A$1001,$A910,$B$2:$B$1001,"&lt;="&amp;$B910),$C910)))),"")</f>
        <v/>
      </c>
      <c r="H910" s="15">
        <f>IFERROR(IF(G910="","",IF(INDEX(Accounts!$P$2:$P$11,$F910)="static",INDEX(Accounts!$Q$2:$Q$11,$F910)-INDEX(Accounts!$R$2:$R$11,$F910),IF(INDEX(Accounts!$S$2:$S$11,$F910)="NONE",G910-INDEX(Accounts!$R$2:$R$11,$F910),MIN(G910-INDEX(Accounts!$R$2:$R$11,$F910),INDEX(Accounts!$Q$2:$Q$11,$F910)+INDEX(Accounts!$S$2:$S$11,$F910))))),"")</f>
        <v/>
      </c>
      <c r="I910" s="16">
        <f>IF(AND($A910="",$B910="",$C910="",$D910="",$E910=""),"",IF(OR($A910="",$F910=""),"UNKNOWN_ACCOUNT",IF(OR($B910="",$C910=""),"INCOMPLETE",IFERROR(IF(OR(NOT(ISNUMBER($B910)),NOT(ISNUMBER($C910)),IF(C910="",FALSE,IF(ISNUMBER(C910),OR(C910&lt;=0,C910&gt;100000000,ROUND(C910*100,6)&lt;&gt;INT(ROUND(C910*100,6))),TRUE)),IF(D910="",FALSE,IF(ISNUMBER(D910),OR(D910&lt;=0,D910&gt;100000000,ROUND(D910*100,6)&lt;&gt;INT(ROUND(D910*100,6))),TRUE)),IF(E910="",FALSE,IF(ISNUMBER(E910),OR(E910&lt;=0,E910&gt;100000000,ROUND(E910*100,6)&lt;&gt;INT(ROUND(E910*100,6))),TRUE)),AND($D910&lt;&gt;"",$D910&lt;MAX($C910,$E910)),AND($E910&lt;&gt;"",$E910&gt;MIN($C910,IF($D910="",$C910,$D910))),COUNTIFS($A$2:$A$1001,$A910,$B$2:$B$1001,$B910)&gt;1),"INVALID",IFERROR(IF(IF(INDEX(Accounts!$T$2:$T$11,$F910),ROUND(IF($E910="",$C910,MIN($C910,$E910))-(H910),6)&lt;=0,ROUND(IF($E910="",$C910,MIN($C910,$E910))-(H910),6)&lt;0),"BREACHED","OK"),"INCOMPLETE")),"INVALID"))))</f>
        <v/>
      </c>
      <c r="J910" s="33">
        <f>IF(OR(I910="OK",I910="BREACHED"),-INT(ROUND(-(H910)*100,6))/100,I910)</f>
        <v/>
      </c>
    </row>
    <row r="911" ht="18" customHeight="1">
      <c r="A911" s="9" t="n"/>
      <c r="B911" s="32" t="n"/>
      <c r="C911" s="12" t="n"/>
      <c r="D911" s="12" t="n"/>
      <c r="E911" s="12" t="n"/>
      <c r="F911" s="15">
        <f>IFERROR(MATCH($A911,Accounts!$A$2:$A$11,0),"")</f>
        <v/>
      </c>
      <c r="G911" s="14">
        <f>IFERROR(IF(OR($A911="",$F911=""),"",IF(INDEX(Accounts!$P$2:$P$11,$F911)="static",INDEX(Accounts!$Q$2:$Q$11,$F911),IF(INDEX(Accounts!$P$2:$P$11,$F911)="eod_trailing",MAX(INDEX(Accounts!$Q$2:$Q$11,$F911),_xlfn.MAXIFS($C$2:$C$1001,$A$2:$A$1001,$A911,$B$2:$B$1001,"&lt;"&amp;$B911)),MAX(INDEX(Accounts!$Q$2:$Q$11,$F911),_xlfn.MAXIFS($C$2:$C$1001,$A$2:$A$1001,$A911,$B$2:$B$1001,"&lt;"&amp;$B911),_xlfn.MAXIFS($D$2:$D$1001,$A$2:$A$1001,$A911,$B$2:$B$1001,"&lt;="&amp;$B911),$C911)))),"")</f>
        <v/>
      </c>
      <c r="H911" s="15">
        <f>IFERROR(IF(G911="","",IF(INDEX(Accounts!$P$2:$P$11,$F911)="static",INDEX(Accounts!$Q$2:$Q$11,$F911)-INDEX(Accounts!$R$2:$R$11,$F911),IF(INDEX(Accounts!$S$2:$S$11,$F911)="NONE",G911-INDEX(Accounts!$R$2:$R$11,$F911),MIN(G911-INDEX(Accounts!$R$2:$R$11,$F911),INDEX(Accounts!$Q$2:$Q$11,$F911)+INDEX(Accounts!$S$2:$S$11,$F911))))),"")</f>
        <v/>
      </c>
      <c r="I911" s="16">
        <f>IF(AND($A911="",$B911="",$C911="",$D911="",$E911=""),"",IF(OR($A911="",$F911=""),"UNKNOWN_ACCOUNT",IF(OR($B911="",$C911=""),"INCOMPLETE",IFERROR(IF(OR(NOT(ISNUMBER($B911)),NOT(ISNUMBER($C911)),IF(C911="",FALSE,IF(ISNUMBER(C911),OR(C911&lt;=0,C911&gt;100000000,ROUND(C911*100,6)&lt;&gt;INT(ROUND(C911*100,6))),TRUE)),IF(D911="",FALSE,IF(ISNUMBER(D911),OR(D911&lt;=0,D911&gt;100000000,ROUND(D911*100,6)&lt;&gt;INT(ROUND(D911*100,6))),TRUE)),IF(E911="",FALSE,IF(ISNUMBER(E911),OR(E911&lt;=0,E911&gt;100000000,ROUND(E911*100,6)&lt;&gt;INT(ROUND(E911*100,6))),TRUE)),AND($D911&lt;&gt;"",$D911&lt;MAX($C911,$E911)),AND($E911&lt;&gt;"",$E911&gt;MIN($C911,IF($D911="",$C911,$D911))),COUNTIFS($A$2:$A$1001,$A911,$B$2:$B$1001,$B911)&gt;1),"INVALID",IFERROR(IF(IF(INDEX(Accounts!$T$2:$T$11,$F911),ROUND(IF($E911="",$C911,MIN($C911,$E911))-(H911),6)&lt;=0,ROUND(IF($E911="",$C911,MIN($C911,$E911))-(H911),6)&lt;0),"BREACHED","OK"),"INCOMPLETE")),"INVALID"))))</f>
        <v/>
      </c>
      <c r="J911" s="33">
        <f>IF(OR(I911="OK",I911="BREACHED"),-INT(ROUND(-(H911)*100,6))/100,I911)</f>
        <v/>
      </c>
    </row>
    <row r="912" ht="18" customHeight="1">
      <c r="A912" s="9" t="n"/>
      <c r="B912" s="32" t="n"/>
      <c r="C912" s="12" t="n"/>
      <c r="D912" s="12" t="n"/>
      <c r="E912" s="12" t="n"/>
      <c r="F912" s="15">
        <f>IFERROR(MATCH($A912,Accounts!$A$2:$A$11,0),"")</f>
        <v/>
      </c>
      <c r="G912" s="14">
        <f>IFERROR(IF(OR($A912="",$F912=""),"",IF(INDEX(Accounts!$P$2:$P$11,$F912)="static",INDEX(Accounts!$Q$2:$Q$11,$F912),IF(INDEX(Accounts!$P$2:$P$11,$F912)="eod_trailing",MAX(INDEX(Accounts!$Q$2:$Q$11,$F912),_xlfn.MAXIFS($C$2:$C$1001,$A$2:$A$1001,$A912,$B$2:$B$1001,"&lt;"&amp;$B912)),MAX(INDEX(Accounts!$Q$2:$Q$11,$F912),_xlfn.MAXIFS($C$2:$C$1001,$A$2:$A$1001,$A912,$B$2:$B$1001,"&lt;"&amp;$B912),_xlfn.MAXIFS($D$2:$D$1001,$A$2:$A$1001,$A912,$B$2:$B$1001,"&lt;="&amp;$B912),$C912)))),"")</f>
        <v/>
      </c>
      <c r="H912" s="15">
        <f>IFERROR(IF(G912="","",IF(INDEX(Accounts!$P$2:$P$11,$F912)="static",INDEX(Accounts!$Q$2:$Q$11,$F912)-INDEX(Accounts!$R$2:$R$11,$F912),IF(INDEX(Accounts!$S$2:$S$11,$F912)="NONE",G912-INDEX(Accounts!$R$2:$R$11,$F912),MIN(G912-INDEX(Accounts!$R$2:$R$11,$F912),INDEX(Accounts!$Q$2:$Q$11,$F912)+INDEX(Accounts!$S$2:$S$11,$F912))))),"")</f>
        <v/>
      </c>
      <c r="I912" s="16">
        <f>IF(AND($A912="",$B912="",$C912="",$D912="",$E912=""),"",IF(OR($A912="",$F912=""),"UNKNOWN_ACCOUNT",IF(OR($B912="",$C912=""),"INCOMPLETE",IFERROR(IF(OR(NOT(ISNUMBER($B912)),NOT(ISNUMBER($C912)),IF(C912="",FALSE,IF(ISNUMBER(C912),OR(C912&lt;=0,C912&gt;100000000,ROUND(C912*100,6)&lt;&gt;INT(ROUND(C912*100,6))),TRUE)),IF(D912="",FALSE,IF(ISNUMBER(D912),OR(D912&lt;=0,D912&gt;100000000,ROUND(D912*100,6)&lt;&gt;INT(ROUND(D912*100,6))),TRUE)),IF(E912="",FALSE,IF(ISNUMBER(E912),OR(E912&lt;=0,E912&gt;100000000,ROUND(E912*100,6)&lt;&gt;INT(ROUND(E912*100,6))),TRUE)),AND($D912&lt;&gt;"",$D912&lt;MAX($C912,$E912)),AND($E912&lt;&gt;"",$E912&gt;MIN($C912,IF($D912="",$C912,$D912))),COUNTIFS($A$2:$A$1001,$A912,$B$2:$B$1001,$B912)&gt;1),"INVALID",IFERROR(IF(IF(INDEX(Accounts!$T$2:$T$11,$F912),ROUND(IF($E912="",$C912,MIN($C912,$E912))-(H912),6)&lt;=0,ROUND(IF($E912="",$C912,MIN($C912,$E912))-(H912),6)&lt;0),"BREACHED","OK"),"INCOMPLETE")),"INVALID"))))</f>
        <v/>
      </c>
      <c r="J912" s="33">
        <f>IF(OR(I912="OK",I912="BREACHED"),-INT(ROUND(-(H912)*100,6))/100,I912)</f>
        <v/>
      </c>
    </row>
    <row r="913" ht="18" customHeight="1">
      <c r="A913" s="9" t="n"/>
      <c r="B913" s="32" t="n"/>
      <c r="C913" s="12" t="n"/>
      <c r="D913" s="12" t="n"/>
      <c r="E913" s="12" t="n"/>
      <c r="F913" s="15">
        <f>IFERROR(MATCH($A913,Accounts!$A$2:$A$11,0),"")</f>
        <v/>
      </c>
      <c r="G913" s="14">
        <f>IFERROR(IF(OR($A913="",$F913=""),"",IF(INDEX(Accounts!$P$2:$P$11,$F913)="static",INDEX(Accounts!$Q$2:$Q$11,$F913),IF(INDEX(Accounts!$P$2:$P$11,$F913)="eod_trailing",MAX(INDEX(Accounts!$Q$2:$Q$11,$F913),_xlfn.MAXIFS($C$2:$C$1001,$A$2:$A$1001,$A913,$B$2:$B$1001,"&lt;"&amp;$B913)),MAX(INDEX(Accounts!$Q$2:$Q$11,$F913),_xlfn.MAXIFS($C$2:$C$1001,$A$2:$A$1001,$A913,$B$2:$B$1001,"&lt;"&amp;$B913),_xlfn.MAXIFS($D$2:$D$1001,$A$2:$A$1001,$A913,$B$2:$B$1001,"&lt;="&amp;$B913),$C913)))),"")</f>
        <v/>
      </c>
      <c r="H913" s="15">
        <f>IFERROR(IF(G913="","",IF(INDEX(Accounts!$P$2:$P$11,$F913)="static",INDEX(Accounts!$Q$2:$Q$11,$F913)-INDEX(Accounts!$R$2:$R$11,$F913),IF(INDEX(Accounts!$S$2:$S$11,$F913)="NONE",G913-INDEX(Accounts!$R$2:$R$11,$F913),MIN(G913-INDEX(Accounts!$R$2:$R$11,$F913),INDEX(Accounts!$Q$2:$Q$11,$F913)+INDEX(Accounts!$S$2:$S$11,$F913))))),"")</f>
        <v/>
      </c>
      <c r="I913" s="16">
        <f>IF(AND($A913="",$B913="",$C913="",$D913="",$E913=""),"",IF(OR($A913="",$F913=""),"UNKNOWN_ACCOUNT",IF(OR($B913="",$C913=""),"INCOMPLETE",IFERROR(IF(OR(NOT(ISNUMBER($B913)),NOT(ISNUMBER($C913)),IF(C913="",FALSE,IF(ISNUMBER(C913),OR(C913&lt;=0,C913&gt;100000000,ROUND(C913*100,6)&lt;&gt;INT(ROUND(C913*100,6))),TRUE)),IF(D913="",FALSE,IF(ISNUMBER(D913),OR(D913&lt;=0,D913&gt;100000000,ROUND(D913*100,6)&lt;&gt;INT(ROUND(D913*100,6))),TRUE)),IF(E913="",FALSE,IF(ISNUMBER(E913),OR(E913&lt;=0,E913&gt;100000000,ROUND(E913*100,6)&lt;&gt;INT(ROUND(E913*100,6))),TRUE)),AND($D913&lt;&gt;"",$D913&lt;MAX($C913,$E913)),AND($E913&lt;&gt;"",$E913&gt;MIN($C913,IF($D913="",$C913,$D913))),COUNTIFS($A$2:$A$1001,$A913,$B$2:$B$1001,$B913)&gt;1),"INVALID",IFERROR(IF(IF(INDEX(Accounts!$T$2:$T$11,$F913),ROUND(IF($E913="",$C913,MIN($C913,$E913))-(H913),6)&lt;=0,ROUND(IF($E913="",$C913,MIN($C913,$E913))-(H913),6)&lt;0),"BREACHED","OK"),"INCOMPLETE")),"INVALID"))))</f>
        <v/>
      </c>
      <c r="J913" s="33">
        <f>IF(OR(I913="OK",I913="BREACHED"),-INT(ROUND(-(H913)*100,6))/100,I913)</f>
        <v/>
      </c>
    </row>
    <row r="914" ht="18" customHeight="1">
      <c r="A914" s="9" t="n"/>
      <c r="B914" s="32" t="n"/>
      <c r="C914" s="12" t="n"/>
      <c r="D914" s="12" t="n"/>
      <c r="E914" s="12" t="n"/>
      <c r="F914" s="15">
        <f>IFERROR(MATCH($A914,Accounts!$A$2:$A$11,0),"")</f>
        <v/>
      </c>
      <c r="G914" s="14">
        <f>IFERROR(IF(OR($A914="",$F914=""),"",IF(INDEX(Accounts!$P$2:$P$11,$F914)="static",INDEX(Accounts!$Q$2:$Q$11,$F914),IF(INDEX(Accounts!$P$2:$P$11,$F914)="eod_trailing",MAX(INDEX(Accounts!$Q$2:$Q$11,$F914),_xlfn.MAXIFS($C$2:$C$1001,$A$2:$A$1001,$A914,$B$2:$B$1001,"&lt;"&amp;$B914)),MAX(INDEX(Accounts!$Q$2:$Q$11,$F914),_xlfn.MAXIFS($C$2:$C$1001,$A$2:$A$1001,$A914,$B$2:$B$1001,"&lt;"&amp;$B914),_xlfn.MAXIFS($D$2:$D$1001,$A$2:$A$1001,$A914,$B$2:$B$1001,"&lt;="&amp;$B914),$C914)))),"")</f>
        <v/>
      </c>
      <c r="H914" s="15">
        <f>IFERROR(IF(G914="","",IF(INDEX(Accounts!$P$2:$P$11,$F914)="static",INDEX(Accounts!$Q$2:$Q$11,$F914)-INDEX(Accounts!$R$2:$R$11,$F914),IF(INDEX(Accounts!$S$2:$S$11,$F914)="NONE",G914-INDEX(Accounts!$R$2:$R$11,$F914),MIN(G914-INDEX(Accounts!$R$2:$R$11,$F914),INDEX(Accounts!$Q$2:$Q$11,$F914)+INDEX(Accounts!$S$2:$S$11,$F914))))),"")</f>
        <v/>
      </c>
      <c r="I914" s="16">
        <f>IF(AND($A914="",$B914="",$C914="",$D914="",$E914=""),"",IF(OR($A914="",$F914=""),"UNKNOWN_ACCOUNT",IF(OR($B914="",$C914=""),"INCOMPLETE",IFERROR(IF(OR(NOT(ISNUMBER($B914)),NOT(ISNUMBER($C914)),IF(C914="",FALSE,IF(ISNUMBER(C914),OR(C914&lt;=0,C914&gt;100000000,ROUND(C914*100,6)&lt;&gt;INT(ROUND(C914*100,6))),TRUE)),IF(D914="",FALSE,IF(ISNUMBER(D914),OR(D914&lt;=0,D914&gt;100000000,ROUND(D914*100,6)&lt;&gt;INT(ROUND(D914*100,6))),TRUE)),IF(E914="",FALSE,IF(ISNUMBER(E914),OR(E914&lt;=0,E914&gt;100000000,ROUND(E914*100,6)&lt;&gt;INT(ROUND(E914*100,6))),TRUE)),AND($D914&lt;&gt;"",$D914&lt;MAX($C914,$E914)),AND($E914&lt;&gt;"",$E914&gt;MIN($C914,IF($D914="",$C914,$D914))),COUNTIFS($A$2:$A$1001,$A914,$B$2:$B$1001,$B914)&gt;1),"INVALID",IFERROR(IF(IF(INDEX(Accounts!$T$2:$T$11,$F914),ROUND(IF($E914="",$C914,MIN($C914,$E914))-(H914),6)&lt;=0,ROUND(IF($E914="",$C914,MIN($C914,$E914))-(H914),6)&lt;0),"BREACHED","OK"),"INCOMPLETE")),"INVALID"))))</f>
        <v/>
      </c>
      <c r="J914" s="33">
        <f>IF(OR(I914="OK",I914="BREACHED"),-INT(ROUND(-(H914)*100,6))/100,I914)</f>
        <v/>
      </c>
    </row>
    <row r="915" ht="18" customHeight="1">
      <c r="A915" s="9" t="n"/>
      <c r="B915" s="32" t="n"/>
      <c r="C915" s="12" t="n"/>
      <c r="D915" s="12" t="n"/>
      <c r="E915" s="12" t="n"/>
      <c r="F915" s="15">
        <f>IFERROR(MATCH($A915,Accounts!$A$2:$A$11,0),"")</f>
        <v/>
      </c>
      <c r="G915" s="14">
        <f>IFERROR(IF(OR($A915="",$F915=""),"",IF(INDEX(Accounts!$P$2:$P$11,$F915)="static",INDEX(Accounts!$Q$2:$Q$11,$F915),IF(INDEX(Accounts!$P$2:$P$11,$F915)="eod_trailing",MAX(INDEX(Accounts!$Q$2:$Q$11,$F915),_xlfn.MAXIFS($C$2:$C$1001,$A$2:$A$1001,$A915,$B$2:$B$1001,"&lt;"&amp;$B915)),MAX(INDEX(Accounts!$Q$2:$Q$11,$F915),_xlfn.MAXIFS($C$2:$C$1001,$A$2:$A$1001,$A915,$B$2:$B$1001,"&lt;"&amp;$B915),_xlfn.MAXIFS($D$2:$D$1001,$A$2:$A$1001,$A915,$B$2:$B$1001,"&lt;="&amp;$B915),$C915)))),"")</f>
        <v/>
      </c>
      <c r="H915" s="15">
        <f>IFERROR(IF(G915="","",IF(INDEX(Accounts!$P$2:$P$11,$F915)="static",INDEX(Accounts!$Q$2:$Q$11,$F915)-INDEX(Accounts!$R$2:$R$11,$F915),IF(INDEX(Accounts!$S$2:$S$11,$F915)="NONE",G915-INDEX(Accounts!$R$2:$R$11,$F915),MIN(G915-INDEX(Accounts!$R$2:$R$11,$F915),INDEX(Accounts!$Q$2:$Q$11,$F915)+INDEX(Accounts!$S$2:$S$11,$F915))))),"")</f>
        <v/>
      </c>
      <c r="I915" s="16">
        <f>IF(AND($A915="",$B915="",$C915="",$D915="",$E915=""),"",IF(OR($A915="",$F915=""),"UNKNOWN_ACCOUNT",IF(OR($B915="",$C915=""),"INCOMPLETE",IFERROR(IF(OR(NOT(ISNUMBER($B915)),NOT(ISNUMBER($C915)),IF(C915="",FALSE,IF(ISNUMBER(C915),OR(C915&lt;=0,C915&gt;100000000,ROUND(C915*100,6)&lt;&gt;INT(ROUND(C915*100,6))),TRUE)),IF(D915="",FALSE,IF(ISNUMBER(D915),OR(D915&lt;=0,D915&gt;100000000,ROUND(D915*100,6)&lt;&gt;INT(ROUND(D915*100,6))),TRUE)),IF(E915="",FALSE,IF(ISNUMBER(E915),OR(E915&lt;=0,E915&gt;100000000,ROUND(E915*100,6)&lt;&gt;INT(ROUND(E915*100,6))),TRUE)),AND($D915&lt;&gt;"",$D915&lt;MAX($C915,$E915)),AND($E915&lt;&gt;"",$E915&gt;MIN($C915,IF($D915="",$C915,$D915))),COUNTIFS($A$2:$A$1001,$A915,$B$2:$B$1001,$B915)&gt;1),"INVALID",IFERROR(IF(IF(INDEX(Accounts!$T$2:$T$11,$F915),ROUND(IF($E915="",$C915,MIN($C915,$E915))-(H915),6)&lt;=0,ROUND(IF($E915="",$C915,MIN($C915,$E915))-(H915),6)&lt;0),"BREACHED","OK"),"INCOMPLETE")),"INVALID"))))</f>
        <v/>
      </c>
      <c r="J915" s="33">
        <f>IF(OR(I915="OK",I915="BREACHED"),-INT(ROUND(-(H915)*100,6))/100,I915)</f>
        <v/>
      </c>
    </row>
    <row r="916" ht="18" customHeight="1">
      <c r="A916" s="9" t="n"/>
      <c r="B916" s="32" t="n"/>
      <c r="C916" s="12" t="n"/>
      <c r="D916" s="12" t="n"/>
      <c r="E916" s="12" t="n"/>
      <c r="F916" s="15">
        <f>IFERROR(MATCH($A916,Accounts!$A$2:$A$11,0),"")</f>
        <v/>
      </c>
      <c r="G916" s="14">
        <f>IFERROR(IF(OR($A916="",$F916=""),"",IF(INDEX(Accounts!$P$2:$P$11,$F916)="static",INDEX(Accounts!$Q$2:$Q$11,$F916),IF(INDEX(Accounts!$P$2:$P$11,$F916)="eod_trailing",MAX(INDEX(Accounts!$Q$2:$Q$11,$F916),_xlfn.MAXIFS($C$2:$C$1001,$A$2:$A$1001,$A916,$B$2:$B$1001,"&lt;"&amp;$B916)),MAX(INDEX(Accounts!$Q$2:$Q$11,$F916),_xlfn.MAXIFS($C$2:$C$1001,$A$2:$A$1001,$A916,$B$2:$B$1001,"&lt;"&amp;$B916),_xlfn.MAXIFS($D$2:$D$1001,$A$2:$A$1001,$A916,$B$2:$B$1001,"&lt;="&amp;$B916),$C916)))),"")</f>
        <v/>
      </c>
      <c r="H916" s="15">
        <f>IFERROR(IF(G916="","",IF(INDEX(Accounts!$P$2:$P$11,$F916)="static",INDEX(Accounts!$Q$2:$Q$11,$F916)-INDEX(Accounts!$R$2:$R$11,$F916),IF(INDEX(Accounts!$S$2:$S$11,$F916)="NONE",G916-INDEX(Accounts!$R$2:$R$11,$F916),MIN(G916-INDEX(Accounts!$R$2:$R$11,$F916),INDEX(Accounts!$Q$2:$Q$11,$F916)+INDEX(Accounts!$S$2:$S$11,$F916))))),"")</f>
        <v/>
      </c>
      <c r="I916" s="16">
        <f>IF(AND($A916="",$B916="",$C916="",$D916="",$E916=""),"",IF(OR($A916="",$F916=""),"UNKNOWN_ACCOUNT",IF(OR($B916="",$C916=""),"INCOMPLETE",IFERROR(IF(OR(NOT(ISNUMBER($B916)),NOT(ISNUMBER($C916)),IF(C916="",FALSE,IF(ISNUMBER(C916),OR(C916&lt;=0,C916&gt;100000000,ROUND(C916*100,6)&lt;&gt;INT(ROUND(C916*100,6))),TRUE)),IF(D916="",FALSE,IF(ISNUMBER(D916),OR(D916&lt;=0,D916&gt;100000000,ROUND(D916*100,6)&lt;&gt;INT(ROUND(D916*100,6))),TRUE)),IF(E916="",FALSE,IF(ISNUMBER(E916),OR(E916&lt;=0,E916&gt;100000000,ROUND(E916*100,6)&lt;&gt;INT(ROUND(E916*100,6))),TRUE)),AND($D916&lt;&gt;"",$D916&lt;MAX($C916,$E916)),AND($E916&lt;&gt;"",$E916&gt;MIN($C916,IF($D916="",$C916,$D916))),COUNTIFS($A$2:$A$1001,$A916,$B$2:$B$1001,$B916)&gt;1),"INVALID",IFERROR(IF(IF(INDEX(Accounts!$T$2:$T$11,$F916),ROUND(IF($E916="",$C916,MIN($C916,$E916))-(H916),6)&lt;=0,ROUND(IF($E916="",$C916,MIN($C916,$E916))-(H916),6)&lt;0),"BREACHED","OK"),"INCOMPLETE")),"INVALID"))))</f>
        <v/>
      </c>
      <c r="J916" s="33">
        <f>IF(OR(I916="OK",I916="BREACHED"),-INT(ROUND(-(H916)*100,6))/100,I916)</f>
        <v/>
      </c>
    </row>
    <row r="917" ht="18" customHeight="1">
      <c r="A917" s="9" t="n"/>
      <c r="B917" s="32" t="n"/>
      <c r="C917" s="12" t="n"/>
      <c r="D917" s="12" t="n"/>
      <c r="E917" s="12" t="n"/>
      <c r="F917" s="15">
        <f>IFERROR(MATCH($A917,Accounts!$A$2:$A$11,0),"")</f>
        <v/>
      </c>
      <c r="G917" s="14">
        <f>IFERROR(IF(OR($A917="",$F917=""),"",IF(INDEX(Accounts!$P$2:$P$11,$F917)="static",INDEX(Accounts!$Q$2:$Q$11,$F917),IF(INDEX(Accounts!$P$2:$P$11,$F917)="eod_trailing",MAX(INDEX(Accounts!$Q$2:$Q$11,$F917),_xlfn.MAXIFS($C$2:$C$1001,$A$2:$A$1001,$A917,$B$2:$B$1001,"&lt;"&amp;$B917)),MAX(INDEX(Accounts!$Q$2:$Q$11,$F917),_xlfn.MAXIFS($C$2:$C$1001,$A$2:$A$1001,$A917,$B$2:$B$1001,"&lt;"&amp;$B917),_xlfn.MAXIFS($D$2:$D$1001,$A$2:$A$1001,$A917,$B$2:$B$1001,"&lt;="&amp;$B917),$C917)))),"")</f>
        <v/>
      </c>
      <c r="H917" s="15">
        <f>IFERROR(IF(G917="","",IF(INDEX(Accounts!$P$2:$P$11,$F917)="static",INDEX(Accounts!$Q$2:$Q$11,$F917)-INDEX(Accounts!$R$2:$R$11,$F917),IF(INDEX(Accounts!$S$2:$S$11,$F917)="NONE",G917-INDEX(Accounts!$R$2:$R$11,$F917),MIN(G917-INDEX(Accounts!$R$2:$R$11,$F917),INDEX(Accounts!$Q$2:$Q$11,$F917)+INDEX(Accounts!$S$2:$S$11,$F917))))),"")</f>
        <v/>
      </c>
      <c r="I917" s="16">
        <f>IF(AND($A917="",$B917="",$C917="",$D917="",$E917=""),"",IF(OR($A917="",$F917=""),"UNKNOWN_ACCOUNT",IF(OR($B917="",$C917=""),"INCOMPLETE",IFERROR(IF(OR(NOT(ISNUMBER($B917)),NOT(ISNUMBER($C917)),IF(C917="",FALSE,IF(ISNUMBER(C917),OR(C917&lt;=0,C917&gt;100000000,ROUND(C917*100,6)&lt;&gt;INT(ROUND(C917*100,6))),TRUE)),IF(D917="",FALSE,IF(ISNUMBER(D917),OR(D917&lt;=0,D917&gt;100000000,ROUND(D917*100,6)&lt;&gt;INT(ROUND(D917*100,6))),TRUE)),IF(E917="",FALSE,IF(ISNUMBER(E917),OR(E917&lt;=0,E917&gt;100000000,ROUND(E917*100,6)&lt;&gt;INT(ROUND(E917*100,6))),TRUE)),AND($D917&lt;&gt;"",$D917&lt;MAX($C917,$E917)),AND($E917&lt;&gt;"",$E917&gt;MIN($C917,IF($D917="",$C917,$D917))),COUNTIFS($A$2:$A$1001,$A917,$B$2:$B$1001,$B917)&gt;1),"INVALID",IFERROR(IF(IF(INDEX(Accounts!$T$2:$T$11,$F917),ROUND(IF($E917="",$C917,MIN($C917,$E917))-(H917),6)&lt;=0,ROUND(IF($E917="",$C917,MIN($C917,$E917))-(H917),6)&lt;0),"BREACHED","OK"),"INCOMPLETE")),"INVALID"))))</f>
        <v/>
      </c>
      <c r="J917" s="33">
        <f>IF(OR(I917="OK",I917="BREACHED"),-INT(ROUND(-(H917)*100,6))/100,I917)</f>
        <v/>
      </c>
    </row>
    <row r="918" ht="18" customHeight="1">
      <c r="A918" s="9" t="n"/>
      <c r="B918" s="32" t="n"/>
      <c r="C918" s="12" t="n"/>
      <c r="D918" s="12" t="n"/>
      <c r="E918" s="12" t="n"/>
      <c r="F918" s="15">
        <f>IFERROR(MATCH($A918,Accounts!$A$2:$A$11,0),"")</f>
        <v/>
      </c>
      <c r="G918" s="14">
        <f>IFERROR(IF(OR($A918="",$F918=""),"",IF(INDEX(Accounts!$P$2:$P$11,$F918)="static",INDEX(Accounts!$Q$2:$Q$11,$F918),IF(INDEX(Accounts!$P$2:$P$11,$F918)="eod_trailing",MAX(INDEX(Accounts!$Q$2:$Q$11,$F918),_xlfn.MAXIFS($C$2:$C$1001,$A$2:$A$1001,$A918,$B$2:$B$1001,"&lt;"&amp;$B918)),MAX(INDEX(Accounts!$Q$2:$Q$11,$F918),_xlfn.MAXIFS($C$2:$C$1001,$A$2:$A$1001,$A918,$B$2:$B$1001,"&lt;"&amp;$B918),_xlfn.MAXIFS($D$2:$D$1001,$A$2:$A$1001,$A918,$B$2:$B$1001,"&lt;="&amp;$B918),$C918)))),"")</f>
        <v/>
      </c>
      <c r="H918" s="15">
        <f>IFERROR(IF(G918="","",IF(INDEX(Accounts!$P$2:$P$11,$F918)="static",INDEX(Accounts!$Q$2:$Q$11,$F918)-INDEX(Accounts!$R$2:$R$11,$F918),IF(INDEX(Accounts!$S$2:$S$11,$F918)="NONE",G918-INDEX(Accounts!$R$2:$R$11,$F918),MIN(G918-INDEX(Accounts!$R$2:$R$11,$F918),INDEX(Accounts!$Q$2:$Q$11,$F918)+INDEX(Accounts!$S$2:$S$11,$F918))))),"")</f>
        <v/>
      </c>
      <c r="I918" s="16">
        <f>IF(AND($A918="",$B918="",$C918="",$D918="",$E918=""),"",IF(OR($A918="",$F918=""),"UNKNOWN_ACCOUNT",IF(OR($B918="",$C918=""),"INCOMPLETE",IFERROR(IF(OR(NOT(ISNUMBER($B918)),NOT(ISNUMBER($C918)),IF(C918="",FALSE,IF(ISNUMBER(C918),OR(C918&lt;=0,C918&gt;100000000,ROUND(C918*100,6)&lt;&gt;INT(ROUND(C918*100,6))),TRUE)),IF(D918="",FALSE,IF(ISNUMBER(D918),OR(D918&lt;=0,D918&gt;100000000,ROUND(D918*100,6)&lt;&gt;INT(ROUND(D918*100,6))),TRUE)),IF(E918="",FALSE,IF(ISNUMBER(E918),OR(E918&lt;=0,E918&gt;100000000,ROUND(E918*100,6)&lt;&gt;INT(ROUND(E918*100,6))),TRUE)),AND($D918&lt;&gt;"",$D918&lt;MAX($C918,$E918)),AND($E918&lt;&gt;"",$E918&gt;MIN($C918,IF($D918="",$C918,$D918))),COUNTIFS($A$2:$A$1001,$A918,$B$2:$B$1001,$B918)&gt;1),"INVALID",IFERROR(IF(IF(INDEX(Accounts!$T$2:$T$11,$F918),ROUND(IF($E918="",$C918,MIN($C918,$E918))-(H918),6)&lt;=0,ROUND(IF($E918="",$C918,MIN($C918,$E918))-(H918),6)&lt;0),"BREACHED","OK"),"INCOMPLETE")),"INVALID"))))</f>
        <v/>
      </c>
      <c r="J918" s="33">
        <f>IF(OR(I918="OK",I918="BREACHED"),-INT(ROUND(-(H918)*100,6))/100,I918)</f>
        <v/>
      </c>
    </row>
    <row r="919" ht="18" customHeight="1">
      <c r="A919" s="9" t="n"/>
      <c r="B919" s="32" t="n"/>
      <c r="C919" s="12" t="n"/>
      <c r="D919" s="12" t="n"/>
      <c r="E919" s="12" t="n"/>
      <c r="F919" s="15">
        <f>IFERROR(MATCH($A919,Accounts!$A$2:$A$11,0),"")</f>
        <v/>
      </c>
      <c r="G919" s="14">
        <f>IFERROR(IF(OR($A919="",$F919=""),"",IF(INDEX(Accounts!$P$2:$P$11,$F919)="static",INDEX(Accounts!$Q$2:$Q$11,$F919),IF(INDEX(Accounts!$P$2:$P$11,$F919)="eod_trailing",MAX(INDEX(Accounts!$Q$2:$Q$11,$F919),_xlfn.MAXIFS($C$2:$C$1001,$A$2:$A$1001,$A919,$B$2:$B$1001,"&lt;"&amp;$B919)),MAX(INDEX(Accounts!$Q$2:$Q$11,$F919),_xlfn.MAXIFS($C$2:$C$1001,$A$2:$A$1001,$A919,$B$2:$B$1001,"&lt;"&amp;$B919),_xlfn.MAXIFS($D$2:$D$1001,$A$2:$A$1001,$A919,$B$2:$B$1001,"&lt;="&amp;$B919),$C919)))),"")</f>
        <v/>
      </c>
      <c r="H919" s="15">
        <f>IFERROR(IF(G919="","",IF(INDEX(Accounts!$P$2:$P$11,$F919)="static",INDEX(Accounts!$Q$2:$Q$11,$F919)-INDEX(Accounts!$R$2:$R$11,$F919),IF(INDEX(Accounts!$S$2:$S$11,$F919)="NONE",G919-INDEX(Accounts!$R$2:$R$11,$F919),MIN(G919-INDEX(Accounts!$R$2:$R$11,$F919),INDEX(Accounts!$Q$2:$Q$11,$F919)+INDEX(Accounts!$S$2:$S$11,$F919))))),"")</f>
        <v/>
      </c>
      <c r="I919" s="16">
        <f>IF(AND($A919="",$B919="",$C919="",$D919="",$E919=""),"",IF(OR($A919="",$F919=""),"UNKNOWN_ACCOUNT",IF(OR($B919="",$C919=""),"INCOMPLETE",IFERROR(IF(OR(NOT(ISNUMBER($B919)),NOT(ISNUMBER($C919)),IF(C919="",FALSE,IF(ISNUMBER(C919),OR(C919&lt;=0,C919&gt;100000000,ROUND(C919*100,6)&lt;&gt;INT(ROUND(C919*100,6))),TRUE)),IF(D919="",FALSE,IF(ISNUMBER(D919),OR(D919&lt;=0,D919&gt;100000000,ROUND(D919*100,6)&lt;&gt;INT(ROUND(D919*100,6))),TRUE)),IF(E919="",FALSE,IF(ISNUMBER(E919),OR(E919&lt;=0,E919&gt;100000000,ROUND(E919*100,6)&lt;&gt;INT(ROUND(E919*100,6))),TRUE)),AND($D919&lt;&gt;"",$D919&lt;MAX($C919,$E919)),AND($E919&lt;&gt;"",$E919&gt;MIN($C919,IF($D919="",$C919,$D919))),COUNTIFS($A$2:$A$1001,$A919,$B$2:$B$1001,$B919)&gt;1),"INVALID",IFERROR(IF(IF(INDEX(Accounts!$T$2:$T$11,$F919),ROUND(IF($E919="",$C919,MIN($C919,$E919))-(H919),6)&lt;=0,ROUND(IF($E919="",$C919,MIN($C919,$E919))-(H919),6)&lt;0),"BREACHED","OK"),"INCOMPLETE")),"INVALID"))))</f>
        <v/>
      </c>
      <c r="J919" s="33">
        <f>IF(OR(I919="OK",I919="BREACHED"),-INT(ROUND(-(H919)*100,6))/100,I919)</f>
        <v/>
      </c>
    </row>
    <row r="920" ht="18" customHeight="1">
      <c r="A920" s="9" t="n"/>
      <c r="B920" s="32" t="n"/>
      <c r="C920" s="12" t="n"/>
      <c r="D920" s="12" t="n"/>
      <c r="E920" s="12" t="n"/>
      <c r="F920" s="15">
        <f>IFERROR(MATCH($A920,Accounts!$A$2:$A$11,0),"")</f>
        <v/>
      </c>
      <c r="G920" s="14">
        <f>IFERROR(IF(OR($A920="",$F920=""),"",IF(INDEX(Accounts!$P$2:$P$11,$F920)="static",INDEX(Accounts!$Q$2:$Q$11,$F920),IF(INDEX(Accounts!$P$2:$P$11,$F920)="eod_trailing",MAX(INDEX(Accounts!$Q$2:$Q$11,$F920),_xlfn.MAXIFS($C$2:$C$1001,$A$2:$A$1001,$A920,$B$2:$B$1001,"&lt;"&amp;$B920)),MAX(INDEX(Accounts!$Q$2:$Q$11,$F920),_xlfn.MAXIFS($C$2:$C$1001,$A$2:$A$1001,$A920,$B$2:$B$1001,"&lt;"&amp;$B920),_xlfn.MAXIFS($D$2:$D$1001,$A$2:$A$1001,$A920,$B$2:$B$1001,"&lt;="&amp;$B920),$C920)))),"")</f>
        <v/>
      </c>
      <c r="H920" s="15">
        <f>IFERROR(IF(G920="","",IF(INDEX(Accounts!$P$2:$P$11,$F920)="static",INDEX(Accounts!$Q$2:$Q$11,$F920)-INDEX(Accounts!$R$2:$R$11,$F920),IF(INDEX(Accounts!$S$2:$S$11,$F920)="NONE",G920-INDEX(Accounts!$R$2:$R$11,$F920),MIN(G920-INDEX(Accounts!$R$2:$R$11,$F920),INDEX(Accounts!$Q$2:$Q$11,$F920)+INDEX(Accounts!$S$2:$S$11,$F920))))),"")</f>
        <v/>
      </c>
      <c r="I920" s="16">
        <f>IF(AND($A920="",$B920="",$C920="",$D920="",$E920=""),"",IF(OR($A920="",$F920=""),"UNKNOWN_ACCOUNT",IF(OR($B920="",$C920=""),"INCOMPLETE",IFERROR(IF(OR(NOT(ISNUMBER($B920)),NOT(ISNUMBER($C920)),IF(C920="",FALSE,IF(ISNUMBER(C920),OR(C920&lt;=0,C920&gt;100000000,ROUND(C920*100,6)&lt;&gt;INT(ROUND(C920*100,6))),TRUE)),IF(D920="",FALSE,IF(ISNUMBER(D920),OR(D920&lt;=0,D920&gt;100000000,ROUND(D920*100,6)&lt;&gt;INT(ROUND(D920*100,6))),TRUE)),IF(E920="",FALSE,IF(ISNUMBER(E920),OR(E920&lt;=0,E920&gt;100000000,ROUND(E920*100,6)&lt;&gt;INT(ROUND(E920*100,6))),TRUE)),AND($D920&lt;&gt;"",$D920&lt;MAX($C920,$E920)),AND($E920&lt;&gt;"",$E920&gt;MIN($C920,IF($D920="",$C920,$D920))),COUNTIFS($A$2:$A$1001,$A920,$B$2:$B$1001,$B920)&gt;1),"INVALID",IFERROR(IF(IF(INDEX(Accounts!$T$2:$T$11,$F920),ROUND(IF($E920="",$C920,MIN($C920,$E920))-(H920),6)&lt;=0,ROUND(IF($E920="",$C920,MIN($C920,$E920))-(H920),6)&lt;0),"BREACHED","OK"),"INCOMPLETE")),"INVALID"))))</f>
        <v/>
      </c>
      <c r="J920" s="33">
        <f>IF(OR(I920="OK",I920="BREACHED"),-INT(ROUND(-(H920)*100,6))/100,I920)</f>
        <v/>
      </c>
    </row>
    <row r="921" ht="18" customHeight="1">
      <c r="A921" s="9" t="n"/>
      <c r="B921" s="32" t="n"/>
      <c r="C921" s="12" t="n"/>
      <c r="D921" s="12" t="n"/>
      <c r="E921" s="12" t="n"/>
      <c r="F921" s="15">
        <f>IFERROR(MATCH($A921,Accounts!$A$2:$A$11,0),"")</f>
        <v/>
      </c>
      <c r="G921" s="14">
        <f>IFERROR(IF(OR($A921="",$F921=""),"",IF(INDEX(Accounts!$P$2:$P$11,$F921)="static",INDEX(Accounts!$Q$2:$Q$11,$F921),IF(INDEX(Accounts!$P$2:$P$11,$F921)="eod_trailing",MAX(INDEX(Accounts!$Q$2:$Q$11,$F921),_xlfn.MAXIFS($C$2:$C$1001,$A$2:$A$1001,$A921,$B$2:$B$1001,"&lt;"&amp;$B921)),MAX(INDEX(Accounts!$Q$2:$Q$11,$F921),_xlfn.MAXIFS($C$2:$C$1001,$A$2:$A$1001,$A921,$B$2:$B$1001,"&lt;"&amp;$B921),_xlfn.MAXIFS($D$2:$D$1001,$A$2:$A$1001,$A921,$B$2:$B$1001,"&lt;="&amp;$B921),$C921)))),"")</f>
        <v/>
      </c>
      <c r="H921" s="15">
        <f>IFERROR(IF(G921="","",IF(INDEX(Accounts!$P$2:$P$11,$F921)="static",INDEX(Accounts!$Q$2:$Q$11,$F921)-INDEX(Accounts!$R$2:$R$11,$F921),IF(INDEX(Accounts!$S$2:$S$11,$F921)="NONE",G921-INDEX(Accounts!$R$2:$R$11,$F921),MIN(G921-INDEX(Accounts!$R$2:$R$11,$F921),INDEX(Accounts!$Q$2:$Q$11,$F921)+INDEX(Accounts!$S$2:$S$11,$F921))))),"")</f>
        <v/>
      </c>
      <c r="I921" s="16">
        <f>IF(AND($A921="",$B921="",$C921="",$D921="",$E921=""),"",IF(OR($A921="",$F921=""),"UNKNOWN_ACCOUNT",IF(OR($B921="",$C921=""),"INCOMPLETE",IFERROR(IF(OR(NOT(ISNUMBER($B921)),NOT(ISNUMBER($C921)),IF(C921="",FALSE,IF(ISNUMBER(C921),OR(C921&lt;=0,C921&gt;100000000,ROUND(C921*100,6)&lt;&gt;INT(ROUND(C921*100,6))),TRUE)),IF(D921="",FALSE,IF(ISNUMBER(D921),OR(D921&lt;=0,D921&gt;100000000,ROUND(D921*100,6)&lt;&gt;INT(ROUND(D921*100,6))),TRUE)),IF(E921="",FALSE,IF(ISNUMBER(E921),OR(E921&lt;=0,E921&gt;100000000,ROUND(E921*100,6)&lt;&gt;INT(ROUND(E921*100,6))),TRUE)),AND($D921&lt;&gt;"",$D921&lt;MAX($C921,$E921)),AND($E921&lt;&gt;"",$E921&gt;MIN($C921,IF($D921="",$C921,$D921))),COUNTIFS($A$2:$A$1001,$A921,$B$2:$B$1001,$B921)&gt;1),"INVALID",IFERROR(IF(IF(INDEX(Accounts!$T$2:$T$11,$F921),ROUND(IF($E921="",$C921,MIN($C921,$E921))-(H921),6)&lt;=0,ROUND(IF($E921="",$C921,MIN($C921,$E921))-(H921),6)&lt;0),"BREACHED","OK"),"INCOMPLETE")),"INVALID"))))</f>
        <v/>
      </c>
      <c r="J921" s="33">
        <f>IF(OR(I921="OK",I921="BREACHED"),-INT(ROUND(-(H921)*100,6))/100,I921)</f>
        <v/>
      </c>
    </row>
    <row r="922" ht="18" customHeight="1">
      <c r="A922" s="9" t="n"/>
      <c r="B922" s="32" t="n"/>
      <c r="C922" s="12" t="n"/>
      <c r="D922" s="12" t="n"/>
      <c r="E922" s="12" t="n"/>
      <c r="F922" s="15">
        <f>IFERROR(MATCH($A922,Accounts!$A$2:$A$11,0),"")</f>
        <v/>
      </c>
      <c r="G922" s="14">
        <f>IFERROR(IF(OR($A922="",$F922=""),"",IF(INDEX(Accounts!$P$2:$P$11,$F922)="static",INDEX(Accounts!$Q$2:$Q$11,$F922),IF(INDEX(Accounts!$P$2:$P$11,$F922)="eod_trailing",MAX(INDEX(Accounts!$Q$2:$Q$11,$F922),_xlfn.MAXIFS($C$2:$C$1001,$A$2:$A$1001,$A922,$B$2:$B$1001,"&lt;"&amp;$B922)),MAX(INDEX(Accounts!$Q$2:$Q$11,$F922),_xlfn.MAXIFS($C$2:$C$1001,$A$2:$A$1001,$A922,$B$2:$B$1001,"&lt;"&amp;$B922),_xlfn.MAXIFS($D$2:$D$1001,$A$2:$A$1001,$A922,$B$2:$B$1001,"&lt;="&amp;$B922),$C922)))),"")</f>
        <v/>
      </c>
      <c r="H922" s="15">
        <f>IFERROR(IF(G922="","",IF(INDEX(Accounts!$P$2:$P$11,$F922)="static",INDEX(Accounts!$Q$2:$Q$11,$F922)-INDEX(Accounts!$R$2:$R$11,$F922),IF(INDEX(Accounts!$S$2:$S$11,$F922)="NONE",G922-INDEX(Accounts!$R$2:$R$11,$F922),MIN(G922-INDEX(Accounts!$R$2:$R$11,$F922),INDEX(Accounts!$Q$2:$Q$11,$F922)+INDEX(Accounts!$S$2:$S$11,$F922))))),"")</f>
        <v/>
      </c>
      <c r="I922" s="16">
        <f>IF(AND($A922="",$B922="",$C922="",$D922="",$E922=""),"",IF(OR($A922="",$F922=""),"UNKNOWN_ACCOUNT",IF(OR($B922="",$C922=""),"INCOMPLETE",IFERROR(IF(OR(NOT(ISNUMBER($B922)),NOT(ISNUMBER($C922)),IF(C922="",FALSE,IF(ISNUMBER(C922),OR(C922&lt;=0,C922&gt;100000000,ROUND(C922*100,6)&lt;&gt;INT(ROUND(C922*100,6))),TRUE)),IF(D922="",FALSE,IF(ISNUMBER(D922),OR(D922&lt;=0,D922&gt;100000000,ROUND(D922*100,6)&lt;&gt;INT(ROUND(D922*100,6))),TRUE)),IF(E922="",FALSE,IF(ISNUMBER(E922),OR(E922&lt;=0,E922&gt;100000000,ROUND(E922*100,6)&lt;&gt;INT(ROUND(E922*100,6))),TRUE)),AND($D922&lt;&gt;"",$D922&lt;MAX($C922,$E922)),AND($E922&lt;&gt;"",$E922&gt;MIN($C922,IF($D922="",$C922,$D922))),COUNTIFS($A$2:$A$1001,$A922,$B$2:$B$1001,$B922)&gt;1),"INVALID",IFERROR(IF(IF(INDEX(Accounts!$T$2:$T$11,$F922),ROUND(IF($E922="",$C922,MIN($C922,$E922))-(H922),6)&lt;=0,ROUND(IF($E922="",$C922,MIN($C922,$E922))-(H922),6)&lt;0),"BREACHED","OK"),"INCOMPLETE")),"INVALID"))))</f>
        <v/>
      </c>
      <c r="J922" s="33">
        <f>IF(OR(I922="OK",I922="BREACHED"),-INT(ROUND(-(H922)*100,6))/100,I922)</f>
        <v/>
      </c>
    </row>
    <row r="923" ht="18" customHeight="1">
      <c r="A923" s="9" t="n"/>
      <c r="B923" s="32" t="n"/>
      <c r="C923" s="12" t="n"/>
      <c r="D923" s="12" t="n"/>
      <c r="E923" s="12" t="n"/>
      <c r="F923" s="15">
        <f>IFERROR(MATCH($A923,Accounts!$A$2:$A$11,0),"")</f>
        <v/>
      </c>
      <c r="G923" s="14">
        <f>IFERROR(IF(OR($A923="",$F923=""),"",IF(INDEX(Accounts!$P$2:$P$11,$F923)="static",INDEX(Accounts!$Q$2:$Q$11,$F923),IF(INDEX(Accounts!$P$2:$P$11,$F923)="eod_trailing",MAX(INDEX(Accounts!$Q$2:$Q$11,$F923),_xlfn.MAXIFS($C$2:$C$1001,$A$2:$A$1001,$A923,$B$2:$B$1001,"&lt;"&amp;$B923)),MAX(INDEX(Accounts!$Q$2:$Q$11,$F923),_xlfn.MAXIFS($C$2:$C$1001,$A$2:$A$1001,$A923,$B$2:$B$1001,"&lt;"&amp;$B923),_xlfn.MAXIFS($D$2:$D$1001,$A$2:$A$1001,$A923,$B$2:$B$1001,"&lt;="&amp;$B923),$C923)))),"")</f>
        <v/>
      </c>
      <c r="H923" s="15">
        <f>IFERROR(IF(G923="","",IF(INDEX(Accounts!$P$2:$P$11,$F923)="static",INDEX(Accounts!$Q$2:$Q$11,$F923)-INDEX(Accounts!$R$2:$R$11,$F923),IF(INDEX(Accounts!$S$2:$S$11,$F923)="NONE",G923-INDEX(Accounts!$R$2:$R$11,$F923),MIN(G923-INDEX(Accounts!$R$2:$R$11,$F923),INDEX(Accounts!$Q$2:$Q$11,$F923)+INDEX(Accounts!$S$2:$S$11,$F923))))),"")</f>
        <v/>
      </c>
      <c r="I923" s="16">
        <f>IF(AND($A923="",$B923="",$C923="",$D923="",$E923=""),"",IF(OR($A923="",$F923=""),"UNKNOWN_ACCOUNT",IF(OR($B923="",$C923=""),"INCOMPLETE",IFERROR(IF(OR(NOT(ISNUMBER($B923)),NOT(ISNUMBER($C923)),IF(C923="",FALSE,IF(ISNUMBER(C923),OR(C923&lt;=0,C923&gt;100000000,ROUND(C923*100,6)&lt;&gt;INT(ROUND(C923*100,6))),TRUE)),IF(D923="",FALSE,IF(ISNUMBER(D923),OR(D923&lt;=0,D923&gt;100000000,ROUND(D923*100,6)&lt;&gt;INT(ROUND(D923*100,6))),TRUE)),IF(E923="",FALSE,IF(ISNUMBER(E923),OR(E923&lt;=0,E923&gt;100000000,ROUND(E923*100,6)&lt;&gt;INT(ROUND(E923*100,6))),TRUE)),AND($D923&lt;&gt;"",$D923&lt;MAX($C923,$E923)),AND($E923&lt;&gt;"",$E923&gt;MIN($C923,IF($D923="",$C923,$D923))),COUNTIFS($A$2:$A$1001,$A923,$B$2:$B$1001,$B923)&gt;1),"INVALID",IFERROR(IF(IF(INDEX(Accounts!$T$2:$T$11,$F923),ROUND(IF($E923="",$C923,MIN($C923,$E923))-(H923),6)&lt;=0,ROUND(IF($E923="",$C923,MIN($C923,$E923))-(H923),6)&lt;0),"BREACHED","OK"),"INCOMPLETE")),"INVALID"))))</f>
        <v/>
      </c>
      <c r="J923" s="33">
        <f>IF(OR(I923="OK",I923="BREACHED"),-INT(ROUND(-(H923)*100,6))/100,I923)</f>
        <v/>
      </c>
    </row>
    <row r="924" ht="18" customHeight="1">
      <c r="A924" s="9" t="n"/>
      <c r="B924" s="32" t="n"/>
      <c r="C924" s="12" t="n"/>
      <c r="D924" s="12" t="n"/>
      <c r="E924" s="12" t="n"/>
      <c r="F924" s="15">
        <f>IFERROR(MATCH($A924,Accounts!$A$2:$A$11,0),"")</f>
        <v/>
      </c>
      <c r="G924" s="14">
        <f>IFERROR(IF(OR($A924="",$F924=""),"",IF(INDEX(Accounts!$P$2:$P$11,$F924)="static",INDEX(Accounts!$Q$2:$Q$11,$F924),IF(INDEX(Accounts!$P$2:$P$11,$F924)="eod_trailing",MAX(INDEX(Accounts!$Q$2:$Q$11,$F924),_xlfn.MAXIFS($C$2:$C$1001,$A$2:$A$1001,$A924,$B$2:$B$1001,"&lt;"&amp;$B924)),MAX(INDEX(Accounts!$Q$2:$Q$11,$F924),_xlfn.MAXIFS($C$2:$C$1001,$A$2:$A$1001,$A924,$B$2:$B$1001,"&lt;"&amp;$B924),_xlfn.MAXIFS($D$2:$D$1001,$A$2:$A$1001,$A924,$B$2:$B$1001,"&lt;="&amp;$B924),$C924)))),"")</f>
        <v/>
      </c>
      <c r="H924" s="15">
        <f>IFERROR(IF(G924="","",IF(INDEX(Accounts!$P$2:$P$11,$F924)="static",INDEX(Accounts!$Q$2:$Q$11,$F924)-INDEX(Accounts!$R$2:$R$11,$F924),IF(INDEX(Accounts!$S$2:$S$11,$F924)="NONE",G924-INDEX(Accounts!$R$2:$R$11,$F924),MIN(G924-INDEX(Accounts!$R$2:$R$11,$F924),INDEX(Accounts!$Q$2:$Q$11,$F924)+INDEX(Accounts!$S$2:$S$11,$F924))))),"")</f>
        <v/>
      </c>
      <c r="I924" s="16">
        <f>IF(AND($A924="",$B924="",$C924="",$D924="",$E924=""),"",IF(OR($A924="",$F924=""),"UNKNOWN_ACCOUNT",IF(OR($B924="",$C924=""),"INCOMPLETE",IFERROR(IF(OR(NOT(ISNUMBER($B924)),NOT(ISNUMBER($C924)),IF(C924="",FALSE,IF(ISNUMBER(C924),OR(C924&lt;=0,C924&gt;100000000,ROUND(C924*100,6)&lt;&gt;INT(ROUND(C924*100,6))),TRUE)),IF(D924="",FALSE,IF(ISNUMBER(D924),OR(D924&lt;=0,D924&gt;100000000,ROUND(D924*100,6)&lt;&gt;INT(ROUND(D924*100,6))),TRUE)),IF(E924="",FALSE,IF(ISNUMBER(E924),OR(E924&lt;=0,E924&gt;100000000,ROUND(E924*100,6)&lt;&gt;INT(ROUND(E924*100,6))),TRUE)),AND($D924&lt;&gt;"",$D924&lt;MAX($C924,$E924)),AND($E924&lt;&gt;"",$E924&gt;MIN($C924,IF($D924="",$C924,$D924))),COUNTIFS($A$2:$A$1001,$A924,$B$2:$B$1001,$B924)&gt;1),"INVALID",IFERROR(IF(IF(INDEX(Accounts!$T$2:$T$11,$F924),ROUND(IF($E924="",$C924,MIN($C924,$E924))-(H924),6)&lt;=0,ROUND(IF($E924="",$C924,MIN($C924,$E924))-(H924),6)&lt;0),"BREACHED","OK"),"INCOMPLETE")),"INVALID"))))</f>
        <v/>
      </c>
      <c r="J924" s="33">
        <f>IF(OR(I924="OK",I924="BREACHED"),-INT(ROUND(-(H924)*100,6))/100,I924)</f>
        <v/>
      </c>
    </row>
    <row r="925" ht="18" customHeight="1">
      <c r="A925" s="9" t="n"/>
      <c r="B925" s="32" t="n"/>
      <c r="C925" s="12" t="n"/>
      <c r="D925" s="12" t="n"/>
      <c r="E925" s="12" t="n"/>
      <c r="F925" s="15">
        <f>IFERROR(MATCH($A925,Accounts!$A$2:$A$11,0),"")</f>
        <v/>
      </c>
      <c r="G925" s="14">
        <f>IFERROR(IF(OR($A925="",$F925=""),"",IF(INDEX(Accounts!$P$2:$P$11,$F925)="static",INDEX(Accounts!$Q$2:$Q$11,$F925),IF(INDEX(Accounts!$P$2:$P$11,$F925)="eod_trailing",MAX(INDEX(Accounts!$Q$2:$Q$11,$F925),_xlfn.MAXIFS($C$2:$C$1001,$A$2:$A$1001,$A925,$B$2:$B$1001,"&lt;"&amp;$B925)),MAX(INDEX(Accounts!$Q$2:$Q$11,$F925),_xlfn.MAXIFS($C$2:$C$1001,$A$2:$A$1001,$A925,$B$2:$B$1001,"&lt;"&amp;$B925),_xlfn.MAXIFS($D$2:$D$1001,$A$2:$A$1001,$A925,$B$2:$B$1001,"&lt;="&amp;$B925),$C925)))),"")</f>
        <v/>
      </c>
      <c r="H925" s="15">
        <f>IFERROR(IF(G925="","",IF(INDEX(Accounts!$P$2:$P$11,$F925)="static",INDEX(Accounts!$Q$2:$Q$11,$F925)-INDEX(Accounts!$R$2:$R$11,$F925),IF(INDEX(Accounts!$S$2:$S$11,$F925)="NONE",G925-INDEX(Accounts!$R$2:$R$11,$F925),MIN(G925-INDEX(Accounts!$R$2:$R$11,$F925),INDEX(Accounts!$Q$2:$Q$11,$F925)+INDEX(Accounts!$S$2:$S$11,$F925))))),"")</f>
        <v/>
      </c>
      <c r="I925" s="16">
        <f>IF(AND($A925="",$B925="",$C925="",$D925="",$E925=""),"",IF(OR($A925="",$F925=""),"UNKNOWN_ACCOUNT",IF(OR($B925="",$C925=""),"INCOMPLETE",IFERROR(IF(OR(NOT(ISNUMBER($B925)),NOT(ISNUMBER($C925)),IF(C925="",FALSE,IF(ISNUMBER(C925),OR(C925&lt;=0,C925&gt;100000000,ROUND(C925*100,6)&lt;&gt;INT(ROUND(C925*100,6))),TRUE)),IF(D925="",FALSE,IF(ISNUMBER(D925),OR(D925&lt;=0,D925&gt;100000000,ROUND(D925*100,6)&lt;&gt;INT(ROUND(D925*100,6))),TRUE)),IF(E925="",FALSE,IF(ISNUMBER(E925),OR(E925&lt;=0,E925&gt;100000000,ROUND(E925*100,6)&lt;&gt;INT(ROUND(E925*100,6))),TRUE)),AND($D925&lt;&gt;"",$D925&lt;MAX($C925,$E925)),AND($E925&lt;&gt;"",$E925&gt;MIN($C925,IF($D925="",$C925,$D925))),COUNTIFS($A$2:$A$1001,$A925,$B$2:$B$1001,$B925)&gt;1),"INVALID",IFERROR(IF(IF(INDEX(Accounts!$T$2:$T$11,$F925),ROUND(IF($E925="",$C925,MIN($C925,$E925))-(H925),6)&lt;=0,ROUND(IF($E925="",$C925,MIN($C925,$E925))-(H925),6)&lt;0),"BREACHED","OK"),"INCOMPLETE")),"INVALID"))))</f>
        <v/>
      </c>
      <c r="J925" s="33">
        <f>IF(OR(I925="OK",I925="BREACHED"),-INT(ROUND(-(H925)*100,6))/100,I925)</f>
        <v/>
      </c>
    </row>
    <row r="926" ht="18" customHeight="1">
      <c r="A926" s="9" t="n"/>
      <c r="B926" s="32" t="n"/>
      <c r="C926" s="12" t="n"/>
      <c r="D926" s="12" t="n"/>
      <c r="E926" s="12" t="n"/>
      <c r="F926" s="15">
        <f>IFERROR(MATCH($A926,Accounts!$A$2:$A$11,0),"")</f>
        <v/>
      </c>
      <c r="G926" s="14">
        <f>IFERROR(IF(OR($A926="",$F926=""),"",IF(INDEX(Accounts!$P$2:$P$11,$F926)="static",INDEX(Accounts!$Q$2:$Q$11,$F926),IF(INDEX(Accounts!$P$2:$P$11,$F926)="eod_trailing",MAX(INDEX(Accounts!$Q$2:$Q$11,$F926),_xlfn.MAXIFS($C$2:$C$1001,$A$2:$A$1001,$A926,$B$2:$B$1001,"&lt;"&amp;$B926)),MAX(INDEX(Accounts!$Q$2:$Q$11,$F926),_xlfn.MAXIFS($C$2:$C$1001,$A$2:$A$1001,$A926,$B$2:$B$1001,"&lt;"&amp;$B926),_xlfn.MAXIFS($D$2:$D$1001,$A$2:$A$1001,$A926,$B$2:$B$1001,"&lt;="&amp;$B926),$C926)))),"")</f>
        <v/>
      </c>
      <c r="H926" s="15">
        <f>IFERROR(IF(G926="","",IF(INDEX(Accounts!$P$2:$P$11,$F926)="static",INDEX(Accounts!$Q$2:$Q$11,$F926)-INDEX(Accounts!$R$2:$R$11,$F926),IF(INDEX(Accounts!$S$2:$S$11,$F926)="NONE",G926-INDEX(Accounts!$R$2:$R$11,$F926),MIN(G926-INDEX(Accounts!$R$2:$R$11,$F926),INDEX(Accounts!$Q$2:$Q$11,$F926)+INDEX(Accounts!$S$2:$S$11,$F926))))),"")</f>
        <v/>
      </c>
      <c r="I926" s="16">
        <f>IF(AND($A926="",$B926="",$C926="",$D926="",$E926=""),"",IF(OR($A926="",$F926=""),"UNKNOWN_ACCOUNT",IF(OR($B926="",$C926=""),"INCOMPLETE",IFERROR(IF(OR(NOT(ISNUMBER($B926)),NOT(ISNUMBER($C926)),IF(C926="",FALSE,IF(ISNUMBER(C926),OR(C926&lt;=0,C926&gt;100000000,ROUND(C926*100,6)&lt;&gt;INT(ROUND(C926*100,6))),TRUE)),IF(D926="",FALSE,IF(ISNUMBER(D926),OR(D926&lt;=0,D926&gt;100000000,ROUND(D926*100,6)&lt;&gt;INT(ROUND(D926*100,6))),TRUE)),IF(E926="",FALSE,IF(ISNUMBER(E926),OR(E926&lt;=0,E926&gt;100000000,ROUND(E926*100,6)&lt;&gt;INT(ROUND(E926*100,6))),TRUE)),AND($D926&lt;&gt;"",$D926&lt;MAX($C926,$E926)),AND($E926&lt;&gt;"",$E926&gt;MIN($C926,IF($D926="",$C926,$D926))),COUNTIFS($A$2:$A$1001,$A926,$B$2:$B$1001,$B926)&gt;1),"INVALID",IFERROR(IF(IF(INDEX(Accounts!$T$2:$T$11,$F926),ROUND(IF($E926="",$C926,MIN($C926,$E926))-(H926),6)&lt;=0,ROUND(IF($E926="",$C926,MIN($C926,$E926))-(H926),6)&lt;0),"BREACHED","OK"),"INCOMPLETE")),"INVALID"))))</f>
        <v/>
      </c>
      <c r="J926" s="33">
        <f>IF(OR(I926="OK",I926="BREACHED"),-INT(ROUND(-(H926)*100,6))/100,I926)</f>
        <v/>
      </c>
    </row>
    <row r="927" ht="18" customHeight="1">
      <c r="A927" s="9" t="n"/>
      <c r="B927" s="32" t="n"/>
      <c r="C927" s="12" t="n"/>
      <c r="D927" s="12" t="n"/>
      <c r="E927" s="12" t="n"/>
      <c r="F927" s="15">
        <f>IFERROR(MATCH($A927,Accounts!$A$2:$A$11,0),"")</f>
        <v/>
      </c>
      <c r="G927" s="14">
        <f>IFERROR(IF(OR($A927="",$F927=""),"",IF(INDEX(Accounts!$P$2:$P$11,$F927)="static",INDEX(Accounts!$Q$2:$Q$11,$F927),IF(INDEX(Accounts!$P$2:$P$11,$F927)="eod_trailing",MAX(INDEX(Accounts!$Q$2:$Q$11,$F927),_xlfn.MAXIFS($C$2:$C$1001,$A$2:$A$1001,$A927,$B$2:$B$1001,"&lt;"&amp;$B927)),MAX(INDEX(Accounts!$Q$2:$Q$11,$F927),_xlfn.MAXIFS($C$2:$C$1001,$A$2:$A$1001,$A927,$B$2:$B$1001,"&lt;"&amp;$B927),_xlfn.MAXIFS($D$2:$D$1001,$A$2:$A$1001,$A927,$B$2:$B$1001,"&lt;="&amp;$B927),$C927)))),"")</f>
        <v/>
      </c>
      <c r="H927" s="15">
        <f>IFERROR(IF(G927="","",IF(INDEX(Accounts!$P$2:$P$11,$F927)="static",INDEX(Accounts!$Q$2:$Q$11,$F927)-INDEX(Accounts!$R$2:$R$11,$F927),IF(INDEX(Accounts!$S$2:$S$11,$F927)="NONE",G927-INDEX(Accounts!$R$2:$R$11,$F927),MIN(G927-INDEX(Accounts!$R$2:$R$11,$F927),INDEX(Accounts!$Q$2:$Q$11,$F927)+INDEX(Accounts!$S$2:$S$11,$F927))))),"")</f>
        <v/>
      </c>
      <c r="I927" s="16">
        <f>IF(AND($A927="",$B927="",$C927="",$D927="",$E927=""),"",IF(OR($A927="",$F927=""),"UNKNOWN_ACCOUNT",IF(OR($B927="",$C927=""),"INCOMPLETE",IFERROR(IF(OR(NOT(ISNUMBER($B927)),NOT(ISNUMBER($C927)),IF(C927="",FALSE,IF(ISNUMBER(C927),OR(C927&lt;=0,C927&gt;100000000,ROUND(C927*100,6)&lt;&gt;INT(ROUND(C927*100,6))),TRUE)),IF(D927="",FALSE,IF(ISNUMBER(D927),OR(D927&lt;=0,D927&gt;100000000,ROUND(D927*100,6)&lt;&gt;INT(ROUND(D927*100,6))),TRUE)),IF(E927="",FALSE,IF(ISNUMBER(E927),OR(E927&lt;=0,E927&gt;100000000,ROUND(E927*100,6)&lt;&gt;INT(ROUND(E927*100,6))),TRUE)),AND($D927&lt;&gt;"",$D927&lt;MAX($C927,$E927)),AND($E927&lt;&gt;"",$E927&gt;MIN($C927,IF($D927="",$C927,$D927))),COUNTIFS($A$2:$A$1001,$A927,$B$2:$B$1001,$B927)&gt;1),"INVALID",IFERROR(IF(IF(INDEX(Accounts!$T$2:$T$11,$F927),ROUND(IF($E927="",$C927,MIN($C927,$E927))-(H927),6)&lt;=0,ROUND(IF($E927="",$C927,MIN($C927,$E927))-(H927),6)&lt;0),"BREACHED","OK"),"INCOMPLETE")),"INVALID"))))</f>
        <v/>
      </c>
      <c r="J927" s="33">
        <f>IF(OR(I927="OK",I927="BREACHED"),-INT(ROUND(-(H927)*100,6))/100,I927)</f>
        <v/>
      </c>
    </row>
    <row r="928" ht="18" customHeight="1">
      <c r="A928" s="9" t="n"/>
      <c r="B928" s="32" t="n"/>
      <c r="C928" s="12" t="n"/>
      <c r="D928" s="12" t="n"/>
      <c r="E928" s="12" t="n"/>
      <c r="F928" s="15">
        <f>IFERROR(MATCH($A928,Accounts!$A$2:$A$11,0),"")</f>
        <v/>
      </c>
      <c r="G928" s="14">
        <f>IFERROR(IF(OR($A928="",$F928=""),"",IF(INDEX(Accounts!$P$2:$P$11,$F928)="static",INDEX(Accounts!$Q$2:$Q$11,$F928),IF(INDEX(Accounts!$P$2:$P$11,$F928)="eod_trailing",MAX(INDEX(Accounts!$Q$2:$Q$11,$F928),_xlfn.MAXIFS($C$2:$C$1001,$A$2:$A$1001,$A928,$B$2:$B$1001,"&lt;"&amp;$B928)),MAX(INDEX(Accounts!$Q$2:$Q$11,$F928),_xlfn.MAXIFS($C$2:$C$1001,$A$2:$A$1001,$A928,$B$2:$B$1001,"&lt;"&amp;$B928),_xlfn.MAXIFS($D$2:$D$1001,$A$2:$A$1001,$A928,$B$2:$B$1001,"&lt;="&amp;$B928),$C928)))),"")</f>
        <v/>
      </c>
      <c r="H928" s="15">
        <f>IFERROR(IF(G928="","",IF(INDEX(Accounts!$P$2:$P$11,$F928)="static",INDEX(Accounts!$Q$2:$Q$11,$F928)-INDEX(Accounts!$R$2:$R$11,$F928),IF(INDEX(Accounts!$S$2:$S$11,$F928)="NONE",G928-INDEX(Accounts!$R$2:$R$11,$F928),MIN(G928-INDEX(Accounts!$R$2:$R$11,$F928),INDEX(Accounts!$Q$2:$Q$11,$F928)+INDEX(Accounts!$S$2:$S$11,$F928))))),"")</f>
        <v/>
      </c>
      <c r="I928" s="16">
        <f>IF(AND($A928="",$B928="",$C928="",$D928="",$E928=""),"",IF(OR($A928="",$F928=""),"UNKNOWN_ACCOUNT",IF(OR($B928="",$C928=""),"INCOMPLETE",IFERROR(IF(OR(NOT(ISNUMBER($B928)),NOT(ISNUMBER($C928)),IF(C928="",FALSE,IF(ISNUMBER(C928),OR(C928&lt;=0,C928&gt;100000000,ROUND(C928*100,6)&lt;&gt;INT(ROUND(C928*100,6))),TRUE)),IF(D928="",FALSE,IF(ISNUMBER(D928),OR(D928&lt;=0,D928&gt;100000000,ROUND(D928*100,6)&lt;&gt;INT(ROUND(D928*100,6))),TRUE)),IF(E928="",FALSE,IF(ISNUMBER(E928),OR(E928&lt;=0,E928&gt;100000000,ROUND(E928*100,6)&lt;&gt;INT(ROUND(E928*100,6))),TRUE)),AND($D928&lt;&gt;"",$D928&lt;MAX($C928,$E928)),AND($E928&lt;&gt;"",$E928&gt;MIN($C928,IF($D928="",$C928,$D928))),COUNTIFS($A$2:$A$1001,$A928,$B$2:$B$1001,$B928)&gt;1),"INVALID",IFERROR(IF(IF(INDEX(Accounts!$T$2:$T$11,$F928),ROUND(IF($E928="",$C928,MIN($C928,$E928))-(H928),6)&lt;=0,ROUND(IF($E928="",$C928,MIN($C928,$E928))-(H928),6)&lt;0),"BREACHED","OK"),"INCOMPLETE")),"INVALID"))))</f>
        <v/>
      </c>
      <c r="J928" s="33">
        <f>IF(OR(I928="OK",I928="BREACHED"),-INT(ROUND(-(H928)*100,6))/100,I928)</f>
        <v/>
      </c>
    </row>
    <row r="929" ht="18" customHeight="1">
      <c r="A929" s="9" t="n"/>
      <c r="B929" s="32" t="n"/>
      <c r="C929" s="12" t="n"/>
      <c r="D929" s="12" t="n"/>
      <c r="E929" s="12" t="n"/>
      <c r="F929" s="15">
        <f>IFERROR(MATCH($A929,Accounts!$A$2:$A$11,0),"")</f>
        <v/>
      </c>
      <c r="G929" s="14">
        <f>IFERROR(IF(OR($A929="",$F929=""),"",IF(INDEX(Accounts!$P$2:$P$11,$F929)="static",INDEX(Accounts!$Q$2:$Q$11,$F929),IF(INDEX(Accounts!$P$2:$P$11,$F929)="eod_trailing",MAX(INDEX(Accounts!$Q$2:$Q$11,$F929),_xlfn.MAXIFS($C$2:$C$1001,$A$2:$A$1001,$A929,$B$2:$B$1001,"&lt;"&amp;$B929)),MAX(INDEX(Accounts!$Q$2:$Q$11,$F929),_xlfn.MAXIFS($C$2:$C$1001,$A$2:$A$1001,$A929,$B$2:$B$1001,"&lt;"&amp;$B929),_xlfn.MAXIFS($D$2:$D$1001,$A$2:$A$1001,$A929,$B$2:$B$1001,"&lt;="&amp;$B929),$C929)))),"")</f>
        <v/>
      </c>
      <c r="H929" s="15">
        <f>IFERROR(IF(G929="","",IF(INDEX(Accounts!$P$2:$P$11,$F929)="static",INDEX(Accounts!$Q$2:$Q$11,$F929)-INDEX(Accounts!$R$2:$R$11,$F929),IF(INDEX(Accounts!$S$2:$S$11,$F929)="NONE",G929-INDEX(Accounts!$R$2:$R$11,$F929),MIN(G929-INDEX(Accounts!$R$2:$R$11,$F929),INDEX(Accounts!$Q$2:$Q$11,$F929)+INDEX(Accounts!$S$2:$S$11,$F929))))),"")</f>
        <v/>
      </c>
      <c r="I929" s="16">
        <f>IF(AND($A929="",$B929="",$C929="",$D929="",$E929=""),"",IF(OR($A929="",$F929=""),"UNKNOWN_ACCOUNT",IF(OR($B929="",$C929=""),"INCOMPLETE",IFERROR(IF(OR(NOT(ISNUMBER($B929)),NOT(ISNUMBER($C929)),IF(C929="",FALSE,IF(ISNUMBER(C929),OR(C929&lt;=0,C929&gt;100000000,ROUND(C929*100,6)&lt;&gt;INT(ROUND(C929*100,6))),TRUE)),IF(D929="",FALSE,IF(ISNUMBER(D929),OR(D929&lt;=0,D929&gt;100000000,ROUND(D929*100,6)&lt;&gt;INT(ROUND(D929*100,6))),TRUE)),IF(E929="",FALSE,IF(ISNUMBER(E929),OR(E929&lt;=0,E929&gt;100000000,ROUND(E929*100,6)&lt;&gt;INT(ROUND(E929*100,6))),TRUE)),AND($D929&lt;&gt;"",$D929&lt;MAX($C929,$E929)),AND($E929&lt;&gt;"",$E929&gt;MIN($C929,IF($D929="",$C929,$D929))),COUNTIFS($A$2:$A$1001,$A929,$B$2:$B$1001,$B929)&gt;1),"INVALID",IFERROR(IF(IF(INDEX(Accounts!$T$2:$T$11,$F929),ROUND(IF($E929="",$C929,MIN($C929,$E929))-(H929),6)&lt;=0,ROUND(IF($E929="",$C929,MIN($C929,$E929))-(H929),6)&lt;0),"BREACHED","OK"),"INCOMPLETE")),"INVALID"))))</f>
        <v/>
      </c>
      <c r="J929" s="33">
        <f>IF(OR(I929="OK",I929="BREACHED"),-INT(ROUND(-(H929)*100,6))/100,I929)</f>
        <v/>
      </c>
    </row>
    <row r="930" ht="18" customHeight="1">
      <c r="A930" s="9" t="n"/>
      <c r="B930" s="32" t="n"/>
      <c r="C930" s="12" t="n"/>
      <c r="D930" s="12" t="n"/>
      <c r="E930" s="12" t="n"/>
      <c r="F930" s="15">
        <f>IFERROR(MATCH($A930,Accounts!$A$2:$A$11,0),"")</f>
        <v/>
      </c>
      <c r="G930" s="14">
        <f>IFERROR(IF(OR($A930="",$F930=""),"",IF(INDEX(Accounts!$P$2:$P$11,$F930)="static",INDEX(Accounts!$Q$2:$Q$11,$F930),IF(INDEX(Accounts!$P$2:$P$11,$F930)="eod_trailing",MAX(INDEX(Accounts!$Q$2:$Q$11,$F930),_xlfn.MAXIFS($C$2:$C$1001,$A$2:$A$1001,$A930,$B$2:$B$1001,"&lt;"&amp;$B930)),MAX(INDEX(Accounts!$Q$2:$Q$11,$F930),_xlfn.MAXIFS($C$2:$C$1001,$A$2:$A$1001,$A930,$B$2:$B$1001,"&lt;"&amp;$B930),_xlfn.MAXIFS($D$2:$D$1001,$A$2:$A$1001,$A930,$B$2:$B$1001,"&lt;="&amp;$B930),$C930)))),"")</f>
        <v/>
      </c>
      <c r="H930" s="15">
        <f>IFERROR(IF(G930="","",IF(INDEX(Accounts!$P$2:$P$11,$F930)="static",INDEX(Accounts!$Q$2:$Q$11,$F930)-INDEX(Accounts!$R$2:$R$11,$F930),IF(INDEX(Accounts!$S$2:$S$11,$F930)="NONE",G930-INDEX(Accounts!$R$2:$R$11,$F930),MIN(G930-INDEX(Accounts!$R$2:$R$11,$F930),INDEX(Accounts!$Q$2:$Q$11,$F930)+INDEX(Accounts!$S$2:$S$11,$F930))))),"")</f>
        <v/>
      </c>
      <c r="I930" s="16">
        <f>IF(AND($A930="",$B930="",$C930="",$D930="",$E930=""),"",IF(OR($A930="",$F930=""),"UNKNOWN_ACCOUNT",IF(OR($B930="",$C930=""),"INCOMPLETE",IFERROR(IF(OR(NOT(ISNUMBER($B930)),NOT(ISNUMBER($C930)),IF(C930="",FALSE,IF(ISNUMBER(C930),OR(C930&lt;=0,C930&gt;100000000,ROUND(C930*100,6)&lt;&gt;INT(ROUND(C930*100,6))),TRUE)),IF(D930="",FALSE,IF(ISNUMBER(D930),OR(D930&lt;=0,D930&gt;100000000,ROUND(D930*100,6)&lt;&gt;INT(ROUND(D930*100,6))),TRUE)),IF(E930="",FALSE,IF(ISNUMBER(E930),OR(E930&lt;=0,E930&gt;100000000,ROUND(E930*100,6)&lt;&gt;INT(ROUND(E930*100,6))),TRUE)),AND($D930&lt;&gt;"",$D930&lt;MAX($C930,$E930)),AND($E930&lt;&gt;"",$E930&gt;MIN($C930,IF($D930="",$C930,$D930))),COUNTIFS($A$2:$A$1001,$A930,$B$2:$B$1001,$B930)&gt;1),"INVALID",IFERROR(IF(IF(INDEX(Accounts!$T$2:$T$11,$F930),ROUND(IF($E930="",$C930,MIN($C930,$E930))-(H930),6)&lt;=0,ROUND(IF($E930="",$C930,MIN($C930,$E930))-(H930),6)&lt;0),"BREACHED","OK"),"INCOMPLETE")),"INVALID"))))</f>
        <v/>
      </c>
      <c r="J930" s="33">
        <f>IF(OR(I930="OK",I930="BREACHED"),-INT(ROUND(-(H930)*100,6))/100,I930)</f>
        <v/>
      </c>
    </row>
    <row r="931" ht="18" customHeight="1">
      <c r="A931" s="9" t="n"/>
      <c r="B931" s="32" t="n"/>
      <c r="C931" s="12" t="n"/>
      <c r="D931" s="12" t="n"/>
      <c r="E931" s="12" t="n"/>
      <c r="F931" s="15">
        <f>IFERROR(MATCH($A931,Accounts!$A$2:$A$11,0),"")</f>
        <v/>
      </c>
      <c r="G931" s="14">
        <f>IFERROR(IF(OR($A931="",$F931=""),"",IF(INDEX(Accounts!$P$2:$P$11,$F931)="static",INDEX(Accounts!$Q$2:$Q$11,$F931),IF(INDEX(Accounts!$P$2:$P$11,$F931)="eod_trailing",MAX(INDEX(Accounts!$Q$2:$Q$11,$F931),_xlfn.MAXIFS($C$2:$C$1001,$A$2:$A$1001,$A931,$B$2:$B$1001,"&lt;"&amp;$B931)),MAX(INDEX(Accounts!$Q$2:$Q$11,$F931),_xlfn.MAXIFS($C$2:$C$1001,$A$2:$A$1001,$A931,$B$2:$B$1001,"&lt;"&amp;$B931),_xlfn.MAXIFS($D$2:$D$1001,$A$2:$A$1001,$A931,$B$2:$B$1001,"&lt;="&amp;$B931),$C931)))),"")</f>
        <v/>
      </c>
      <c r="H931" s="15">
        <f>IFERROR(IF(G931="","",IF(INDEX(Accounts!$P$2:$P$11,$F931)="static",INDEX(Accounts!$Q$2:$Q$11,$F931)-INDEX(Accounts!$R$2:$R$11,$F931),IF(INDEX(Accounts!$S$2:$S$11,$F931)="NONE",G931-INDEX(Accounts!$R$2:$R$11,$F931),MIN(G931-INDEX(Accounts!$R$2:$R$11,$F931),INDEX(Accounts!$Q$2:$Q$11,$F931)+INDEX(Accounts!$S$2:$S$11,$F931))))),"")</f>
        <v/>
      </c>
      <c r="I931" s="16">
        <f>IF(AND($A931="",$B931="",$C931="",$D931="",$E931=""),"",IF(OR($A931="",$F931=""),"UNKNOWN_ACCOUNT",IF(OR($B931="",$C931=""),"INCOMPLETE",IFERROR(IF(OR(NOT(ISNUMBER($B931)),NOT(ISNUMBER($C931)),IF(C931="",FALSE,IF(ISNUMBER(C931),OR(C931&lt;=0,C931&gt;100000000,ROUND(C931*100,6)&lt;&gt;INT(ROUND(C931*100,6))),TRUE)),IF(D931="",FALSE,IF(ISNUMBER(D931),OR(D931&lt;=0,D931&gt;100000000,ROUND(D931*100,6)&lt;&gt;INT(ROUND(D931*100,6))),TRUE)),IF(E931="",FALSE,IF(ISNUMBER(E931),OR(E931&lt;=0,E931&gt;100000000,ROUND(E931*100,6)&lt;&gt;INT(ROUND(E931*100,6))),TRUE)),AND($D931&lt;&gt;"",$D931&lt;MAX($C931,$E931)),AND($E931&lt;&gt;"",$E931&gt;MIN($C931,IF($D931="",$C931,$D931))),COUNTIFS($A$2:$A$1001,$A931,$B$2:$B$1001,$B931)&gt;1),"INVALID",IFERROR(IF(IF(INDEX(Accounts!$T$2:$T$11,$F931),ROUND(IF($E931="",$C931,MIN($C931,$E931))-(H931),6)&lt;=0,ROUND(IF($E931="",$C931,MIN($C931,$E931))-(H931),6)&lt;0),"BREACHED","OK"),"INCOMPLETE")),"INVALID"))))</f>
        <v/>
      </c>
      <c r="J931" s="33">
        <f>IF(OR(I931="OK",I931="BREACHED"),-INT(ROUND(-(H931)*100,6))/100,I931)</f>
        <v/>
      </c>
    </row>
    <row r="932" ht="18" customHeight="1">
      <c r="A932" s="9" t="n"/>
      <c r="B932" s="32" t="n"/>
      <c r="C932" s="12" t="n"/>
      <c r="D932" s="12" t="n"/>
      <c r="E932" s="12" t="n"/>
      <c r="F932" s="15">
        <f>IFERROR(MATCH($A932,Accounts!$A$2:$A$11,0),"")</f>
        <v/>
      </c>
      <c r="G932" s="14">
        <f>IFERROR(IF(OR($A932="",$F932=""),"",IF(INDEX(Accounts!$P$2:$P$11,$F932)="static",INDEX(Accounts!$Q$2:$Q$11,$F932),IF(INDEX(Accounts!$P$2:$P$11,$F932)="eod_trailing",MAX(INDEX(Accounts!$Q$2:$Q$11,$F932),_xlfn.MAXIFS($C$2:$C$1001,$A$2:$A$1001,$A932,$B$2:$B$1001,"&lt;"&amp;$B932)),MAX(INDEX(Accounts!$Q$2:$Q$11,$F932),_xlfn.MAXIFS($C$2:$C$1001,$A$2:$A$1001,$A932,$B$2:$B$1001,"&lt;"&amp;$B932),_xlfn.MAXIFS($D$2:$D$1001,$A$2:$A$1001,$A932,$B$2:$B$1001,"&lt;="&amp;$B932),$C932)))),"")</f>
        <v/>
      </c>
      <c r="H932" s="15">
        <f>IFERROR(IF(G932="","",IF(INDEX(Accounts!$P$2:$P$11,$F932)="static",INDEX(Accounts!$Q$2:$Q$11,$F932)-INDEX(Accounts!$R$2:$R$11,$F932),IF(INDEX(Accounts!$S$2:$S$11,$F932)="NONE",G932-INDEX(Accounts!$R$2:$R$11,$F932),MIN(G932-INDEX(Accounts!$R$2:$R$11,$F932),INDEX(Accounts!$Q$2:$Q$11,$F932)+INDEX(Accounts!$S$2:$S$11,$F932))))),"")</f>
        <v/>
      </c>
      <c r="I932" s="16">
        <f>IF(AND($A932="",$B932="",$C932="",$D932="",$E932=""),"",IF(OR($A932="",$F932=""),"UNKNOWN_ACCOUNT",IF(OR($B932="",$C932=""),"INCOMPLETE",IFERROR(IF(OR(NOT(ISNUMBER($B932)),NOT(ISNUMBER($C932)),IF(C932="",FALSE,IF(ISNUMBER(C932),OR(C932&lt;=0,C932&gt;100000000,ROUND(C932*100,6)&lt;&gt;INT(ROUND(C932*100,6))),TRUE)),IF(D932="",FALSE,IF(ISNUMBER(D932),OR(D932&lt;=0,D932&gt;100000000,ROUND(D932*100,6)&lt;&gt;INT(ROUND(D932*100,6))),TRUE)),IF(E932="",FALSE,IF(ISNUMBER(E932),OR(E932&lt;=0,E932&gt;100000000,ROUND(E932*100,6)&lt;&gt;INT(ROUND(E932*100,6))),TRUE)),AND($D932&lt;&gt;"",$D932&lt;MAX($C932,$E932)),AND($E932&lt;&gt;"",$E932&gt;MIN($C932,IF($D932="",$C932,$D932))),COUNTIFS($A$2:$A$1001,$A932,$B$2:$B$1001,$B932)&gt;1),"INVALID",IFERROR(IF(IF(INDEX(Accounts!$T$2:$T$11,$F932),ROUND(IF($E932="",$C932,MIN($C932,$E932))-(H932),6)&lt;=0,ROUND(IF($E932="",$C932,MIN($C932,$E932))-(H932),6)&lt;0),"BREACHED","OK"),"INCOMPLETE")),"INVALID"))))</f>
        <v/>
      </c>
      <c r="J932" s="33">
        <f>IF(OR(I932="OK",I932="BREACHED"),-INT(ROUND(-(H932)*100,6))/100,I932)</f>
        <v/>
      </c>
    </row>
    <row r="933" ht="18" customHeight="1">
      <c r="A933" s="9" t="n"/>
      <c r="B933" s="32" t="n"/>
      <c r="C933" s="12" t="n"/>
      <c r="D933" s="12" t="n"/>
      <c r="E933" s="12" t="n"/>
      <c r="F933" s="15">
        <f>IFERROR(MATCH($A933,Accounts!$A$2:$A$11,0),"")</f>
        <v/>
      </c>
      <c r="G933" s="14">
        <f>IFERROR(IF(OR($A933="",$F933=""),"",IF(INDEX(Accounts!$P$2:$P$11,$F933)="static",INDEX(Accounts!$Q$2:$Q$11,$F933),IF(INDEX(Accounts!$P$2:$P$11,$F933)="eod_trailing",MAX(INDEX(Accounts!$Q$2:$Q$11,$F933),_xlfn.MAXIFS($C$2:$C$1001,$A$2:$A$1001,$A933,$B$2:$B$1001,"&lt;"&amp;$B933)),MAX(INDEX(Accounts!$Q$2:$Q$11,$F933),_xlfn.MAXIFS($C$2:$C$1001,$A$2:$A$1001,$A933,$B$2:$B$1001,"&lt;"&amp;$B933),_xlfn.MAXIFS($D$2:$D$1001,$A$2:$A$1001,$A933,$B$2:$B$1001,"&lt;="&amp;$B933),$C933)))),"")</f>
        <v/>
      </c>
      <c r="H933" s="15">
        <f>IFERROR(IF(G933="","",IF(INDEX(Accounts!$P$2:$P$11,$F933)="static",INDEX(Accounts!$Q$2:$Q$11,$F933)-INDEX(Accounts!$R$2:$R$11,$F933),IF(INDEX(Accounts!$S$2:$S$11,$F933)="NONE",G933-INDEX(Accounts!$R$2:$R$11,$F933),MIN(G933-INDEX(Accounts!$R$2:$R$11,$F933),INDEX(Accounts!$Q$2:$Q$11,$F933)+INDEX(Accounts!$S$2:$S$11,$F933))))),"")</f>
        <v/>
      </c>
      <c r="I933" s="16">
        <f>IF(AND($A933="",$B933="",$C933="",$D933="",$E933=""),"",IF(OR($A933="",$F933=""),"UNKNOWN_ACCOUNT",IF(OR($B933="",$C933=""),"INCOMPLETE",IFERROR(IF(OR(NOT(ISNUMBER($B933)),NOT(ISNUMBER($C933)),IF(C933="",FALSE,IF(ISNUMBER(C933),OR(C933&lt;=0,C933&gt;100000000,ROUND(C933*100,6)&lt;&gt;INT(ROUND(C933*100,6))),TRUE)),IF(D933="",FALSE,IF(ISNUMBER(D933),OR(D933&lt;=0,D933&gt;100000000,ROUND(D933*100,6)&lt;&gt;INT(ROUND(D933*100,6))),TRUE)),IF(E933="",FALSE,IF(ISNUMBER(E933),OR(E933&lt;=0,E933&gt;100000000,ROUND(E933*100,6)&lt;&gt;INT(ROUND(E933*100,6))),TRUE)),AND($D933&lt;&gt;"",$D933&lt;MAX($C933,$E933)),AND($E933&lt;&gt;"",$E933&gt;MIN($C933,IF($D933="",$C933,$D933))),COUNTIFS($A$2:$A$1001,$A933,$B$2:$B$1001,$B933)&gt;1),"INVALID",IFERROR(IF(IF(INDEX(Accounts!$T$2:$T$11,$F933),ROUND(IF($E933="",$C933,MIN($C933,$E933))-(H933),6)&lt;=0,ROUND(IF($E933="",$C933,MIN($C933,$E933))-(H933),6)&lt;0),"BREACHED","OK"),"INCOMPLETE")),"INVALID"))))</f>
        <v/>
      </c>
      <c r="J933" s="33">
        <f>IF(OR(I933="OK",I933="BREACHED"),-INT(ROUND(-(H933)*100,6))/100,I933)</f>
        <v/>
      </c>
    </row>
    <row r="934" ht="18" customHeight="1">
      <c r="A934" s="9" t="n"/>
      <c r="B934" s="32" t="n"/>
      <c r="C934" s="12" t="n"/>
      <c r="D934" s="12" t="n"/>
      <c r="E934" s="12" t="n"/>
      <c r="F934" s="15">
        <f>IFERROR(MATCH($A934,Accounts!$A$2:$A$11,0),"")</f>
        <v/>
      </c>
      <c r="G934" s="14">
        <f>IFERROR(IF(OR($A934="",$F934=""),"",IF(INDEX(Accounts!$P$2:$P$11,$F934)="static",INDEX(Accounts!$Q$2:$Q$11,$F934),IF(INDEX(Accounts!$P$2:$P$11,$F934)="eod_trailing",MAX(INDEX(Accounts!$Q$2:$Q$11,$F934),_xlfn.MAXIFS($C$2:$C$1001,$A$2:$A$1001,$A934,$B$2:$B$1001,"&lt;"&amp;$B934)),MAX(INDEX(Accounts!$Q$2:$Q$11,$F934),_xlfn.MAXIFS($C$2:$C$1001,$A$2:$A$1001,$A934,$B$2:$B$1001,"&lt;"&amp;$B934),_xlfn.MAXIFS($D$2:$D$1001,$A$2:$A$1001,$A934,$B$2:$B$1001,"&lt;="&amp;$B934),$C934)))),"")</f>
        <v/>
      </c>
      <c r="H934" s="15">
        <f>IFERROR(IF(G934="","",IF(INDEX(Accounts!$P$2:$P$11,$F934)="static",INDEX(Accounts!$Q$2:$Q$11,$F934)-INDEX(Accounts!$R$2:$R$11,$F934),IF(INDEX(Accounts!$S$2:$S$11,$F934)="NONE",G934-INDEX(Accounts!$R$2:$R$11,$F934),MIN(G934-INDEX(Accounts!$R$2:$R$11,$F934),INDEX(Accounts!$Q$2:$Q$11,$F934)+INDEX(Accounts!$S$2:$S$11,$F934))))),"")</f>
        <v/>
      </c>
      <c r="I934" s="16">
        <f>IF(AND($A934="",$B934="",$C934="",$D934="",$E934=""),"",IF(OR($A934="",$F934=""),"UNKNOWN_ACCOUNT",IF(OR($B934="",$C934=""),"INCOMPLETE",IFERROR(IF(OR(NOT(ISNUMBER($B934)),NOT(ISNUMBER($C934)),IF(C934="",FALSE,IF(ISNUMBER(C934),OR(C934&lt;=0,C934&gt;100000000,ROUND(C934*100,6)&lt;&gt;INT(ROUND(C934*100,6))),TRUE)),IF(D934="",FALSE,IF(ISNUMBER(D934),OR(D934&lt;=0,D934&gt;100000000,ROUND(D934*100,6)&lt;&gt;INT(ROUND(D934*100,6))),TRUE)),IF(E934="",FALSE,IF(ISNUMBER(E934),OR(E934&lt;=0,E934&gt;100000000,ROUND(E934*100,6)&lt;&gt;INT(ROUND(E934*100,6))),TRUE)),AND($D934&lt;&gt;"",$D934&lt;MAX($C934,$E934)),AND($E934&lt;&gt;"",$E934&gt;MIN($C934,IF($D934="",$C934,$D934))),COUNTIFS($A$2:$A$1001,$A934,$B$2:$B$1001,$B934)&gt;1),"INVALID",IFERROR(IF(IF(INDEX(Accounts!$T$2:$T$11,$F934),ROUND(IF($E934="",$C934,MIN($C934,$E934))-(H934),6)&lt;=0,ROUND(IF($E934="",$C934,MIN($C934,$E934))-(H934),6)&lt;0),"BREACHED","OK"),"INCOMPLETE")),"INVALID"))))</f>
        <v/>
      </c>
      <c r="J934" s="33">
        <f>IF(OR(I934="OK",I934="BREACHED"),-INT(ROUND(-(H934)*100,6))/100,I934)</f>
        <v/>
      </c>
    </row>
    <row r="935" ht="18" customHeight="1">
      <c r="A935" s="9" t="n"/>
      <c r="B935" s="32" t="n"/>
      <c r="C935" s="12" t="n"/>
      <c r="D935" s="12" t="n"/>
      <c r="E935" s="12" t="n"/>
      <c r="F935" s="15">
        <f>IFERROR(MATCH($A935,Accounts!$A$2:$A$11,0),"")</f>
        <v/>
      </c>
      <c r="G935" s="14">
        <f>IFERROR(IF(OR($A935="",$F935=""),"",IF(INDEX(Accounts!$P$2:$P$11,$F935)="static",INDEX(Accounts!$Q$2:$Q$11,$F935),IF(INDEX(Accounts!$P$2:$P$11,$F935)="eod_trailing",MAX(INDEX(Accounts!$Q$2:$Q$11,$F935),_xlfn.MAXIFS($C$2:$C$1001,$A$2:$A$1001,$A935,$B$2:$B$1001,"&lt;"&amp;$B935)),MAX(INDEX(Accounts!$Q$2:$Q$11,$F935),_xlfn.MAXIFS($C$2:$C$1001,$A$2:$A$1001,$A935,$B$2:$B$1001,"&lt;"&amp;$B935),_xlfn.MAXIFS($D$2:$D$1001,$A$2:$A$1001,$A935,$B$2:$B$1001,"&lt;="&amp;$B935),$C935)))),"")</f>
        <v/>
      </c>
      <c r="H935" s="15">
        <f>IFERROR(IF(G935="","",IF(INDEX(Accounts!$P$2:$P$11,$F935)="static",INDEX(Accounts!$Q$2:$Q$11,$F935)-INDEX(Accounts!$R$2:$R$11,$F935),IF(INDEX(Accounts!$S$2:$S$11,$F935)="NONE",G935-INDEX(Accounts!$R$2:$R$11,$F935),MIN(G935-INDEX(Accounts!$R$2:$R$11,$F935),INDEX(Accounts!$Q$2:$Q$11,$F935)+INDEX(Accounts!$S$2:$S$11,$F935))))),"")</f>
        <v/>
      </c>
      <c r="I935" s="16">
        <f>IF(AND($A935="",$B935="",$C935="",$D935="",$E935=""),"",IF(OR($A935="",$F935=""),"UNKNOWN_ACCOUNT",IF(OR($B935="",$C935=""),"INCOMPLETE",IFERROR(IF(OR(NOT(ISNUMBER($B935)),NOT(ISNUMBER($C935)),IF(C935="",FALSE,IF(ISNUMBER(C935),OR(C935&lt;=0,C935&gt;100000000,ROUND(C935*100,6)&lt;&gt;INT(ROUND(C935*100,6))),TRUE)),IF(D935="",FALSE,IF(ISNUMBER(D935),OR(D935&lt;=0,D935&gt;100000000,ROUND(D935*100,6)&lt;&gt;INT(ROUND(D935*100,6))),TRUE)),IF(E935="",FALSE,IF(ISNUMBER(E935),OR(E935&lt;=0,E935&gt;100000000,ROUND(E935*100,6)&lt;&gt;INT(ROUND(E935*100,6))),TRUE)),AND($D935&lt;&gt;"",$D935&lt;MAX($C935,$E935)),AND($E935&lt;&gt;"",$E935&gt;MIN($C935,IF($D935="",$C935,$D935))),COUNTIFS($A$2:$A$1001,$A935,$B$2:$B$1001,$B935)&gt;1),"INVALID",IFERROR(IF(IF(INDEX(Accounts!$T$2:$T$11,$F935),ROUND(IF($E935="",$C935,MIN($C935,$E935))-(H935),6)&lt;=0,ROUND(IF($E935="",$C935,MIN($C935,$E935))-(H935),6)&lt;0),"BREACHED","OK"),"INCOMPLETE")),"INVALID"))))</f>
        <v/>
      </c>
      <c r="J935" s="33">
        <f>IF(OR(I935="OK",I935="BREACHED"),-INT(ROUND(-(H935)*100,6))/100,I935)</f>
        <v/>
      </c>
    </row>
    <row r="936" ht="18" customHeight="1">
      <c r="A936" s="9" t="n"/>
      <c r="B936" s="32" t="n"/>
      <c r="C936" s="12" t="n"/>
      <c r="D936" s="12" t="n"/>
      <c r="E936" s="12" t="n"/>
      <c r="F936" s="15">
        <f>IFERROR(MATCH($A936,Accounts!$A$2:$A$11,0),"")</f>
        <v/>
      </c>
      <c r="G936" s="14">
        <f>IFERROR(IF(OR($A936="",$F936=""),"",IF(INDEX(Accounts!$P$2:$P$11,$F936)="static",INDEX(Accounts!$Q$2:$Q$11,$F936),IF(INDEX(Accounts!$P$2:$P$11,$F936)="eod_trailing",MAX(INDEX(Accounts!$Q$2:$Q$11,$F936),_xlfn.MAXIFS($C$2:$C$1001,$A$2:$A$1001,$A936,$B$2:$B$1001,"&lt;"&amp;$B936)),MAX(INDEX(Accounts!$Q$2:$Q$11,$F936),_xlfn.MAXIFS($C$2:$C$1001,$A$2:$A$1001,$A936,$B$2:$B$1001,"&lt;"&amp;$B936),_xlfn.MAXIFS($D$2:$D$1001,$A$2:$A$1001,$A936,$B$2:$B$1001,"&lt;="&amp;$B936),$C936)))),"")</f>
        <v/>
      </c>
      <c r="H936" s="15">
        <f>IFERROR(IF(G936="","",IF(INDEX(Accounts!$P$2:$P$11,$F936)="static",INDEX(Accounts!$Q$2:$Q$11,$F936)-INDEX(Accounts!$R$2:$R$11,$F936),IF(INDEX(Accounts!$S$2:$S$11,$F936)="NONE",G936-INDEX(Accounts!$R$2:$R$11,$F936),MIN(G936-INDEX(Accounts!$R$2:$R$11,$F936),INDEX(Accounts!$Q$2:$Q$11,$F936)+INDEX(Accounts!$S$2:$S$11,$F936))))),"")</f>
        <v/>
      </c>
      <c r="I936" s="16">
        <f>IF(AND($A936="",$B936="",$C936="",$D936="",$E936=""),"",IF(OR($A936="",$F936=""),"UNKNOWN_ACCOUNT",IF(OR($B936="",$C936=""),"INCOMPLETE",IFERROR(IF(OR(NOT(ISNUMBER($B936)),NOT(ISNUMBER($C936)),IF(C936="",FALSE,IF(ISNUMBER(C936),OR(C936&lt;=0,C936&gt;100000000,ROUND(C936*100,6)&lt;&gt;INT(ROUND(C936*100,6))),TRUE)),IF(D936="",FALSE,IF(ISNUMBER(D936),OR(D936&lt;=0,D936&gt;100000000,ROUND(D936*100,6)&lt;&gt;INT(ROUND(D936*100,6))),TRUE)),IF(E936="",FALSE,IF(ISNUMBER(E936),OR(E936&lt;=0,E936&gt;100000000,ROUND(E936*100,6)&lt;&gt;INT(ROUND(E936*100,6))),TRUE)),AND($D936&lt;&gt;"",$D936&lt;MAX($C936,$E936)),AND($E936&lt;&gt;"",$E936&gt;MIN($C936,IF($D936="",$C936,$D936))),COUNTIFS($A$2:$A$1001,$A936,$B$2:$B$1001,$B936)&gt;1),"INVALID",IFERROR(IF(IF(INDEX(Accounts!$T$2:$T$11,$F936),ROUND(IF($E936="",$C936,MIN($C936,$E936))-(H936),6)&lt;=0,ROUND(IF($E936="",$C936,MIN($C936,$E936))-(H936),6)&lt;0),"BREACHED","OK"),"INCOMPLETE")),"INVALID"))))</f>
        <v/>
      </c>
      <c r="J936" s="33">
        <f>IF(OR(I936="OK",I936="BREACHED"),-INT(ROUND(-(H936)*100,6))/100,I936)</f>
        <v/>
      </c>
    </row>
    <row r="937" ht="18" customHeight="1">
      <c r="A937" s="9" t="n"/>
      <c r="B937" s="32" t="n"/>
      <c r="C937" s="12" t="n"/>
      <c r="D937" s="12" t="n"/>
      <c r="E937" s="12" t="n"/>
      <c r="F937" s="15">
        <f>IFERROR(MATCH($A937,Accounts!$A$2:$A$11,0),"")</f>
        <v/>
      </c>
      <c r="G937" s="14">
        <f>IFERROR(IF(OR($A937="",$F937=""),"",IF(INDEX(Accounts!$P$2:$P$11,$F937)="static",INDEX(Accounts!$Q$2:$Q$11,$F937),IF(INDEX(Accounts!$P$2:$P$11,$F937)="eod_trailing",MAX(INDEX(Accounts!$Q$2:$Q$11,$F937),_xlfn.MAXIFS($C$2:$C$1001,$A$2:$A$1001,$A937,$B$2:$B$1001,"&lt;"&amp;$B937)),MAX(INDEX(Accounts!$Q$2:$Q$11,$F937),_xlfn.MAXIFS($C$2:$C$1001,$A$2:$A$1001,$A937,$B$2:$B$1001,"&lt;"&amp;$B937),_xlfn.MAXIFS($D$2:$D$1001,$A$2:$A$1001,$A937,$B$2:$B$1001,"&lt;="&amp;$B937),$C937)))),"")</f>
        <v/>
      </c>
      <c r="H937" s="15">
        <f>IFERROR(IF(G937="","",IF(INDEX(Accounts!$P$2:$P$11,$F937)="static",INDEX(Accounts!$Q$2:$Q$11,$F937)-INDEX(Accounts!$R$2:$R$11,$F937),IF(INDEX(Accounts!$S$2:$S$11,$F937)="NONE",G937-INDEX(Accounts!$R$2:$R$11,$F937),MIN(G937-INDEX(Accounts!$R$2:$R$11,$F937),INDEX(Accounts!$Q$2:$Q$11,$F937)+INDEX(Accounts!$S$2:$S$11,$F937))))),"")</f>
        <v/>
      </c>
      <c r="I937" s="16">
        <f>IF(AND($A937="",$B937="",$C937="",$D937="",$E937=""),"",IF(OR($A937="",$F937=""),"UNKNOWN_ACCOUNT",IF(OR($B937="",$C937=""),"INCOMPLETE",IFERROR(IF(OR(NOT(ISNUMBER($B937)),NOT(ISNUMBER($C937)),IF(C937="",FALSE,IF(ISNUMBER(C937),OR(C937&lt;=0,C937&gt;100000000,ROUND(C937*100,6)&lt;&gt;INT(ROUND(C937*100,6))),TRUE)),IF(D937="",FALSE,IF(ISNUMBER(D937),OR(D937&lt;=0,D937&gt;100000000,ROUND(D937*100,6)&lt;&gt;INT(ROUND(D937*100,6))),TRUE)),IF(E937="",FALSE,IF(ISNUMBER(E937),OR(E937&lt;=0,E937&gt;100000000,ROUND(E937*100,6)&lt;&gt;INT(ROUND(E937*100,6))),TRUE)),AND($D937&lt;&gt;"",$D937&lt;MAX($C937,$E937)),AND($E937&lt;&gt;"",$E937&gt;MIN($C937,IF($D937="",$C937,$D937))),COUNTIFS($A$2:$A$1001,$A937,$B$2:$B$1001,$B937)&gt;1),"INVALID",IFERROR(IF(IF(INDEX(Accounts!$T$2:$T$11,$F937),ROUND(IF($E937="",$C937,MIN($C937,$E937))-(H937),6)&lt;=0,ROUND(IF($E937="",$C937,MIN($C937,$E937))-(H937),6)&lt;0),"BREACHED","OK"),"INCOMPLETE")),"INVALID"))))</f>
        <v/>
      </c>
      <c r="J937" s="33">
        <f>IF(OR(I937="OK",I937="BREACHED"),-INT(ROUND(-(H937)*100,6))/100,I937)</f>
        <v/>
      </c>
    </row>
    <row r="938" ht="18" customHeight="1">
      <c r="A938" s="9" t="n"/>
      <c r="B938" s="32" t="n"/>
      <c r="C938" s="12" t="n"/>
      <c r="D938" s="12" t="n"/>
      <c r="E938" s="12" t="n"/>
      <c r="F938" s="15">
        <f>IFERROR(MATCH($A938,Accounts!$A$2:$A$11,0),"")</f>
        <v/>
      </c>
      <c r="G938" s="14">
        <f>IFERROR(IF(OR($A938="",$F938=""),"",IF(INDEX(Accounts!$P$2:$P$11,$F938)="static",INDEX(Accounts!$Q$2:$Q$11,$F938),IF(INDEX(Accounts!$P$2:$P$11,$F938)="eod_trailing",MAX(INDEX(Accounts!$Q$2:$Q$11,$F938),_xlfn.MAXIFS($C$2:$C$1001,$A$2:$A$1001,$A938,$B$2:$B$1001,"&lt;"&amp;$B938)),MAX(INDEX(Accounts!$Q$2:$Q$11,$F938),_xlfn.MAXIFS($C$2:$C$1001,$A$2:$A$1001,$A938,$B$2:$B$1001,"&lt;"&amp;$B938),_xlfn.MAXIFS($D$2:$D$1001,$A$2:$A$1001,$A938,$B$2:$B$1001,"&lt;="&amp;$B938),$C938)))),"")</f>
        <v/>
      </c>
      <c r="H938" s="15">
        <f>IFERROR(IF(G938="","",IF(INDEX(Accounts!$P$2:$P$11,$F938)="static",INDEX(Accounts!$Q$2:$Q$11,$F938)-INDEX(Accounts!$R$2:$R$11,$F938),IF(INDEX(Accounts!$S$2:$S$11,$F938)="NONE",G938-INDEX(Accounts!$R$2:$R$11,$F938),MIN(G938-INDEX(Accounts!$R$2:$R$11,$F938),INDEX(Accounts!$Q$2:$Q$11,$F938)+INDEX(Accounts!$S$2:$S$11,$F938))))),"")</f>
        <v/>
      </c>
      <c r="I938" s="16">
        <f>IF(AND($A938="",$B938="",$C938="",$D938="",$E938=""),"",IF(OR($A938="",$F938=""),"UNKNOWN_ACCOUNT",IF(OR($B938="",$C938=""),"INCOMPLETE",IFERROR(IF(OR(NOT(ISNUMBER($B938)),NOT(ISNUMBER($C938)),IF(C938="",FALSE,IF(ISNUMBER(C938),OR(C938&lt;=0,C938&gt;100000000,ROUND(C938*100,6)&lt;&gt;INT(ROUND(C938*100,6))),TRUE)),IF(D938="",FALSE,IF(ISNUMBER(D938),OR(D938&lt;=0,D938&gt;100000000,ROUND(D938*100,6)&lt;&gt;INT(ROUND(D938*100,6))),TRUE)),IF(E938="",FALSE,IF(ISNUMBER(E938),OR(E938&lt;=0,E938&gt;100000000,ROUND(E938*100,6)&lt;&gt;INT(ROUND(E938*100,6))),TRUE)),AND($D938&lt;&gt;"",$D938&lt;MAX($C938,$E938)),AND($E938&lt;&gt;"",$E938&gt;MIN($C938,IF($D938="",$C938,$D938))),COUNTIFS($A$2:$A$1001,$A938,$B$2:$B$1001,$B938)&gt;1),"INVALID",IFERROR(IF(IF(INDEX(Accounts!$T$2:$T$11,$F938),ROUND(IF($E938="",$C938,MIN($C938,$E938))-(H938),6)&lt;=0,ROUND(IF($E938="",$C938,MIN($C938,$E938))-(H938),6)&lt;0),"BREACHED","OK"),"INCOMPLETE")),"INVALID"))))</f>
        <v/>
      </c>
      <c r="J938" s="33">
        <f>IF(OR(I938="OK",I938="BREACHED"),-INT(ROUND(-(H938)*100,6))/100,I938)</f>
        <v/>
      </c>
    </row>
    <row r="939" ht="18" customHeight="1">
      <c r="A939" s="9" t="n"/>
      <c r="B939" s="32" t="n"/>
      <c r="C939" s="12" t="n"/>
      <c r="D939" s="12" t="n"/>
      <c r="E939" s="12" t="n"/>
      <c r="F939" s="15">
        <f>IFERROR(MATCH($A939,Accounts!$A$2:$A$11,0),"")</f>
        <v/>
      </c>
      <c r="G939" s="14">
        <f>IFERROR(IF(OR($A939="",$F939=""),"",IF(INDEX(Accounts!$P$2:$P$11,$F939)="static",INDEX(Accounts!$Q$2:$Q$11,$F939),IF(INDEX(Accounts!$P$2:$P$11,$F939)="eod_trailing",MAX(INDEX(Accounts!$Q$2:$Q$11,$F939),_xlfn.MAXIFS($C$2:$C$1001,$A$2:$A$1001,$A939,$B$2:$B$1001,"&lt;"&amp;$B939)),MAX(INDEX(Accounts!$Q$2:$Q$11,$F939),_xlfn.MAXIFS($C$2:$C$1001,$A$2:$A$1001,$A939,$B$2:$B$1001,"&lt;"&amp;$B939),_xlfn.MAXIFS($D$2:$D$1001,$A$2:$A$1001,$A939,$B$2:$B$1001,"&lt;="&amp;$B939),$C939)))),"")</f>
        <v/>
      </c>
      <c r="H939" s="15">
        <f>IFERROR(IF(G939="","",IF(INDEX(Accounts!$P$2:$P$11,$F939)="static",INDEX(Accounts!$Q$2:$Q$11,$F939)-INDEX(Accounts!$R$2:$R$11,$F939),IF(INDEX(Accounts!$S$2:$S$11,$F939)="NONE",G939-INDEX(Accounts!$R$2:$R$11,$F939),MIN(G939-INDEX(Accounts!$R$2:$R$11,$F939),INDEX(Accounts!$Q$2:$Q$11,$F939)+INDEX(Accounts!$S$2:$S$11,$F939))))),"")</f>
        <v/>
      </c>
      <c r="I939" s="16">
        <f>IF(AND($A939="",$B939="",$C939="",$D939="",$E939=""),"",IF(OR($A939="",$F939=""),"UNKNOWN_ACCOUNT",IF(OR($B939="",$C939=""),"INCOMPLETE",IFERROR(IF(OR(NOT(ISNUMBER($B939)),NOT(ISNUMBER($C939)),IF(C939="",FALSE,IF(ISNUMBER(C939),OR(C939&lt;=0,C939&gt;100000000,ROUND(C939*100,6)&lt;&gt;INT(ROUND(C939*100,6))),TRUE)),IF(D939="",FALSE,IF(ISNUMBER(D939),OR(D939&lt;=0,D939&gt;100000000,ROUND(D939*100,6)&lt;&gt;INT(ROUND(D939*100,6))),TRUE)),IF(E939="",FALSE,IF(ISNUMBER(E939),OR(E939&lt;=0,E939&gt;100000000,ROUND(E939*100,6)&lt;&gt;INT(ROUND(E939*100,6))),TRUE)),AND($D939&lt;&gt;"",$D939&lt;MAX($C939,$E939)),AND($E939&lt;&gt;"",$E939&gt;MIN($C939,IF($D939="",$C939,$D939))),COUNTIFS($A$2:$A$1001,$A939,$B$2:$B$1001,$B939)&gt;1),"INVALID",IFERROR(IF(IF(INDEX(Accounts!$T$2:$T$11,$F939),ROUND(IF($E939="",$C939,MIN($C939,$E939))-(H939),6)&lt;=0,ROUND(IF($E939="",$C939,MIN($C939,$E939))-(H939),6)&lt;0),"BREACHED","OK"),"INCOMPLETE")),"INVALID"))))</f>
        <v/>
      </c>
      <c r="J939" s="33">
        <f>IF(OR(I939="OK",I939="BREACHED"),-INT(ROUND(-(H939)*100,6))/100,I939)</f>
        <v/>
      </c>
    </row>
    <row r="940" ht="18" customHeight="1">
      <c r="A940" s="9" t="n"/>
      <c r="B940" s="32" t="n"/>
      <c r="C940" s="12" t="n"/>
      <c r="D940" s="12" t="n"/>
      <c r="E940" s="12" t="n"/>
      <c r="F940" s="15">
        <f>IFERROR(MATCH($A940,Accounts!$A$2:$A$11,0),"")</f>
        <v/>
      </c>
      <c r="G940" s="14">
        <f>IFERROR(IF(OR($A940="",$F940=""),"",IF(INDEX(Accounts!$P$2:$P$11,$F940)="static",INDEX(Accounts!$Q$2:$Q$11,$F940),IF(INDEX(Accounts!$P$2:$P$11,$F940)="eod_trailing",MAX(INDEX(Accounts!$Q$2:$Q$11,$F940),_xlfn.MAXIFS($C$2:$C$1001,$A$2:$A$1001,$A940,$B$2:$B$1001,"&lt;"&amp;$B940)),MAX(INDEX(Accounts!$Q$2:$Q$11,$F940),_xlfn.MAXIFS($C$2:$C$1001,$A$2:$A$1001,$A940,$B$2:$B$1001,"&lt;"&amp;$B940),_xlfn.MAXIFS($D$2:$D$1001,$A$2:$A$1001,$A940,$B$2:$B$1001,"&lt;="&amp;$B940),$C940)))),"")</f>
        <v/>
      </c>
      <c r="H940" s="15">
        <f>IFERROR(IF(G940="","",IF(INDEX(Accounts!$P$2:$P$11,$F940)="static",INDEX(Accounts!$Q$2:$Q$11,$F940)-INDEX(Accounts!$R$2:$R$11,$F940),IF(INDEX(Accounts!$S$2:$S$11,$F940)="NONE",G940-INDEX(Accounts!$R$2:$R$11,$F940),MIN(G940-INDEX(Accounts!$R$2:$R$11,$F940),INDEX(Accounts!$Q$2:$Q$11,$F940)+INDEX(Accounts!$S$2:$S$11,$F940))))),"")</f>
        <v/>
      </c>
      <c r="I940" s="16">
        <f>IF(AND($A940="",$B940="",$C940="",$D940="",$E940=""),"",IF(OR($A940="",$F940=""),"UNKNOWN_ACCOUNT",IF(OR($B940="",$C940=""),"INCOMPLETE",IFERROR(IF(OR(NOT(ISNUMBER($B940)),NOT(ISNUMBER($C940)),IF(C940="",FALSE,IF(ISNUMBER(C940),OR(C940&lt;=0,C940&gt;100000000,ROUND(C940*100,6)&lt;&gt;INT(ROUND(C940*100,6))),TRUE)),IF(D940="",FALSE,IF(ISNUMBER(D940),OR(D940&lt;=0,D940&gt;100000000,ROUND(D940*100,6)&lt;&gt;INT(ROUND(D940*100,6))),TRUE)),IF(E940="",FALSE,IF(ISNUMBER(E940),OR(E940&lt;=0,E940&gt;100000000,ROUND(E940*100,6)&lt;&gt;INT(ROUND(E940*100,6))),TRUE)),AND($D940&lt;&gt;"",$D940&lt;MAX($C940,$E940)),AND($E940&lt;&gt;"",$E940&gt;MIN($C940,IF($D940="",$C940,$D940))),COUNTIFS($A$2:$A$1001,$A940,$B$2:$B$1001,$B940)&gt;1),"INVALID",IFERROR(IF(IF(INDEX(Accounts!$T$2:$T$11,$F940),ROUND(IF($E940="",$C940,MIN($C940,$E940))-(H940),6)&lt;=0,ROUND(IF($E940="",$C940,MIN($C940,$E940))-(H940),6)&lt;0),"BREACHED","OK"),"INCOMPLETE")),"INVALID"))))</f>
        <v/>
      </c>
      <c r="J940" s="33">
        <f>IF(OR(I940="OK",I940="BREACHED"),-INT(ROUND(-(H940)*100,6))/100,I940)</f>
        <v/>
      </c>
    </row>
    <row r="941" ht="18" customHeight="1">
      <c r="A941" s="9" t="n"/>
      <c r="B941" s="32" t="n"/>
      <c r="C941" s="12" t="n"/>
      <c r="D941" s="12" t="n"/>
      <c r="E941" s="12" t="n"/>
      <c r="F941" s="15">
        <f>IFERROR(MATCH($A941,Accounts!$A$2:$A$11,0),"")</f>
        <v/>
      </c>
      <c r="G941" s="14">
        <f>IFERROR(IF(OR($A941="",$F941=""),"",IF(INDEX(Accounts!$P$2:$P$11,$F941)="static",INDEX(Accounts!$Q$2:$Q$11,$F941),IF(INDEX(Accounts!$P$2:$P$11,$F941)="eod_trailing",MAX(INDEX(Accounts!$Q$2:$Q$11,$F941),_xlfn.MAXIFS($C$2:$C$1001,$A$2:$A$1001,$A941,$B$2:$B$1001,"&lt;"&amp;$B941)),MAX(INDEX(Accounts!$Q$2:$Q$11,$F941),_xlfn.MAXIFS($C$2:$C$1001,$A$2:$A$1001,$A941,$B$2:$B$1001,"&lt;"&amp;$B941),_xlfn.MAXIFS($D$2:$D$1001,$A$2:$A$1001,$A941,$B$2:$B$1001,"&lt;="&amp;$B941),$C941)))),"")</f>
        <v/>
      </c>
      <c r="H941" s="15">
        <f>IFERROR(IF(G941="","",IF(INDEX(Accounts!$P$2:$P$11,$F941)="static",INDEX(Accounts!$Q$2:$Q$11,$F941)-INDEX(Accounts!$R$2:$R$11,$F941),IF(INDEX(Accounts!$S$2:$S$11,$F941)="NONE",G941-INDEX(Accounts!$R$2:$R$11,$F941),MIN(G941-INDEX(Accounts!$R$2:$R$11,$F941),INDEX(Accounts!$Q$2:$Q$11,$F941)+INDEX(Accounts!$S$2:$S$11,$F941))))),"")</f>
        <v/>
      </c>
      <c r="I941" s="16">
        <f>IF(AND($A941="",$B941="",$C941="",$D941="",$E941=""),"",IF(OR($A941="",$F941=""),"UNKNOWN_ACCOUNT",IF(OR($B941="",$C941=""),"INCOMPLETE",IFERROR(IF(OR(NOT(ISNUMBER($B941)),NOT(ISNUMBER($C941)),IF(C941="",FALSE,IF(ISNUMBER(C941),OR(C941&lt;=0,C941&gt;100000000,ROUND(C941*100,6)&lt;&gt;INT(ROUND(C941*100,6))),TRUE)),IF(D941="",FALSE,IF(ISNUMBER(D941),OR(D941&lt;=0,D941&gt;100000000,ROUND(D941*100,6)&lt;&gt;INT(ROUND(D941*100,6))),TRUE)),IF(E941="",FALSE,IF(ISNUMBER(E941),OR(E941&lt;=0,E941&gt;100000000,ROUND(E941*100,6)&lt;&gt;INT(ROUND(E941*100,6))),TRUE)),AND($D941&lt;&gt;"",$D941&lt;MAX($C941,$E941)),AND($E941&lt;&gt;"",$E941&gt;MIN($C941,IF($D941="",$C941,$D941))),COUNTIFS($A$2:$A$1001,$A941,$B$2:$B$1001,$B941)&gt;1),"INVALID",IFERROR(IF(IF(INDEX(Accounts!$T$2:$T$11,$F941),ROUND(IF($E941="",$C941,MIN($C941,$E941))-(H941),6)&lt;=0,ROUND(IF($E941="",$C941,MIN($C941,$E941))-(H941),6)&lt;0),"BREACHED","OK"),"INCOMPLETE")),"INVALID"))))</f>
        <v/>
      </c>
      <c r="J941" s="33">
        <f>IF(OR(I941="OK",I941="BREACHED"),-INT(ROUND(-(H941)*100,6))/100,I941)</f>
        <v/>
      </c>
    </row>
    <row r="942" ht="18" customHeight="1">
      <c r="A942" s="9" t="n"/>
      <c r="B942" s="32" t="n"/>
      <c r="C942" s="12" t="n"/>
      <c r="D942" s="12" t="n"/>
      <c r="E942" s="12" t="n"/>
      <c r="F942" s="15">
        <f>IFERROR(MATCH($A942,Accounts!$A$2:$A$11,0),"")</f>
        <v/>
      </c>
      <c r="G942" s="14">
        <f>IFERROR(IF(OR($A942="",$F942=""),"",IF(INDEX(Accounts!$P$2:$P$11,$F942)="static",INDEX(Accounts!$Q$2:$Q$11,$F942),IF(INDEX(Accounts!$P$2:$P$11,$F942)="eod_trailing",MAX(INDEX(Accounts!$Q$2:$Q$11,$F942),_xlfn.MAXIFS($C$2:$C$1001,$A$2:$A$1001,$A942,$B$2:$B$1001,"&lt;"&amp;$B942)),MAX(INDEX(Accounts!$Q$2:$Q$11,$F942),_xlfn.MAXIFS($C$2:$C$1001,$A$2:$A$1001,$A942,$B$2:$B$1001,"&lt;"&amp;$B942),_xlfn.MAXIFS($D$2:$D$1001,$A$2:$A$1001,$A942,$B$2:$B$1001,"&lt;="&amp;$B942),$C942)))),"")</f>
        <v/>
      </c>
      <c r="H942" s="15">
        <f>IFERROR(IF(G942="","",IF(INDEX(Accounts!$P$2:$P$11,$F942)="static",INDEX(Accounts!$Q$2:$Q$11,$F942)-INDEX(Accounts!$R$2:$R$11,$F942),IF(INDEX(Accounts!$S$2:$S$11,$F942)="NONE",G942-INDEX(Accounts!$R$2:$R$11,$F942),MIN(G942-INDEX(Accounts!$R$2:$R$11,$F942),INDEX(Accounts!$Q$2:$Q$11,$F942)+INDEX(Accounts!$S$2:$S$11,$F942))))),"")</f>
        <v/>
      </c>
      <c r="I942" s="16">
        <f>IF(AND($A942="",$B942="",$C942="",$D942="",$E942=""),"",IF(OR($A942="",$F942=""),"UNKNOWN_ACCOUNT",IF(OR($B942="",$C942=""),"INCOMPLETE",IFERROR(IF(OR(NOT(ISNUMBER($B942)),NOT(ISNUMBER($C942)),IF(C942="",FALSE,IF(ISNUMBER(C942),OR(C942&lt;=0,C942&gt;100000000,ROUND(C942*100,6)&lt;&gt;INT(ROUND(C942*100,6))),TRUE)),IF(D942="",FALSE,IF(ISNUMBER(D942),OR(D942&lt;=0,D942&gt;100000000,ROUND(D942*100,6)&lt;&gt;INT(ROUND(D942*100,6))),TRUE)),IF(E942="",FALSE,IF(ISNUMBER(E942),OR(E942&lt;=0,E942&gt;100000000,ROUND(E942*100,6)&lt;&gt;INT(ROUND(E942*100,6))),TRUE)),AND($D942&lt;&gt;"",$D942&lt;MAX($C942,$E942)),AND($E942&lt;&gt;"",$E942&gt;MIN($C942,IF($D942="",$C942,$D942))),COUNTIFS($A$2:$A$1001,$A942,$B$2:$B$1001,$B942)&gt;1),"INVALID",IFERROR(IF(IF(INDEX(Accounts!$T$2:$T$11,$F942),ROUND(IF($E942="",$C942,MIN($C942,$E942))-(H942),6)&lt;=0,ROUND(IF($E942="",$C942,MIN($C942,$E942))-(H942),6)&lt;0),"BREACHED","OK"),"INCOMPLETE")),"INVALID"))))</f>
        <v/>
      </c>
      <c r="J942" s="33">
        <f>IF(OR(I942="OK",I942="BREACHED"),-INT(ROUND(-(H942)*100,6))/100,I942)</f>
        <v/>
      </c>
    </row>
    <row r="943" ht="18" customHeight="1">
      <c r="A943" s="9" t="n"/>
      <c r="B943" s="32" t="n"/>
      <c r="C943" s="12" t="n"/>
      <c r="D943" s="12" t="n"/>
      <c r="E943" s="12" t="n"/>
      <c r="F943" s="15">
        <f>IFERROR(MATCH($A943,Accounts!$A$2:$A$11,0),"")</f>
        <v/>
      </c>
      <c r="G943" s="14">
        <f>IFERROR(IF(OR($A943="",$F943=""),"",IF(INDEX(Accounts!$P$2:$P$11,$F943)="static",INDEX(Accounts!$Q$2:$Q$11,$F943),IF(INDEX(Accounts!$P$2:$P$11,$F943)="eod_trailing",MAX(INDEX(Accounts!$Q$2:$Q$11,$F943),_xlfn.MAXIFS($C$2:$C$1001,$A$2:$A$1001,$A943,$B$2:$B$1001,"&lt;"&amp;$B943)),MAX(INDEX(Accounts!$Q$2:$Q$11,$F943),_xlfn.MAXIFS($C$2:$C$1001,$A$2:$A$1001,$A943,$B$2:$B$1001,"&lt;"&amp;$B943),_xlfn.MAXIFS($D$2:$D$1001,$A$2:$A$1001,$A943,$B$2:$B$1001,"&lt;="&amp;$B943),$C943)))),"")</f>
        <v/>
      </c>
      <c r="H943" s="15">
        <f>IFERROR(IF(G943="","",IF(INDEX(Accounts!$P$2:$P$11,$F943)="static",INDEX(Accounts!$Q$2:$Q$11,$F943)-INDEX(Accounts!$R$2:$R$11,$F943),IF(INDEX(Accounts!$S$2:$S$11,$F943)="NONE",G943-INDEX(Accounts!$R$2:$R$11,$F943),MIN(G943-INDEX(Accounts!$R$2:$R$11,$F943),INDEX(Accounts!$Q$2:$Q$11,$F943)+INDEX(Accounts!$S$2:$S$11,$F943))))),"")</f>
        <v/>
      </c>
      <c r="I943" s="16">
        <f>IF(AND($A943="",$B943="",$C943="",$D943="",$E943=""),"",IF(OR($A943="",$F943=""),"UNKNOWN_ACCOUNT",IF(OR($B943="",$C943=""),"INCOMPLETE",IFERROR(IF(OR(NOT(ISNUMBER($B943)),NOT(ISNUMBER($C943)),IF(C943="",FALSE,IF(ISNUMBER(C943),OR(C943&lt;=0,C943&gt;100000000,ROUND(C943*100,6)&lt;&gt;INT(ROUND(C943*100,6))),TRUE)),IF(D943="",FALSE,IF(ISNUMBER(D943),OR(D943&lt;=0,D943&gt;100000000,ROUND(D943*100,6)&lt;&gt;INT(ROUND(D943*100,6))),TRUE)),IF(E943="",FALSE,IF(ISNUMBER(E943),OR(E943&lt;=0,E943&gt;100000000,ROUND(E943*100,6)&lt;&gt;INT(ROUND(E943*100,6))),TRUE)),AND($D943&lt;&gt;"",$D943&lt;MAX($C943,$E943)),AND($E943&lt;&gt;"",$E943&gt;MIN($C943,IF($D943="",$C943,$D943))),COUNTIFS($A$2:$A$1001,$A943,$B$2:$B$1001,$B943)&gt;1),"INVALID",IFERROR(IF(IF(INDEX(Accounts!$T$2:$T$11,$F943),ROUND(IF($E943="",$C943,MIN($C943,$E943))-(H943),6)&lt;=0,ROUND(IF($E943="",$C943,MIN($C943,$E943))-(H943),6)&lt;0),"BREACHED","OK"),"INCOMPLETE")),"INVALID"))))</f>
        <v/>
      </c>
      <c r="J943" s="33">
        <f>IF(OR(I943="OK",I943="BREACHED"),-INT(ROUND(-(H943)*100,6))/100,I943)</f>
        <v/>
      </c>
    </row>
    <row r="944" ht="18" customHeight="1">
      <c r="A944" s="9" t="n"/>
      <c r="B944" s="32" t="n"/>
      <c r="C944" s="12" t="n"/>
      <c r="D944" s="12" t="n"/>
      <c r="E944" s="12" t="n"/>
      <c r="F944" s="15">
        <f>IFERROR(MATCH($A944,Accounts!$A$2:$A$11,0),"")</f>
        <v/>
      </c>
      <c r="G944" s="14">
        <f>IFERROR(IF(OR($A944="",$F944=""),"",IF(INDEX(Accounts!$P$2:$P$11,$F944)="static",INDEX(Accounts!$Q$2:$Q$11,$F944),IF(INDEX(Accounts!$P$2:$P$11,$F944)="eod_trailing",MAX(INDEX(Accounts!$Q$2:$Q$11,$F944),_xlfn.MAXIFS($C$2:$C$1001,$A$2:$A$1001,$A944,$B$2:$B$1001,"&lt;"&amp;$B944)),MAX(INDEX(Accounts!$Q$2:$Q$11,$F944),_xlfn.MAXIFS($C$2:$C$1001,$A$2:$A$1001,$A944,$B$2:$B$1001,"&lt;"&amp;$B944),_xlfn.MAXIFS($D$2:$D$1001,$A$2:$A$1001,$A944,$B$2:$B$1001,"&lt;="&amp;$B944),$C944)))),"")</f>
        <v/>
      </c>
      <c r="H944" s="15">
        <f>IFERROR(IF(G944="","",IF(INDEX(Accounts!$P$2:$P$11,$F944)="static",INDEX(Accounts!$Q$2:$Q$11,$F944)-INDEX(Accounts!$R$2:$R$11,$F944),IF(INDEX(Accounts!$S$2:$S$11,$F944)="NONE",G944-INDEX(Accounts!$R$2:$R$11,$F944),MIN(G944-INDEX(Accounts!$R$2:$R$11,$F944),INDEX(Accounts!$Q$2:$Q$11,$F944)+INDEX(Accounts!$S$2:$S$11,$F944))))),"")</f>
        <v/>
      </c>
      <c r="I944" s="16">
        <f>IF(AND($A944="",$B944="",$C944="",$D944="",$E944=""),"",IF(OR($A944="",$F944=""),"UNKNOWN_ACCOUNT",IF(OR($B944="",$C944=""),"INCOMPLETE",IFERROR(IF(OR(NOT(ISNUMBER($B944)),NOT(ISNUMBER($C944)),IF(C944="",FALSE,IF(ISNUMBER(C944),OR(C944&lt;=0,C944&gt;100000000,ROUND(C944*100,6)&lt;&gt;INT(ROUND(C944*100,6))),TRUE)),IF(D944="",FALSE,IF(ISNUMBER(D944),OR(D944&lt;=0,D944&gt;100000000,ROUND(D944*100,6)&lt;&gt;INT(ROUND(D944*100,6))),TRUE)),IF(E944="",FALSE,IF(ISNUMBER(E944),OR(E944&lt;=0,E944&gt;100000000,ROUND(E944*100,6)&lt;&gt;INT(ROUND(E944*100,6))),TRUE)),AND($D944&lt;&gt;"",$D944&lt;MAX($C944,$E944)),AND($E944&lt;&gt;"",$E944&gt;MIN($C944,IF($D944="",$C944,$D944))),COUNTIFS($A$2:$A$1001,$A944,$B$2:$B$1001,$B944)&gt;1),"INVALID",IFERROR(IF(IF(INDEX(Accounts!$T$2:$T$11,$F944),ROUND(IF($E944="",$C944,MIN($C944,$E944))-(H944),6)&lt;=0,ROUND(IF($E944="",$C944,MIN($C944,$E944))-(H944),6)&lt;0),"BREACHED","OK"),"INCOMPLETE")),"INVALID"))))</f>
        <v/>
      </c>
      <c r="J944" s="33">
        <f>IF(OR(I944="OK",I944="BREACHED"),-INT(ROUND(-(H944)*100,6))/100,I944)</f>
        <v/>
      </c>
    </row>
    <row r="945" ht="18" customHeight="1">
      <c r="A945" s="9" t="n"/>
      <c r="B945" s="32" t="n"/>
      <c r="C945" s="12" t="n"/>
      <c r="D945" s="12" t="n"/>
      <c r="E945" s="12" t="n"/>
      <c r="F945" s="15">
        <f>IFERROR(MATCH($A945,Accounts!$A$2:$A$11,0),"")</f>
        <v/>
      </c>
      <c r="G945" s="14">
        <f>IFERROR(IF(OR($A945="",$F945=""),"",IF(INDEX(Accounts!$P$2:$P$11,$F945)="static",INDEX(Accounts!$Q$2:$Q$11,$F945),IF(INDEX(Accounts!$P$2:$P$11,$F945)="eod_trailing",MAX(INDEX(Accounts!$Q$2:$Q$11,$F945),_xlfn.MAXIFS($C$2:$C$1001,$A$2:$A$1001,$A945,$B$2:$B$1001,"&lt;"&amp;$B945)),MAX(INDEX(Accounts!$Q$2:$Q$11,$F945),_xlfn.MAXIFS($C$2:$C$1001,$A$2:$A$1001,$A945,$B$2:$B$1001,"&lt;"&amp;$B945),_xlfn.MAXIFS($D$2:$D$1001,$A$2:$A$1001,$A945,$B$2:$B$1001,"&lt;="&amp;$B945),$C945)))),"")</f>
        <v/>
      </c>
      <c r="H945" s="15">
        <f>IFERROR(IF(G945="","",IF(INDEX(Accounts!$P$2:$P$11,$F945)="static",INDEX(Accounts!$Q$2:$Q$11,$F945)-INDEX(Accounts!$R$2:$R$11,$F945),IF(INDEX(Accounts!$S$2:$S$11,$F945)="NONE",G945-INDEX(Accounts!$R$2:$R$11,$F945),MIN(G945-INDEX(Accounts!$R$2:$R$11,$F945),INDEX(Accounts!$Q$2:$Q$11,$F945)+INDEX(Accounts!$S$2:$S$11,$F945))))),"")</f>
        <v/>
      </c>
      <c r="I945" s="16">
        <f>IF(AND($A945="",$B945="",$C945="",$D945="",$E945=""),"",IF(OR($A945="",$F945=""),"UNKNOWN_ACCOUNT",IF(OR($B945="",$C945=""),"INCOMPLETE",IFERROR(IF(OR(NOT(ISNUMBER($B945)),NOT(ISNUMBER($C945)),IF(C945="",FALSE,IF(ISNUMBER(C945),OR(C945&lt;=0,C945&gt;100000000,ROUND(C945*100,6)&lt;&gt;INT(ROUND(C945*100,6))),TRUE)),IF(D945="",FALSE,IF(ISNUMBER(D945),OR(D945&lt;=0,D945&gt;100000000,ROUND(D945*100,6)&lt;&gt;INT(ROUND(D945*100,6))),TRUE)),IF(E945="",FALSE,IF(ISNUMBER(E945),OR(E945&lt;=0,E945&gt;100000000,ROUND(E945*100,6)&lt;&gt;INT(ROUND(E945*100,6))),TRUE)),AND($D945&lt;&gt;"",$D945&lt;MAX($C945,$E945)),AND($E945&lt;&gt;"",$E945&gt;MIN($C945,IF($D945="",$C945,$D945))),COUNTIFS($A$2:$A$1001,$A945,$B$2:$B$1001,$B945)&gt;1),"INVALID",IFERROR(IF(IF(INDEX(Accounts!$T$2:$T$11,$F945),ROUND(IF($E945="",$C945,MIN($C945,$E945))-(H945),6)&lt;=0,ROUND(IF($E945="",$C945,MIN($C945,$E945))-(H945),6)&lt;0),"BREACHED","OK"),"INCOMPLETE")),"INVALID"))))</f>
        <v/>
      </c>
      <c r="J945" s="33">
        <f>IF(OR(I945="OK",I945="BREACHED"),-INT(ROUND(-(H945)*100,6))/100,I945)</f>
        <v/>
      </c>
    </row>
    <row r="946" ht="18" customHeight="1">
      <c r="A946" s="9" t="n"/>
      <c r="B946" s="32" t="n"/>
      <c r="C946" s="12" t="n"/>
      <c r="D946" s="12" t="n"/>
      <c r="E946" s="12" t="n"/>
      <c r="F946" s="15">
        <f>IFERROR(MATCH($A946,Accounts!$A$2:$A$11,0),"")</f>
        <v/>
      </c>
      <c r="G946" s="14">
        <f>IFERROR(IF(OR($A946="",$F946=""),"",IF(INDEX(Accounts!$P$2:$P$11,$F946)="static",INDEX(Accounts!$Q$2:$Q$11,$F946),IF(INDEX(Accounts!$P$2:$P$11,$F946)="eod_trailing",MAX(INDEX(Accounts!$Q$2:$Q$11,$F946),_xlfn.MAXIFS($C$2:$C$1001,$A$2:$A$1001,$A946,$B$2:$B$1001,"&lt;"&amp;$B946)),MAX(INDEX(Accounts!$Q$2:$Q$11,$F946),_xlfn.MAXIFS($C$2:$C$1001,$A$2:$A$1001,$A946,$B$2:$B$1001,"&lt;"&amp;$B946),_xlfn.MAXIFS($D$2:$D$1001,$A$2:$A$1001,$A946,$B$2:$B$1001,"&lt;="&amp;$B946),$C946)))),"")</f>
        <v/>
      </c>
      <c r="H946" s="15">
        <f>IFERROR(IF(G946="","",IF(INDEX(Accounts!$P$2:$P$11,$F946)="static",INDEX(Accounts!$Q$2:$Q$11,$F946)-INDEX(Accounts!$R$2:$R$11,$F946),IF(INDEX(Accounts!$S$2:$S$11,$F946)="NONE",G946-INDEX(Accounts!$R$2:$R$11,$F946),MIN(G946-INDEX(Accounts!$R$2:$R$11,$F946),INDEX(Accounts!$Q$2:$Q$11,$F946)+INDEX(Accounts!$S$2:$S$11,$F946))))),"")</f>
        <v/>
      </c>
      <c r="I946" s="16">
        <f>IF(AND($A946="",$B946="",$C946="",$D946="",$E946=""),"",IF(OR($A946="",$F946=""),"UNKNOWN_ACCOUNT",IF(OR($B946="",$C946=""),"INCOMPLETE",IFERROR(IF(OR(NOT(ISNUMBER($B946)),NOT(ISNUMBER($C946)),IF(C946="",FALSE,IF(ISNUMBER(C946),OR(C946&lt;=0,C946&gt;100000000,ROUND(C946*100,6)&lt;&gt;INT(ROUND(C946*100,6))),TRUE)),IF(D946="",FALSE,IF(ISNUMBER(D946),OR(D946&lt;=0,D946&gt;100000000,ROUND(D946*100,6)&lt;&gt;INT(ROUND(D946*100,6))),TRUE)),IF(E946="",FALSE,IF(ISNUMBER(E946),OR(E946&lt;=0,E946&gt;100000000,ROUND(E946*100,6)&lt;&gt;INT(ROUND(E946*100,6))),TRUE)),AND($D946&lt;&gt;"",$D946&lt;MAX($C946,$E946)),AND($E946&lt;&gt;"",$E946&gt;MIN($C946,IF($D946="",$C946,$D946))),COUNTIFS($A$2:$A$1001,$A946,$B$2:$B$1001,$B946)&gt;1),"INVALID",IFERROR(IF(IF(INDEX(Accounts!$T$2:$T$11,$F946),ROUND(IF($E946="",$C946,MIN($C946,$E946))-(H946),6)&lt;=0,ROUND(IF($E946="",$C946,MIN($C946,$E946))-(H946),6)&lt;0),"BREACHED","OK"),"INCOMPLETE")),"INVALID"))))</f>
        <v/>
      </c>
      <c r="J946" s="33">
        <f>IF(OR(I946="OK",I946="BREACHED"),-INT(ROUND(-(H946)*100,6))/100,I946)</f>
        <v/>
      </c>
    </row>
    <row r="947" ht="18" customHeight="1">
      <c r="A947" s="9" t="n"/>
      <c r="B947" s="32" t="n"/>
      <c r="C947" s="12" t="n"/>
      <c r="D947" s="12" t="n"/>
      <c r="E947" s="12" t="n"/>
      <c r="F947" s="15">
        <f>IFERROR(MATCH($A947,Accounts!$A$2:$A$11,0),"")</f>
        <v/>
      </c>
      <c r="G947" s="14">
        <f>IFERROR(IF(OR($A947="",$F947=""),"",IF(INDEX(Accounts!$P$2:$P$11,$F947)="static",INDEX(Accounts!$Q$2:$Q$11,$F947),IF(INDEX(Accounts!$P$2:$P$11,$F947)="eod_trailing",MAX(INDEX(Accounts!$Q$2:$Q$11,$F947),_xlfn.MAXIFS($C$2:$C$1001,$A$2:$A$1001,$A947,$B$2:$B$1001,"&lt;"&amp;$B947)),MAX(INDEX(Accounts!$Q$2:$Q$11,$F947),_xlfn.MAXIFS($C$2:$C$1001,$A$2:$A$1001,$A947,$B$2:$B$1001,"&lt;"&amp;$B947),_xlfn.MAXIFS($D$2:$D$1001,$A$2:$A$1001,$A947,$B$2:$B$1001,"&lt;="&amp;$B947),$C947)))),"")</f>
        <v/>
      </c>
      <c r="H947" s="15">
        <f>IFERROR(IF(G947="","",IF(INDEX(Accounts!$P$2:$P$11,$F947)="static",INDEX(Accounts!$Q$2:$Q$11,$F947)-INDEX(Accounts!$R$2:$R$11,$F947),IF(INDEX(Accounts!$S$2:$S$11,$F947)="NONE",G947-INDEX(Accounts!$R$2:$R$11,$F947),MIN(G947-INDEX(Accounts!$R$2:$R$11,$F947),INDEX(Accounts!$Q$2:$Q$11,$F947)+INDEX(Accounts!$S$2:$S$11,$F947))))),"")</f>
        <v/>
      </c>
      <c r="I947" s="16">
        <f>IF(AND($A947="",$B947="",$C947="",$D947="",$E947=""),"",IF(OR($A947="",$F947=""),"UNKNOWN_ACCOUNT",IF(OR($B947="",$C947=""),"INCOMPLETE",IFERROR(IF(OR(NOT(ISNUMBER($B947)),NOT(ISNUMBER($C947)),IF(C947="",FALSE,IF(ISNUMBER(C947),OR(C947&lt;=0,C947&gt;100000000,ROUND(C947*100,6)&lt;&gt;INT(ROUND(C947*100,6))),TRUE)),IF(D947="",FALSE,IF(ISNUMBER(D947),OR(D947&lt;=0,D947&gt;100000000,ROUND(D947*100,6)&lt;&gt;INT(ROUND(D947*100,6))),TRUE)),IF(E947="",FALSE,IF(ISNUMBER(E947),OR(E947&lt;=0,E947&gt;100000000,ROUND(E947*100,6)&lt;&gt;INT(ROUND(E947*100,6))),TRUE)),AND($D947&lt;&gt;"",$D947&lt;MAX($C947,$E947)),AND($E947&lt;&gt;"",$E947&gt;MIN($C947,IF($D947="",$C947,$D947))),COUNTIFS($A$2:$A$1001,$A947,$B$2:$B$1001,$B947)&gt;1),"INVALID",IFERROR(IF(IF(INDEX(Accounts!$T$2:$T$11,$F947),ROUND(IF($E947="",$C947,MIN($C947,$E947))-(H947),6)&lt;=0,ROUND(IF($E947="",$C947,MIN($C947,$E947))-(H947),6)&lt;0),"BREACHED","OK"),"INCOMPLETE")),"INVALID"))))</f>
        <v/>
      </c>
      <c r="J947" s="33">
        <f>IF(OR(I947="OK",I947="BREACHED"),-INT(ROUND(-(H947)*100,6))/100,I947)</f>
        <v/>
      </c>
    </row>
    <row r="948" ht="18" customHeight="1">
      <c r="A948" s="9" t="n"/>
      <c r="B948" s="32" t="n"/>
      <c r="C948" s="12" t="n"/>
      <c r="D948" s="12" t="n"/>
      <c r="E948" s="12" t="n"/>
      <c r="F948" s="15">
        <f>IFERROR(MATCH($A948,Accounts!$A$2:$A$11,0),"")</f>
        <v/>
      </c>
      <c r="G948" s="14">
        <f>IFERROR(IF(OR($A948="",$F948=""),"",IF(INDEX(Accounts!$P$2:$P$11,$F948)="static",INDEX(Accounts!$Q$2:$Q$11,$F948),IF(INDEX(Accounts!$P$2:$P$11,$F948)="eod_trailing",MAX(INDEX(Accounts!$Q$2:$Q$11,$F948),_xlfn.MAXIFS($C$2:$C$1001,$A$2:$A$1001,$A948,$B$2:$B$1001,"&lt;"&amp;$B948)),MAX(INDEX(Accounts!$Q$2:$Q$11,$F948),_xlfn.MAXIFS($C$2:$C$1001,$A$2:$A$1001,$A948,$B$2:$B$1001,"&lt;"&amp;$B948),_xlfn.MAXIFS($D$2:$D$1001,$A$2:$A$1001,$A948,$B$2:$B$1001,"&lt;="&amp;$B948),$C948)))),"")</f>
        <v/>
      </c>
      <c r="H948" s="15">
        <f>IFERROR(IF(G948="","",IF(INDEX(Accounts!$P$2:$P$11,$F948)="static",INDEX(Accounts!$Q$2:$Q$11,$F948)-INDEX(Accounts!$R$2:$R$11,$F948),IF(INDEX(Accounts!$S$2:$S$11,$F948)="NONE",G948-INDEX(Accounts!$R$2:$R$11,$F948),MIN(G948-INDEX(Accounts!$R$2:$R$11,$F948),INDEX(Accounts!$Q$2:$Q$11,$F948)+INDEX(Accounts!$S$2:$S$11,$F948))))),"")</f>
        <v/>
      </c>
      <c r="I948" s="16">
        <f>IF(AND($A948="",$B948="",$C948="",$D948="",$E948=""),"",IF(OR($A948="",$F948=""),"UNKNOWN_ACCOUNT",IF(OR($B948="",$C948=""),"INCOMPLETE",IFERROR(IF(OR(NOT(ISNUMBER($B948)),NOT(ISNUMBER($C948)),IF(C948="",FALSE,IF(ISNUMBER(C948),OR(C948&lt;=0,C948&gt;100000000,ROUND(C948*100,6)&lt;&gt;INT(ROUND(C948*100,6))),TRUE)),IF(D948="",FALSE,IF(ISNUMBER(D948),OR(D948&lt;=0,D948&gt;100000000,ROUND(D948*100,6)&lt;&gt;INT(ROUND(D948*100,6))),TRUE)),IF(E948="",FALSE,IF(ISNUMBER(E948),OR(E948&lt;=0,E948&gt;100000000,ROUND(E948*100,6)&lt;&gt;INT(ROUND(E948*100,6))),TRUE)),AND($D948&lt;&gt;"",$D948&lt;MAX($C948,$E948)),AND($E948&lt;&gt;"",$E948&gt;MIN($C948,IF($D948="",$C948,$D948))),COUNTIFS($A$2:$A$1001,$A948,$B$2:$B$1001,$B948)&gt;1),"INVALID",IFERROR(IF(IF(INDEX(Accounts!$T$2:$T$11,$F948),ROUND(IF($E948="",$C948,MIN($C948,$E948))-(H948),6)&lt;=0,ROUND(IF($E948="",$C948,MIN($C948,$E948))-(H948),6)&lt;0),"BREACHED","OK"),"INCOMPLETE")),"INVALID"))))</f>
        <v/>
      </c>
      <c r="J948" s="33">
        <f>IF(OR(I948="OK",I948="BREACHED"),-INT(ROUND(-(H948)*100,6))/100,I948)</f>
        <v/>
      </c>
    </row>
    <row r="949" ht="18" customHeight="1">
      <c r="A949" s="9" t="n"/>
      <c r="B949" s="32" t="n"/>
      <c r="C949" s="12" t="n"/>
      <c r="D949" s="12" t="n"/>
      <c r="E949" s="12" t="n"/>
      <c r="F949" s="15">
        <f>IFERROR(MATCH($A949,Accounts!$A$2:$A$11,0),"")</f>
        <v/>
      </c>
      <c r="G949" s="14">
        <f>IFERROR(IF(OR($A949="",$F949=""),"",IF(INDEX(Accounts!$P$2:$P$11,$F949)="static",INDEX(Accounts!$Q$2:$Q$11,$F949),IF(INDEX(Accounts!$P$2:$P$11,$F949)="eod_trailing",MAX(INDEX(Accounts!$Q$2:$Q$11,$F949),_xlfn.MAXIFS($C$2:$C$1001,$A$2:$A$1001,$A949,$B$2:$B$1001,"&lt;"&amp;$B949)),MAX(INDEX(Accounts!$Q$2:$Q$11,$F949),_xlfn.MAXIFS($C$2:$C$1001,$A$2:$A$1001,$A949,$B$2:$B$1001,"&lt;"&amp;$B949),_xlfn.MAXIFS($D$2:$D$1001,$A$2:$A$1001,$A949,$B$2:$B$1001,"&lt;="&amp;$B949),$C949)))),"")</f>
        <v/>
      </c>
      <c r="H949" s="15">
        <f>IFERROR(IF(G949="","",IF(INDEX(Accounts!$P$2:$P$11,$F949)="static",INDEX(Accounts!$Q$2:$Q$11,$F949)-INDEX(Accounts!$R$2:$R$11,$F949),IF(INDEX(Accounts!$S$2:$S$11,$F949)="NONE",G949-INDEX(Accounts!$R$2:$R$11,$F949),MIN(G949-INDEX(Accounts!$R$2:$R$11,$F949),INDEX(Accounts!$Q$2:$Q$11,$F949)+INDEX(Accounts!$S$2:$S$11,$F949))))),"")</f>
        <v/>
      </c>
      <c r="I949" s="16">
        <f>IF(AND($A949="",$B949="",$C949="",$D949="",$E949=""),"",IF(OR($A949="",$F949=""),"UNKNOWN_ACCOUNT",IF(OR($B949="",$C949=""),"INCOMPLETE",IFERROR(IF(OR(NOT(ISNUMBER($B949)),NOT(ISNUMBER($C949)),IF(C949="",FALSE,IF(ISNUMBER(C949),OR(C949&lt;=0,C949&gt;100000000,ROUND(C949*100,6)&lt;&gt;INT(ROUND(C949*100,6))),TRUE)),IF(D949="",FALSE,IF(ISNUMBER(D949),OR(D949&lt;=0,D949&gt;100000000,ROUND(D949*100,6)&lt;&gt;INT(ROUND(D949*100,6))),TRUE)),IF(E949="",FALSE,IF(ISNUMBER(E949),OR(E949&lt;=0,E949&gt;100000000,ROUND(E949*100,6)&lt;&gt;INT(ROUND(E949*100,6))),TRUE)),AND($D949&lt;&gt;"",$D949&lt;MAX($C949,$E949)),AND($E949&lt;&gt;"",$E949&gt;MIN($C949,IF($D949="",$C949,$D949))),COUNTIFS($A$2:$A$1001,$A949,$B$2:$B$1001,$B949)&gt;1),"INVALID",IFERROR(IF(IF(INDEX(Accounts!$T$2:$T$11,$F949),ROUND(IF($E949="",$C949,MIN($C949,$E949))-(H949),6)&lt;=0,ROUND(IF($E949="",$C949,MIN($C949,$E949))-(H949),6)&lt;0),"BREACHED","OK"),"INCOMPLETE")),"INVALID"))))</f>
        <v/>
      </c>
      <c r="J949" s="33">
        <f>IF(OR(I949="OK",I949="BREACHED"),-INT(ROUND(-(H949)*100,6))/100,I949)</f>
        <v/>
      </c>
    </row>
    <row r="950" ht="18" customHeight="1">
      <c r="A950" s="9" t="n"/>
      <c r="B950" s="32" t="n"/>
      <c r="C950" s="12" t="n"/>
      <c r="D950" s="12" t="n"/>
      <c r="E950" s="12" t="n"/>
      <c r="F950" s="15">
        <f>IFERROR(MATCH($A950,Accounts!$A$2:$A$11,0),"")</f>
        <v/>
      </c>
      <c r="G950" s="14">
        <f>IFERROR(IF(OR($A950="",$F950=""),"",IF(INDEX(Accounts!$P$2:$P$11,$F950)="static",INDEX(Accounts!$Q$2:$Q$11,$F950),IF(INDEX(Accounts!$P$2:$P$11,$F950)="eod_trailing",MAX(INDEX(Accounts!$Q$2:$Q$11,$F950),_xlfn.MAXIFS($C$2:$C$1001,$A$2:$A$1001,$A950,$B$2:$B$1001,"&lt;"&amp;$B950)),MAX(INDEX(Accounts!$Q$2:$Q$11,$F950),_xlfn.MAXIFS($C$2:$C$1001,$A$2:$A$1001,$A950,$B$2:$B$1001,"&lt;"&amp;$B950),_xlfn.MAXIFS($D$2:$D$1001,$A$2:$A$1001,$A950,$B$2:$B$1001,"&lt;="&amp;$B950),$C950)))),"")</f>
        <v/>
      </c>
      <c r="H950" s="15">
        <f>IFERROR(IF(G950="","",IF(INDEX(Accounts!$P$2:$P$11,$F950)="static",INDEX(Accounts!$Q$2:$Q$11,$F950)-INDEX(Accounts!$R$2:$R$11,$F950),IF(INDEX(Accounts!$S$2:$S$11,$F950)="NONE",G950-INDEX(Accounts!$R$2:$R$11,$F950),MIN(G950-INDEX(Accounts!$R$2:$R$11,$F950),INDEX(Accounts!$Q$2:$Q$11,$F950)+INDEX(Accounts!$S$2:$S$11,$F950))))),"")</f>
        <v/>
      </c>
      <c r="I950" s="16">
        <f>IF(AND($A950="",$B950="",$C950="",$D950="",$E950=""),"",IF(OR($A950="",$F950=""),"UNKNOWN_ACCOUNT",IF(OR($B950="",$C950=""),"INCOMPLETE",IFERROR(IF(OR(NOT(ISNUMBER($B950)),NOT(ISNUMBER($C950)),IF(C950="",FALSE,IF(ISNUMBER(C950),OR(C950&lt;=0,C950&gt;100000000,ROUND(C950*100,6)&lt;&gt;INT(ROUND(C950*100,6))),TRUE)),IF(D950="",FALSE,IF(ISNUMBER(D950),OR(D950&lt;=0,D950&gt;100000000,ROUND(D950*100,6)&lt;&gt;INT(ROUND(D950*100,6))),TRUE)),IF(E950="",FALSE,IF(ISNUMBER(E950),OR(E950&lt;=0,E950&gt;100000000,ROUND(E950*100,6)&lt;&gt;INT(ROUND(E950*100,6))),TRUE)),AND($D950&lt;&gt;"",$D950&lt;MAX($C950,$E950)),AND($E950&lt;&gt;"",$E950&gt;MIN($C950,IF($D950="",$C950,$D950))),COUNTIFS($A$2:$A$1001,$A950,$B$2:$B$1001,$B950)&gt;1),"INVALID",IFERROR(IF(IF(INDEX(Accounts!$T$2:$T$11,$F950),ROUND(IF($E950="",$C950,MIN($C950,$E950))-(H950),6)&lt;=0,ROUND(IF($E950="",$C950,MIN($C950,$E950))-(H950),6)&lt;0),"BREACHED","OK"),"INCOMPLETE")),"INVALID"))))</f>
        <v/>
      </c>
      <c r="J950" s="33">
        <f>IF(OR(I950="OK",I950="BREACHED"),-INT(ROUND(-(H950)*100,6))/100,I950)</f>
        <v/>
      </c>
    </row>
    <row r="951" ht="18" customHeight="1">
      <c r="A951" s="9" t="n"/>
      <c r="B951" s="32" t="n"/>
      <c r="C951" s="12" t="n"/>
      <c r="D951" s="12" t="n"/>
      <c r="E951" s="12" t="n"/>
      <c r="F951" s="15">
        <f>IFERROR(MATCH($A951,Accounts!$A$2:$A$11,0),"")</f>
        <v/>
      </c>
      <c r="G951" s="14">
        <f>IFERROR(IF(OR($A951="",$F951=""),"",IF(INDEX(Accounts!$P$2:$P$11,$F951)="static",INDEX(Accounts!$Q$2:$Q$11,$F951),IF(INDEX(Accounts!$P$2:$P$11,$F951)="eod_trailing",MAX(INDEX(Accounts!$Q$2:$Q$11,$F951),_xlfn.MAXIFS($C$2:$C$1001,$A$2:$A$1001,$A951,$B$2:$B$1001,"&lt;"&amp;$B951)),MAX(INDEX(Accounts!$Q$2:$Q$11,$F951),_xlfn.MAXIFS($C$2:$C$1001,$A$2:$A$1001,$A951,$B$2:$B$1001,"&lt;"&amp;$B951),_xlfn.MAXIFS($D$2:$D$1001,$A$2:$A$1001,$A951,$B$2:$B$1001,"&lt;="&amp;$B951),$C951)))),"")</f>
        <v/>
      </c>
      <c r="H951" s="15">
        <f>IFERROR(IF(G951="","",IF(INDEX(Accounts!$P$2:$P$11,$F951)="static",INDEX(Accounts!$Q$2:$Q$11,$F951)-INDEX(Accounts!$R$2:$R$11,$F951),IF(INDEX(Accounts!$S$2:$S$11,$F951)="NONE",G951-INDEX(Accounts!$R$2:$R$11,$F951),MIN(G951-INDEX(Accounts!$R$2:$R$11,$F951),INDEX(Accounts!$Q$2:$Q$11,$F951)+INDEX(Accounts!$S$2:$S$11,$F951))))),"")</f>
        <v/>
      </c>
      <c r="I951" s="16">
        <f>IF(AND($A951="",$B951="",$C951="",$D951="",$E951=""),"",IF(OR($A951="",$F951=""),"UNKNOWN_ACCOUNT",IF(OR($B951="",$C951=""),"INCOMPLETE",IFERROR(IF(OR(NOT(ISNUMBER($B951)),NOT(ISNUMBER($C951)),IF(C951="",FALSE,IF(ISNUMBER(C951),OR(C951&lt;=0,C951&gt;100000000,ROUND(C951*100,6)&lt;&gt;INT(ROUND(C951*100,6))),TRUE)),IF(D951="",FALSE,IF(ISNUMBER(D951),OR(D951&lt;=0,D951&gt;100000000,ROUND(D951*100,6)&lt;&gt;INT(ROUND(D951*100,6))),TRUE)),IF(E951="",FALSE,IF(ISNUMBER(E951),OR(E951&lt;=0,E951&gt;100000000,ROUND(E951*100,6)&lt;&gt;INT(ROUND(E951*100,6))),TRUE)),AND($D951&lt;&gt;"",$D951&lt;MAX($C951,$E951)),AND($E951&lt;&gt;"",$E951&gt;MIN($C951,IF($D951="",$C951,$D951))),COUNTIFS($A$2:$A$1001,$A951,$B$2:$B$1001,$B951)&gt;1),"INVALID",IFERROR(IF(IF(INDEX(Accounts!$T$2:$T$11,$F951),ROUND(IF($E951="",$C951,MIN($C951,$E951))-(H951),6)&lt;=0,ROUND(IF($E951="",$C951,MIN($C951,$E951))-(H951),6)&lt;0),"BREACHED","OK"),"INCOMPLETE")),"INVALID"))))</f>
        <v/>
      </c>
      <c r="J951" s="33">
        <f>IF(OR(I951="OK",I951="BREACHED"),-INT(ROUND(-(H951)*100,6))/100,I951)</f>
        <v/>
      </c>
    </row>
    <row r="952" ht="18" customHeight="1">
      <c r="A952" s="9" t="n"/>
      <c r="B952" s="32" t="n"/>
      <c r="C952" s="12" t="n"/>
      <c r="D952" s="12" t="n"/>
      <c r="E952" s="12" t="n"/>
      <c r="F952" s="15">
        <f>IFERROR(MATCH($A952,Accounts!$A$2:$A$11,0),"")</f>
        <v/>
      </c>
      <c r="G952" s="14">
        <f>IFERROR(IF(OR($A952="",$F952=""),"",IF(INDEX(Accounts!$P$2:$P$11,$F952)="static",INDEX(Accounts!$Q$2:$Q$11,$F952),IF(INDEX(Accounts!$P$2:$P$11,$F952)="eod_trailing",MAX(INDEX(Accounts!$Q$2:$Q$11,$F952),_xlfn.MAXIFS($C$2:$C$1001,$A$2:$A$1001,$A952,$B$2:$B$1001,"&lt;"&amp;$B952)),MAX(INDEX(Accounts!$Q$2:$Q$11,$F952),_xlfn.MAXIFS($C$2:$C$1001,$A$2:$A$1001,$A952,$B$2:$B$1001,"&lt;"&amp;$B952),_xlfn.MAXIFS($D$2:$D$1001,$A$2:$A$1001,$A952,$B$2:$B$1001,"&lt;="&amp;$B952),$C952)))),"")</f>
        <v/>
      </c>
      <c r="H952" s="15">
        <f>IFERROR(IF(G952="","",IF(INDEX(Accounts!$P$2:$P$11,$F952)="static",INDEX(Accounts!$Q$2:$Q$11,$F952)-INDEX(Accounts!$R$2:$R$11,$F952),IF(INDEX(Accounts!$S$2:$S$11,$F952)="NONE",G952-INDEX(Accounts!$R$2:$R$11,$F952),MIN(G952-INDEX(Accounts!$R$2:$R$11,$F952),INDEX(Accounts!$Q$2:$Q$11,$F952)+INDEX(Accounts!$S$2:$S$11,$F952))))),"")</f>
        <v/>
      </c>
      <c r="I952" s="16">
        <f>IF(AND($A952="",$B952="",$C952="",$D952="",$E952=""),"",IF(OR($A952="",$F952=""),"UNKNOWN_ACCOUNT",IF(OR($B952="",$C952=""),"INCOMPLETE",IFERROR(IF(OR(NOT(ISNUMBER($B952)),NOT(ISNUMBER($C952)),IF(C952="",FALSE,IF(ISNUMBER(C952),OR(C952&lt;=0,C952&gt;100000000,ROUND(C952*100,6)&lt;&gt;INT(ROUND(C952*100,6))),TRUE)),IF(D952="",FALSE,IF(ISNUMBER(D952),OR(D952&lt;=0,D952&gt;100000000,ROUND(D952*100,6)&lt;&gt;INT(ROUND(D952*100,6))),TRUE)),IF(E952="",FALSE,IF(ISNUMBER(E952),OR(E952&lt;=0,E952&gt;100000000,ROUND(E952*100,6)&lt;&gt;INT(ROUND(E952*100,6))),TRUE)),AND($D952&lt;&gt;"",$D952&lt;MAX($C952,$E952)),AND($E952&lt;&gt;"",$E952&gt;MIN($C952,IF($D952="",$C952,$D952))),COUNTIFS($A$2:$A$1001,$A952,$B$2:$B$1001,$B952)&gt;1),"INVALID",IFERROR(IF(IF(INDEX(Accounts!$T$2:$T$11,$F952),ROUND(IF($E952="",$C952,MIN($C952,$E952))-(H952),6)&lt;=0,ROUND(IF($E952="",$C952,MIN($C952,$E952))-(H952),6)&lt;0),"BREACHED","OK"),"INCOMPLETE")),"INVALID"))))</f>
        <v/>
      </c>
      <c r="J952" s="33">
        <f>IF(OR(I952="OK",I952="BREACHED"),-INT(ROUND(-(H952)*100,6))/100,I952)</f>
        <v/>
      </c>
    </row>
    <row r="953" ht="18" customHeight="1">
      <c r="A953" s="9" t="n"/>
      <c r="B953" s="32" t="n"/>
      <c r="C953" s="12" t="n"/>
      <c r="D953" s="12" t="n"/>
      <c r="E953" s="12" t="n"/>
      <c r="F953" s="15">
        <f>IFERROR(MATCH($A953,Accounts!$A$2:$A$11,0),"")</f>
        <v/>
      </c>
      <c r="G953" s="14">
        <f>IFERROR(IF(OR($A953="",$F953=""),"",IF(INDEX(Accounts!$P$2:$P$11,$F953)="static",INDEX(Accounts!$Q$2:$Q$11,$F953),IF(INDEX(Accounts!$P$2:$P$11,$F953)="eod_trailing",MAX(INDEX(Accounts!$Q$2:$Q$11,$F953),_xlfn.MAXIFS($C$2:$C$1001,$A$2:$A$1001,$A953,$B$2:$B$1001,"&lt;"&amp;$B953)),MAX(INDEX(Accounts!$Q$2:$Q$11,$F953),_xlfn.MAXIFS($C$2:$C$1001,$A$2:$A$1001,$A953,$B$2:$B$1001,"&lt;"&amp;$B953),_xlfn.MAXIFS($D$2:$D$1001,$A$2:$A$1001,$A953,$B$2:$B$1001,"&lt;="&amp;$B953),$C953)))),"")</f>
        <v/>
      </c>
      <c r="H953" s="15">
        <f>IFERROR(IF(G953="","",IF(INDEX(Accounts!$P$2:$P$11,$F953)="static",INDEX(Accounts!$Q$2:$Q$11,$F953)-INDEX(Accounts!$R$2:$R$11,$F953),IF(INDEX(Accounts!$S$2:$S$11,$F953)="NONE",G953-INDEX(Accounts!$R$2:$R$11,$F953),MIN(G953-INDEX(Accounts!$R$2:$R$11,$F953),INDEX(Accounts!$Q$2:$Q$11,$F953)+INDEX(Accounts!$S$2:$S$11,$F953))))),"")</f>
        <v/>
      </c>
      <c r="I953" s="16">
        <f>IF(AND($A953="",$B953="",$C953="",$D953="",$E953=""),"",IF(OR($A953="",$F953=""),"UNKNOWN_ACCOUNT",IF(OR($B953="",$C953=""),"INCOMPLETE",IFERROR(IF(OR(NOT(ISNUMBER($B953)),NOT(ISNUMBER($C953)),IF(C953="",FALSE,IF(ISNUMBER(C953),OR(C953&lt;=0,C953&gt;100000000,ROUND(C953*100,6)&lt;&gt;INT(ROUND(C953*100,6))),TRUE)),IF(D953="",FALSE,IF(ISNUMBER(D953),OR(D953&lt;=0,D953&gt;100000000,ROUND(D953*100,6)&lt;&gt;INT(ROUND(D953*100,6))),TRUE)),IF(E953="",FALSE,IF(ISNUMBER(E953),OR(E953&lt;=0,E953&gt;100000000,ROUND(E953*100,6)&lt;&gt;INT(ROUND(E953*100,6))),TRUE)),AND($D953&lt;&gt;"",$D953&lt;MAX($C953,$E953)),AND($E953&lt;&gt;"",$E953&gt;MIN($C953,IF($D953="",$C953,$D953))),COUNTIFS($A$2:$A$1001,$A953,$B$2:$B$1001,$B953)&gt;1),"INVALID",IFERROR(IF(IF(INDEX(Accounts!$T$2:$T$11,$F953),ROUND(IF($E953="",$C953,MIN($C953,$E953))-(H953),6)&lt;=0,ROUND(IF($E953="",$C953,MIN($C953,$E953))-(H953),6)&lt;0),"BREACHED","OK"),"INCOMPLETE")),"INVALID"))))</f>
        <v/>
      </c>
      <c r="J953" s="33">
        <f>IF(OR(I953="OK",I953="BREACHED"),-INT(ROUND(-(H953)*100,6))/100,I953)</f>
        <v/>
      </c>
    </row>
    <row r="954" ht="18" customHeight="1">
      <c r="A954" s="9" t="n"/>
      <c r="B954" s="32" t="n"/>
      <c r="C954" s="12" t="n"/>
      <c r="D954" s="12" t="n"/>
      <c r="E954" s="12" t="n"/>
      <c r="F954" s="15">
        <f>IFERROR(MATCH($A954,Accounts!$A$2:$A$11,0),"")</f>
        <v/>
      </c>
      <c r="G954" s="14">
        <f>IFERROR(IF(OR($A954="",$F954=""),"",IF(INDEX(Accounts!$P$2:$P$11,$F954)="static",INDEX(Accounts!$Q$2:$Q$11,$F954),IF(INDEX(Accounts!$P$2:$P$11,$F954)="eod_trailing",MAX(INDEX(Accounts!$Q$2:$Q$11,$F954),_xlfn.MAXIFS($C$2:$C$1001,$A$2:$A$1001,$A954,$B$2:$B$1001,"&lt;"&amp;$B954)),MAX(INDEX(Accounts!$Q$2:$Q$11,$F954),_xlfn.MAXIFS($C$2:$C$1001,$A$2:$A$1001,$A954,$B$2:$B$1001,"&lt;"&amp;$B954),_xlfn.MAXIFS($D$2:$D$1001,$A$2:$A$1001,$A954,$B$2:$B$1001,"&lt;="&amp;$B954),$C954)))),"")</f>
        <v/>
      </c>
      <c r="H954" s="15">
        <f>IFERROR(IF(G954="","",IF(INDEX(Accounts!$P$2:$P$11,$F954)="static",INDEX(Accounts!$Q$2:$Q$11,$F954)-INDEX(Accounts!$R$2:$R$11,$F954),IF(INDEX(Accounts!$S$2:$S$11,$F954)="NONE",G954-INDEX(Accounts!$R$2:$R$11,$F954),MIN(G954-INDEX(Accounts!$R$2:$R$11,$F954),INDEX(Accounts!$Q$2:$Q$11,$F954)+INDEX(Accounts!$S$2:$S$11,$F954))))),"")</f>
        <v/>
      </c>
      <c r="I954" s="16">
        <f>IF(AND($A954="",$B954="",$C954="",$D954="",$E954=""),"",IF(OR($A954="",$F954=""),"UNKNOWN_ACCOUNT",IF(OR($B954="",$C954=""),"INCOMPLETE",IFERROR(IF(OR(NOT(ISNUMBER($B954)),NOT(ISNUMBER($C954)),IF(C954="",FALSE,IF(ISNUMBER(C954),OR(C954&lt;=0,C954&gt;100000000,ROUND(C954*100,6)&lt;&gt;INT(ROUND(C954*100,6))),TRUE)),IF(D954="",FALSE,IF(ISNUMBER(D954),OR(D954&lt;=0,D954&gt;100000000,ROUND(D954*100,6)&lt;&gt;INT(ROUND(D954*100,6))),TRUE)),IF(E954="",FALSE,IF(ISNUMBER(E954),OR(E954&lt;=0,E954&gt;100000000,ROUND(E954*100,6)&lt;&gt;INT(ROUND(E954*100,6))),TRUE)),AND($D954&lt;&gt;"",$D954&lt;MAX($C954,$E954)),AND($E954&lt;&gt;"",$E954&gt;MIN($C954,IF($D954="",$C954,$D954))),COUNTIFS($A$2:$A$1001,$A954,$B$2:$B$1001,$B954)&gt;1),"INVALID",IFERROR(IF(IF(INDEX(Accounts!$T$2:$T$11,$F954),ROUND(IF($E954="",$C954,MIN($C954,$E954))-(H954),6)&lt;=0,ROUND(IF($E954="",$C954,MIN($C954,$E954))-(H954),6)&lt;0),"BREACHED","OK"),"INCOMPLETE")),"INVALID"))))</f>
        <v/>
      </c>
      <c r="J954" s="33">
        <f>IF(OR(I954="OK",I954="BREACHED"),-INT(ROUND(-(H954)*100,6))/100,I954)</f>
        <v/>
      </c>
    </row>
    <row r="955" ht="18" customHeight="1">
      <c r="A955" s="9" t="n"/>
      <c r="B955" s="32" t="n"/>
      <c r="C955" s="12" t="n"/>
      <c r="D955" s="12" t="n"/>
      <c r="E955" s="12" t="n"/>
      <c r="F955" s="15">
        <f>IFERROR(MATCH($A955,Accounts!$A$2:$A$11,0),"")</f>
        <v/>
      </c>
      <c r="G955" s="14">
        <f>IFERROR(IF(OR($A955="",$F955=""),"",IF(INDEX(Accounts!$P$2:$P$11,$F955)="static",INDEX(Accounts!$Q$2:$Q$11,$F955),IF(INDEX(Accounts!$P$2:$P$11,$F955)="eod_trailing",MAX(INDEX(Accounts!$Q$2:$Q$11,$F955),_xlfn.MAXIFS($C$2:$C$1001,$A$2:$A$1001,$A955,$B$2:$B$1001,"&lt;"&amp;$B955)),MAX(INDEX(Accounts!$Q$2:$Q$11,$F955),_xlfn.MAXIFS($C$2:$C$1001,$A$2:$A$1001,$A955,$B$2:$B$1001,"&lt;"&amp;$B955),_xlfn.MAXIFS($D$2:$D$1001,$A$2:$A$1001,$A955,$B$2:$B$1001,"&lt;="&amp;$B955),$C955)))),"")</f>
        <v/>
      </c>
      <c r="H955" s="15">
        <f>IFERROR(IF(G955="","",IF(INDEX(Accounts!$P$2:$P$11,$F955)="static",INDEX(Accounts!$Q$2:$Q$11,$F955)-INDEX(Accounts!$R$2:$R$11,$F955),IF(INDEX(Accounts!$S$2:$S$11,$F955)="NONE",G955-INDEX(Accounts!$R$2:$R$11,$F955),MIN(G955-INDEX(Accounts!$R$2:$R$11,$F955),INDEX(Accounts!$Q$2:$Q$11,$F955)+INDEX(Accounts!$S$2:$S$11,$F955))))),"")</f>
        <v/>
      </c>
      <c r="I955" s="16">
        <f>IF(AND($A955="",$B955="",$C955="",$D955="",$E955=""),"",IF(OR($A955="",$F955=""),"UNKNOWN_ACCOUNT",IF(OR($B955="",$C955=""),"INCOMPLETE",IFERROR(IF(OR(NOT(ISNUMBER($B955)),NOT(ISNUMBER($C955)),IF(C955="",FALSE,IF(ISNUMBER(C955),OR(C955&lt;=0,C955&gt;100000000,ROUND(C955*100,6)&lt;&gt;INT(ROUND(C955*100,6))),TRUE)),IF(D955="",FALSE,IF(ISNUMBER(D955),OR(D955&lt;=0,D955&gt;100000000,ROUND(D955*100,6)&lt;&gt;INT(ROUND(D955*100,6))),TRUE)),IF(E955="",FALSE,IF(ISNUMBER(E955),OR(E955&lt;=0,E955&gt;100000000,ROUND(E955*100,6)&lt;&gt;INT(ROUND(E955*100,6))),TRUE)),AND($D955&lt;&gt;"",$D955&lt;MAX($C955,$E955)),AND($E955&lt;&gt;"",$E955&gt;MIN($C955,IF($D955="",$C955,$D955))),COUNTIFS($A$2:$A$1001,$A955,$B$2:$B$1001,$B955)&gt;1),"INVALID",IFERROR(IF(IF(INDEX(Accounts!$T$2:$T$11,$F955),ROUND(IF($E955="",$C955,MIN($C955,$E955))-(H955),6)&lt;=0,ROUND(IF($E955="",$C955,MIN($C955,$E955))-(H955),6)&lt;0),"BREACHED","OK"),"INCOMPLETE")),"INVALID"))))</f>
        <v/>
      </c>
      <c r="J955" s="33">
        <f>IF(OR(I955="OK",I955="BREACHED"),-INT(ROUND(-(H955)*100,6))/100,I955)</f>
        <v/>
      </c>
    </row>
    <row r="956" ht="18" customHeight="1">
      <c r="A956" s="9" t="n"/>
      <c r="B956" s="32" t="n"/>
      <c r="C956" s="12" t="n"/>
      <c r="D956" s="12" t="n"/>
      <c r="E956" s="12" t="n"/>
      <c r="F956" s="15">
        <f>IFERROR(MATCH($A956,Accounts!$A$2:$A$11,0),"")</f>
        <v/>
      </c>
      <c r="G956" s="14">
        <f>IFERROR(IF(OR($A956="",$F956=""),"",IF(INDEX(Accounts!$P$2:$P$11,$F956)="static",INDEX(Accounts!$Q$2:$Q$11,$F956),IF(INDEX(Accounts!$P$2:$P$11,$F956)="eod_trailing",MAX(INDEX(Accounts!$Q$2:$Q$11,$F956),_xlfn.MAXIFS($C$2:$C$1001,$A$2:$A$1001,$A956,$B$2:$B$1001,"&lt;"&amp;$B956)),MAX(INDEX(Accounts!$Q$2:$Q$11,$F956),_xlfn.MAXIFS($C$2:$C$1001,$A$2:$A$1001,$A956,$B$2:$B$1001,"&lt;"&amp;$B956),_xlfn.MAXIFS($D$2:$D$1001,$A$2:$A$1001,$A956,$B$2:$B$1001,"&lt;="&amp;$B956),$C956)))),"")</f>
        <v/>
      </c>
      <c r="H956" s="15">
        <f>IFERROR(IF(G956="","",IF(INDEX(Accounts!$P$2:$P$11,$F956)="static",INDEX(Accounts!$Q$2:$Q$11,$F956)-INDEX(Accounts!$R$2:$R$11,$F956),IF(INDEX(Accounts!$S$2:$S$11,$F956)="NONE",G956-INDEX(Accounts!$R$2:$R$11,$F956),MIN(G956-INDEX(Accounts!$R$2:$R$11,$F956),INDEX(Accounts!$Q$2:$Q$11,$F956)+INDEX(Accounts!$S$2:$S$11,$F956))))),"")</f>
        <v/>
      </c>
      <c r="I956" s="16">
        <f>IF(AND($A956="",$B956="",$C956="",$D956="",$E956=""),"",IF(OR($A956="",$F956=""),"UNKNOWN_ACCOUNT",IF(OR($B956="",$C956=""),"INCOMPLETE",IFERROR(IF(OR(NOT(ISNUMBER($B956)),NOT(ISNUMBER($C956)),IF(C956="",FALSE,IF(ISNUMBER(C956),OR(C956&lt;=0,C956&gt;100000000,ROUND(C956*100,6)&lt;&gt;INT(ROUND(C956*100,6))),TRUE)),IF(D956="",FALSE,IF(ISNUMBER(D956),OR(D956&lt;=0,D956&gt;100000000,ROUND(D956*100,6)&lt;&gt;INT(ROUND(D956*100,6))),TRUE)),IF(E956="",FALSE,IF(ISNUMBER(E956),OR(E956&lt;=0,E956&gt;100000000,ROUND(E956*100,6)&lt;&gt;INT(ROUND(E956*100,6))),TRUE)),AND($D956&lt;&gt;"",$D956&lt;MAX($C956,$E956)),AND($E956&lt;&gt;"",$E956&gt;MIN($C956,IF($D956="",$C956,$D956))),COUNTIFS($A$2:$A$1001,$A956,$B$2:$B$1001,$B956)&gt;1),"INVALID",IFERROR(IF(IF(INDEX(Accounts!$T$2:$T$11,$F956),ROUND(IF($E956="",$C956,MIN($C956,$E956))-(H956),6)&lt;=0,ROUND(IF($E956="",$C956,MIN($C956,$E956))-(H956),6)&lt;0),"BREACHED","OK"),"INCOMPLETE")),"INVALID"))))</f>
        <v/>
      </c>
      <c r="J956" s="33">
        <f>IF(OR(I956="OK",I956="BREACHED"),-INT(ROUND(-(H956)*100,6))/100,I956)</f>
        <v/>
      </c>
    </row>
    <row r="957" ht="18" customHeight="1">
      <c r="A957" s="9" t="n"/>
      <c r="B957" s="32" t="n"/>
      <c r="C957" s="12" t="n"/>
      <c r="D957" s="12" t="n"/>
      <c r="E957" s="12" t="n"/>
      <c r="F957" s="15">
        <f>IFERROR(MATCH($A957,Accounts!$A$2:$A$11,0),"")</f>
        <v/>
      </c>
      <c r="G957" s="14">
        <f>IFERROR(IF(OR($A957="",$F957=""),"",IF(INDEX(Accounts!$P$2:$P$11,$F957)="static",INDEX(Accounts!$Q$2:$Q$11,$F957),IF(INDEX(Accounts!$P$2:$P$11,$F957)="eod_trailing",MAX(INDEX(Accounts!$Q$2:$Q$11,$F957),_xlfn.MAXIFS($C$2:$C$1001,$A$2:$A$1001,$A957,$B$2:$B$1001,"&lt;"&amp;$B957)),MAX(INDEX(Accounts!$Q$2:$Q$11,$F957),_xlfn.MAXIFS($C$2:$C$1001,$A$2:$A$1001,$A957,$B$2:$B$1001,"&lt;"&amp;$B957),_xlfn.MAXIFS($D$2:$D$1001,$A$2:$A$1001,$A957,$B$2:$B$1001,"&lt;="&amp;$B957),$C957)))),"")</f>
        <v/>
      </c>
      <c r="H957" s="15">
        <f>IFERROR(IF(G957="","",IF(INDEX(Accounts!$P$2:$P$11,$F957)="static",INDEX(Accounts!$Q$2:$Q$11,$F957)-INDEX(Accounts!$R$2:$R$11,$F957),IF(INDEX(Accounts!$S$2:$S$11,$F957)="NONE",G957-INDEX(Accounts!$R$2:$R$11,$F957),MIN(G957-INDEX(Accounts!$R$2:$R$11,$F957),INDEX(Accounts!$Q$2:$Q$11,$F957)+INDEX(Accounts!$S$2:$S$11,$F957))))),"")</f>
        <v/>
      </c>
      <c r="I957" s="16">
        <f>IF(AND($A957="",$B957="",$C957="",$D957="",$E957=""),"",IF(OR($A957="",$F957=""),"UNKNOWN_ACCOUNT",IF(OR($B957="",$C957=""),"INCOMPLETE",IFERROR(IF(OR(NOT(ISNUMBER($B957)),NOT(ISNUMBER($C957)),IF(C957="",FALSE,IF(ISNUMBER(C957),OR(C957&lt;=0,C957&gt;100000000,ROUND(C957*100,6)&lt;&gt;INT(ROUND(C957*100,6))),TRUE)),IF(D957="",FALSE,IF(ISNUMBER(D957),OR(D957&lt;=0,D957&gt;100000000,ROUND(D957*100,6)&lt;&gt;INT(ROUND(D957*100,6))),TRUE)),IF(E957="",FALSE,IF(ISNUMBER(E957),OR(E957&lt;=0,E957&gt;100000000,ROUND(E957*100,6)&lt;&gt;INT(ROUND(E957*100,6))),TRUE)),AND($D957&lt;&gt;"",$D957&lt;MAX($C957,$E957)),AND($E957&lt;&gt;"",$E957&gt;MIN($C957,IF($D957="",$C957,$D957))),COUNTIFS($A$2:$A$1001,$A957,$B$2:$B$1001,$B957)&gt;1),"INVALID",IFERROR(IF(IF(INDEX(Accounts!$T$2:$T$11,$F957),ROUND(IF($E957="",$C957,MIN($C957,$E957))-(H957),6)&lt;=0,ROUND(IF($E957="",$C957,MIN($C957,$E957))-(H957),6)&lt;0),"BREACHED","OK"),"INCOMPLETE")),"INVALID"))))</f>
        <v/>
      </c>
      <c r="J957" s="33">
        <f>IF(OR(I957="OK",I957="BREACHED"),-INT(ROUND(-(H957)*100,6))/100,I957)</f>
        <v/>
      </c>
    </row>
    <row r="958" ht="18" customHeight="1">
      <c r="A958" s="9" t="n"/>
      <c r="B958" s="32" t="n"/>
      <c r="C958" s="12" t="n"/>
      <c r="D958" s="12" t="n"/>
      <c r="E958" s="12" t="n"/>
      <c r="F958" s="15">
        <f>IFERROR(MATCH($A958,Accounts!$A$2:$A$11,0),"")</f>
        <v/>
      </c>
      <c r="G958" s="14">
        <f>IFERROR(IF(OR($A958="",$F958=""),"",IF(INDEX(Accounts!$P$2:$P$11,$F958)="static",INDEX(Accounts!$Q$2:$Q$11,$F958),IF(INDEX(Accounts!$P$2:$P$11,$F958)="eod_trailing",MAX(INDEX(Accounts!$Q$2:$Q$11,$F958),_xlfn.MAXIFS($C$2:$C$1001,$A$2:$A$1001,$A958,$B$2:$B$1001,"&lt;"&amp;$B958)),MAX(INDEX(Accounts!$Q$2:$Q$11,$F958),_xlfn.MAXIFS($C$2:$C$1001,$A$2:$A$1001,$A958,$B$2:$B$1001,"&lt;"&amp;$B958),_xlfn.MAXIFS($D$2:$D$1001,$A$2:$A$1001,$A958,$B$2:$B$1001,"&lt;="&amp;$B958),$C958)))),"")</f>
        <v/>
      </c>
      <c r="H958" s="15">
        <f>IFERROR(IF(G958="","",IF(INDEX(Accounts!$P$2:$P$11,$F958)="static",INDEX(Accounts!$Q$2:$Q$11,$F958)-INDEX(Accounts!$R$2:$R$11,$F958),IF(INDEX(Accounts!$S$2:$S$11,$F958)="NONE",G958-INDEX(Accounts!$R$2:$R$11,$F958),MIN(G958-INDEX(Accounts!$R$2:$R$11,$F958),INDEX(Accounts!$Q$2:$Q$11,$F958)+INDEX(Accounts!$S$2:$S$11,$F958))))),"")</f>
        <v/>
      </c>
      <c r="I958" s="16">
        <f>IF(AND($A958="",$B958="",$C958="",$D958="",$E958=""),"",IF(OR($A958="",$F958=""),"UNKNOWN_ACCOUNT",IF(OR($B958="",$C958=""),"INCOMPLETE",IFERROR(IF(OR(NOT(ISNUMBER($B958)),NOT(ISNUMBER($C958)),IF(C958="",FALSE,IF(ISNUMBER(C958),OR(C958&lt;=0,C958&gt;100000000,ROUND(C958*100,6)&lt;&gt;INT(ROUND(C958*100,6))),TRUE)),IF(D958="",FALSE,IF(ISNUMBER(D958),OR(D958&lt;=0,D958&gt;100000000,ROUND(D958*100,6)&lt;&gt;INT(ROUND(D958*100,6))),TRUE)),IF(E958="",FALSE,IF(ISNUMBER(E958),OR(E958&lt;=0,E958&gt;100000000,ROUND(E958*100,6)&lt;&gt;INT(ROUND(E958*100,6))),TRUE)),AND($D958&lt;&gt;"",$D958&lt;MAX($C958,$E958)),AND($E958&lt;&gt;"",$E958&gt;MIN($C958,IF($D958="",$C958,$D958))),COUNTIFS($A$2:$A$1001,$A958,$B$2:$B$1001,$B958)&gt;1),"INVALID",IFERROR(IF(IF(INDEX(Accounts!$T$2:$T$11,$F958),ROUND(IF($E958="",$C958,MIN($C958,$E958))-(H958),6)&lt;=0,ROUND(IF($E958="",$C958,MIN($C958,$E958))-(H958),6)&lt;0),"BREACHED","OK"),"INCOMPLETE")),"INVALID"))))</f>
        <v/>
      </c>
      <c r="J958" s="33">
        <f>IF(OR(I958="OK",I958="BREACHED"),-INT(ROUND(-(H958)*100,6))/100,I958)</f>
        <v/>
      </c>
    </row>
    <row r="959" ht="18" customHeight="1">
      <c r="A959" s="9" t="n"/>
      <c r="B959" s="32" t="n"/>
      <c r="C959" s="12" t="n"/>
      <c r="D959" s="12" t="n"/>
      <c r="E959" s="12" t="n"/>
      <c r="F959" s="15">
        <f>IFERROR(MATCH($A959,Accounts!$A$2:$A$11,0),"")</f>
        <v/>
      </c>
      <c r="G959" s="14">
        <f>IFERROR(IF(OR($A959="",$F959=""),"",IF(INDEX(Accounts!$P$2:$P$11,$F959)="static",INDEX(Accounts!$Q$2:$Q$11,$F959),IF(INDEX(Accounts!$P$2:$P$11,$F959)="eod_trailing",MAX(INDEX(Accounts!$Q$2:$Q$11,$F959),_xlfn.MAXIFS($C$2:$C$1001,$A$2:$A$1001,$A959,$B$2:$B$1001,"&lt;"&amp;$B959)),MAX(INDEX(Accounts!$Q$2:$Q$11,$F959),_xlfn.MAXIFS($C$2:$C$1001,$A$2:$A$1001,$A959,$B$2:$B$1001,"&lt;"&amp;$B959),_xlfn.MAXIFS($D$2:$D$1001,$A$2:$A$1001,$A959,$B$2:$B$1001,"&lt;="&amp;$B959),$C959)))),"")</f>
        <v/>
      </c>
      <c r="H959" s="15">
        <f>IFERROR(IF(G959="","",IF(INDEX(Accounts!$P$2:$P$11,$F959)="static",INDEX(Accounts!$Q$2:$Q$11,$F959)-INDEX(Accounts!$R$2:$R$11,$F959),IF(INDEX(Accounts!$S$2:$S$11,$F959)="NONE",G959-INDEX(Accounts!$R$2:$R$11,$F959),MIN(G959-INDEX(Accounts!$R$2:$R$11,$F959),INDEX(Accounts!$Q$2:$Q$11,$F959)+INDEX(Accounts!$S$2:$S$11,$F959))))),"")</f>
        <v/>
      </c>
      <c r="I959" s="16">
        <f>IF(AND($A959="",$B959="",$C959="",$D959="",$E959=""),"",IF(OR($A959="",$F959=""),"UNKNOWN_ACCOUNT",IF(OR($B959="",$C959=""),"INCOMPLETE",IFERROR(IF(OR(NOT(ISNUMBER($B959)),NOT(ISNUMBER($C959)),IF(C959="",FALSE,IF(ISNUMBER(C959),OR(C959&lt;=0,C959&gt;100000000,ROUND(C959*100,6)&lt;&gt;INT(ROUND(C959*100,6))),TRUE)),IF(D959="",FALSE,IF(ISNUMBER(D959),OR(D959&lt;=0,D959&gt;100000000,ROUND(D959*100,6)&lt;&gt;INT(ROUND(D959*100,6))),TRUE)),IF(E959="",FALSE,IF(ISNUMBER(E959),OR(E959&lt;=0,E959&gt;100000000,ROUND(E959*100,6)&lt;&gt;INT(ROUND(E959*100,6))),TRUE)),AND($D959&lt;&gt;"",$D959&lt;MAX($C959,$E959)),AND($E959&lt;&gt;"",$E959&gt;MIN($C959,IF($D959="",$C959,$D959))),COUNTIFS($A$2:$A$1001,$A959,$B$2:$B$1001,$B959)&gt;1),"INVALID",IFERROR(IF(IF(INDEX(Accounts!$T$2:$T$11,$F959),ROUND(IF($E959="",$C959,MIN($C959,$E959))-(H959),6)&lt;=0,ROUND(IF($E959="",$C959,MIN($C959,$E959))-(H959),6)&lt;0),"BREACHED","OK"),"INCOMPLETE")),"INVALID"))))</f>
        <v/>
      </c>
      <c r="J959" s="33">
        <f>IF(OR(I959="OK",I959="BREACHED"),-INT(ROUND(-(H959)*100,6))/100,I959)</f>
        <v/>
      </c>
    </row>
    <row r="960" ht="18" customHeight="1">
      <c r="A960" s="9" t="n"/>
      <c r="B960" s="32" t="n"/>
      <c r="C960" s="12" t="n"/>
      <c r="D960" s="12" t="n"/>
      <c r="E960" s="12" t="n"/>
      <c r="F960" s="15">
        <f>IFERROR(MATCH($A960,Accounts!$A$2:$A$11,0),"")</f>
        <v/>
      </c>
      <c r="G960" s="14">
        <f>IFERROR(IF(OR($A960="",$F960=""),"",IF(INDEX(Accounts!$P$2:$P$11,$F960)="static",INDEX(Accounts!$Q$2:$Q$11,$F960),IF(INDEX(Accounts!$P$2:$P$11,$F960)="eod_trailing",MAX(INDEX(Accounts!$Q$2:$Q$11,$F960),_xlfn.MAXIFS($C$2:$C$1001,$A$2:$A$1001,$A960,$B$2:$B$1001,"&lt;"&amp;$B960)),MAX(INDEX(Accounts!$Q$2:$Q$11,$F960),_xlfn.MAXIFS($C$2:$C$1001,$A$2:$A$1001,$A960,$B$2:$B$1001,"&lt;"&amp;$B960),_xlfn.MAXIFS($D$2:$D$1001,$A$2:$A$1001,$A960,$B$2:$B$1001,"&lt;="&amp;$B960),$C960)))),"")</f>
        <v/>
      </c>
      <c r="H960" s="15">
        <f>IFERROR(IF(G960="","",IF(INDEX(Accounts!$P$2:$P$11,$F960)="static",INDEX(Accounts!$Q$2:$Q$11,$F960)-INDEX(Accounts!$R$2:$R$11,$F960),IF(INDEX(Accounts!$S$2:$S$11,$F960)="NONE",G960-INDEX(Accounts!$R$2:$R$11,$F960),MIN(G960-INDEX(Accounts!$R$2:$R$11,$F960),INDEX(Accounts!$Q$2:$Q$11,$F960)+INDEX(Accounts!$S$2:$S$11,$F960))))),"")</f>
        <v/>
      </c>
      <c r="I960" s="16">
        <f>IF(AND($A960="",$B960="",$C960="",$D960="",$E960=""),"",IF(OR($A960="",$F960=""),"UNKNOWN_ACCOUNT",IF(OR($B960="",$C960=""),"INCOMPLETE",IFERROR(IF(OR(NOT(ISNUMBER($B960)),NOT(ISNUMBER($C960)),IF(C960="",FALSE,IF(ISNUMBER(C960),OR(C960&lt;=0,C960&gt;100000000,ROUND(C960*100,6)&lt;&gt;INT(ROUND(C960*100,6))),TRUE)),IF(D960="",FALSE,IF(ISNUMBER(D960),OR(D960&lt;=0,D960&gt;100000000,ROUND(D960*100,6)&lt;&gt;INT(ROUND(D960*100,6))),TRUE)),IF(E960="",FALSE,IF(ISNUMBER(E960),OR(E960&lt;=0,E960&gt;100000000,ROUND(E960*100,6)&lt;&gt;INT(ROUND(E960*100,6))),TRUE)),AND($D960&lt;&gt;"",$D960&lt;MAX($C960,$E960)),AND($E960&lt;&gt;"",$E960&gt;MIN($C960,IF($D960="",$C960,$D960))),COUNTIFS($A$2:$A$1001,$A960,$B$2:$B$1001,$B960)&gt;1),"INVALID",IFERROR(IF(IF(INDEX(Accounts!$T$2:$T$11,$F960),ROUND(IF($E960="",$C960,MIN($C960,$E960))-(H960),6)&lt;=0,ROUND(IF($E960="",$C960,MIN($C960,$E960))-(H960),6)&lt;0),"BREACHED","OK"),"INCOMPLETE")),"INVALID"))))</f>
        <v/>
      </c>
      <c r="J960" s="33">
        <f>IF(OR(I960="OK",I960="BREACHED"),-INT(ROUND(-(H960)*100,6))/100,I960)</f>
        <v/>
      </c>
    </row>
    <row r="961" ht="18" customHeight="1">
      <c r="A961" s="9" t="n"/>
      <c r="B961" s="32" t="n"/>
      <c r="C961" s="12" t="n"/>
      <c r="D961" s="12" t="n"/>
      <c r="E961" s="12" t="n"/>
      <c r="F961" s="15">
        <f>IFERROR(MATCH($A961,Accounts!$A$2:$A$11,0),"")</f>
        <v/>
      </c>
      <c r="G961" s="14">
        <f>IFERROR(IF(OR($A961="",$F961=""),"",IF(INDEX(Accounts!$P$2:$P$11,$F961)="static",INDEX(Accounts!$Q$2:$Q$11,$F961),IF(INDEX(Accounts!$P$2:$P$11,$F961)="eod_trailing",MAX(INDEX(Accounts!$Q$2:$Q$11,$F961),_xlfn.MAXIFS($C$2:$C$1001,$A$2:$A$1001,$A961,$B$2:$B$1001,"&lt;"&amp;$B961)),MAX(INDEX(Accounts!$Q$2:$Q$11,$F961),_xlfn.MAXIFS($C$2:$C$1001,$A$2:$A$1001,$A961,$B$2:$B$1001,"&lt;"&amp;$B961),_xlfn.MAXIFS($D$2:$D$1001,$A$2:$A$1001,$A961,$B$2:$B$1001,"&lt;="&amp;$B961),$C961)))),"")</f>
        <v/>
      </c>
      <c r="H961" s="15">
        <f>IFERROR(IF(G961="","",IF(INDEX(Accounts!$P$2:$P$11,$F961)="static",INDEX(Accounts!$Q$2:$Q$11,$F961)-INDEX(Accounts!$R$2:$R$11,$F961),IF(INDEX(Accounts!$S$2:$S$11,$F961)="NONE",G961-INDEX(Accounts!$R$2:$R$11,$F961),MIN(G961-INDEX(Accounts!$R$2:$R$11,$F961),INDEX(Accounts!$Q$2:$Q$11,$F961)+INDEX(Accounts!$S$2:$S$11,$F961))))),"")</f>
        <v/>
      </c>
      <c r="I961" s="16">
        <f>IF(AND($A961="",$B961="",$C961="",$D961="",$E961=""),"",IF(OR($A961="",$F961=""),"UNKNOWN_ACCOUNT",IF(OR($B961="",$C961=""),"INCOMPLETE",IFERROR(IF(OR(NOT(ISNUMBER($B961)),NOT(ISNUMBER($C961)),IF(C961="",FALSE,IF(ISNUMBER(C961),OR(C961&lt;=0,C961&gt;100000000,ROUND(C961*100,6)&lt;&gt;INT(ROUND(C961*100,6))),TRUE)),IF(D961="",FALSE,IF(ISNUMBER(D961),OR(D961&lt;=0,D961&gt;100000000,ROUND(D961*100,6)&lt;&gt;INT(ROUND(D961*100,6))),TRUE)),IF(E961="",FALSE,IF(ISNUMBER(E961),OR(E961&lt;=0,E961&gt;100000000,ROUND(E961*100,6)&lt;&gt;INT(ROUND(E961*100,6))),TRUE)),AND($D961&lt;&gt;"",$D961&lt;MAX($C961,$E961)),AND($E961&lt;&gt;"",$E961&gt;MIN($C961,IF($D961="",$C961,$D961))),COUNTIFS($A$2:$A$1001,$A961,$B$2:$B$1001,$B961)&gt;1),"INVALID",IFERROR(IF(IF(INDEX(Accounts!$T$2:$T$11,$F961),ROUND(IF($E961="",$C961,MIN($C961,$E961))-(H961),6)&lt;=0,ROUND(IF($E961="",$C961,MIN($C961,$E961))-(H961),6)&lt;0),"BREACHED","OK"),"INCOMPLETE")),"INVALID"))))</f>
        <v/>
      </c>
      <c r="J961" s="33">
        <f>IF(OR(I961="OK",I961="BREACHED"),-INT(ROUND(-(H961)*100,6))/100,I961)</f>
        <v/>
      </c>
    </row>
    <row r="962" ht="18" customHeight="1">
      <c r="A962" s="9" t="n"/>
      <c r="B962" s="32" t="n"/>
      <c r="C962" s="12" t="n"/>
      <c r="D962" s="12" t="n"/>
      <c r="E962" s="12" t="n"/>
      <c r="F962" s="15">
        <f>IFERROR(MATCH($A962,Accounts!$A$2:$A$11,0),"")</f>
        <v/>
      </c>
      <c r="G962" s="14">
        <f>IFERROR(IF(OR($A962="",$F962=""),"",IF(INDEX(Accounts!$P$2:$P$11,$F962)="static",INDEX(Accounts!$Q$2:$Q$11,$F962),IF(INDEX(Accounts!$P$2:$P$11,$F962)="eod_trailing",MAX(INDEX(Accounts!$Q$2:$Q$11,$F962),_xlfn.MAXIFS($C$2:$C$1001,$A$2:$A$1001,$A962,$B$2:$B$1001,"&lt;"&amp;$B962)),MAX(INDEX(Accounts!$Q$2:$Q$11,$F962),_xlfn.MAXIFS($C$2:$C$1001,$A$2:$A$1001,$A962,$B$2:$B$1001,"&lt;"&amp;$B962),_xlfn.MAXIFS($D$2:$D$1001,$A$2:$A$1001,$A962,$B$2:$B$1001,"&lt;="&amp;$B962),$C962)))),"")</f>
        <v/>
      </c>
      <c r="H962" s="15">
        <f>IFERROR(IF(G962="","",IF(INDEX(Accounts!$P$2:$P$11,$F962)="static",INDEX(Accounts!$Q$2:$Q$11,$F962)-INDEX(Accounts!$R$2:$R$11,$F962),IF(INDEX(Accounts!$S$2:$S$11,$F962)="NONE",G962-INDEX(Accounts!$R$2:$R$11,$F962),MIN(G962-INDEX(Accounts!$R$2:$R$11,$F962),INDEX(Accounts!$Q$2:$Q$11,$F962)+INDEX(Accounts!$S$2:$S$11,$F962))))),"")</f>
        <v/>
      </c>
      <c r="I962" s="16">
        <f>IF(AND($A962="",$B962="",$C962="",$D962="",$E962=""),"",IF(OR($A962="",$F962=""),"UNKNOWN_ACCOUNT",IF(OR($B962="",$C962=""),"INCOMPLETE",IFERROR(IF(OR(NOT(ISNUMBER($B962)),NOT(ISNUMBER($C962)),IF(C962="",FALSE,IF(ISNUMBER(C962),OR(C962&lt;=0,C962&gt;100000000,ROUND(C962*100,6)&lt;&gt;INT(ROUND(C962*100,6))),TRUE)),IF(D962="",FALSE,IF(ISNUMBER(D962),OR(D962&lt;=0,D962&gt;100000000,ROUND(D962*100,6)&lt;&gt;INT(ROUND(D962*100,6))),TRUE)),IF(E962="",FALSE,IF(ISNUMBER(E962),OR(E962&lt;=0,E962&gt;100000000,ROUND(E962*100,6)&lt;&gt;INT(ROUND(E962*100,6))),TRUE)),AND($D962&lt;&gt;"",$D962&lt;MAX($C962,$E962)),AND($E962&lt;&gt;"",$E962&gt;MIN($C962,IF($D962="",$C962,$D962))),COUNTIFS($A$2:$A$1001,$A962,$B$2:$B$1001,$B962)&gt;1),"INVALID",IFERROR(IF(IF(INDEX(Accounts!$T$2:$T$11,$F962),ROUND(IF($E962="",$C962,MIN($C962,$E962))-(H962),6)&lt;=0,ROUND(IF($E962="",$C962,MIN($C962,$E962))-(H962),6)&lt;0),"BREACHED","OK"),"INCOMPLETE")),"INVALID"))))</f>
        <v/>
      </c>
      <c r="J962" s="33">
        <f>IF(OR(I962="OK",I962="BREACHED"),-INT(ROUND(-(H962)*100,6))/100,I962)</f>
        <v/>
      </c>
    </row>
    <row r="963" ht="18" customHeight="1">
      <c r="A963" s="9" t="n"/>
      <c r="B963" s="32" t="n"/>
      <c r="C963" s="12" t="n"/>
      <c r="D963" s="12" t="n"/>
      <c r="E963" s="12" t="n"/>
      <c r="F963" s="15">
        <f>IFERROR(MATCH($A963,Accounts!$A$2:$A$11,0),"")</f>
        <v/>
      </c>
      <c r="G963" s="14">
        <f>IFERROR(IF(OR($A963="",$F963=""),"",IF(INDEX(Accounts!$P$2:$P$11,$F963)="static",INDEX(Accounts!$Q$2:$Q$11,$F963),IF(INDEX(Accounts!$P$2:$P$11,$F963)="eod_trailing",MAX(INDEX(Accounts!$Q$2:$Q$11,$F963),_xlfn.MAXIFS($C$2:$C$1001,$A$2:$A$1001,$A963,$B$2:$B$1001,"&lt;"&amp;$B963)),MAX(INDEX(Accounts!$Q$2:$Q$11,$F963),_xlfn.MAXIFS($C$2:$C$1001,$A$2:$A$1001,$A963,$B$2:$B$1001,"&lt;"&amp;$B963),_xlfn.MAXIFS($D$2:$D$1001,$A$2:$A$1001,$A963,$B$2:$B$1001,"&lt;="&amp;$B963),$C963)))),"")</f>
        <v/>
      </c>
      <c r="H963" s="15">
        <f>IFERROR(IF(G963="","",IF(INDEX(Accounts!$P$2:$P$11,$F963)="static",INDEX(Accounts!$Q$2:$Q$11,$F963)-INDEX(Accounts!$R$2:$R$11,$F963),IF(INDEX(Accounts!$S$2:$S$11,$F963)="NONE",G963-INDEX(Accounts!$R$2:$R$11,$F963),MIN(G963-INDEX(Accounts!$R$2:$R$11,$F963),INDEX(Accounts!$Q$2:$Q$11,$F963)+INDEX(Accounts!$S$2:$S$11,$F963))))),"")</f>
        <v/>
      </c>
      <c r="I963" s="16">
        <f>IF(AND($A963="",$B963="",$C963="",$D963="",$E963=""),"",IF(OR($A963="",$F963=""),"UNKNOWN_ACCOUNT",IF(OR($B963="",$C963=""),"INCOMPLETE",IFERROR(IF(OR(NOT(ISNUMBER($B963)),NOT(ISNUMBER($C963)),IF(C963="",FALSE,IF(ISNUMBER(C963),OR(C963&lt;=0,C963&gt;100000000,ROUND(C963*100,6)&lt;&gt;INT(ROUND(C963*100,6))),TRUE)),IF(D963="",FALSE,IF(ISNUMBER(D963),OR(D963&lt;=0,D963&gt;100000000,ROUND(D963*100,6)&lt;&gt;INT(ROUND(D963*100,6))),TRUE)),IF(E963="",FALSE,IF(ISNUMBER(E963),OR(E963&lt;=0,E963&gt;100000000,ROUND(E963*100,6)&lt;&gt;INT(ROUND(E963*100,6))),TRUE)),AND($D963&lt;&gt;"",$D963&lt;MAX($C963,$E963)),AND($E963&lt;&gt;"",$E963&gt;MIN($C963,IF($D963="",$C963,$D963))),COUNTIFS($A$2:$A$1001,$A963,$B$2:$B$1001,$B963)&gt;1),"INVALID",IFERROR(IF(IF(INDEX(Accounts!$T$2:$T$11,$F963),ROUND(IF($E963="",$C963,MIN($C963,$E963))-(H963),6)&lt;=0,ROUND(IF($E963="",$C963,MIN($C963,$E963))-(H963),6)&lt;0),"BREACHED","OK"),"INCOMPLETE")),"INVALID"))))</f>
        <v/>
      </c>
      <c r="J963" s="33">
        <f>IF(OR(I963="OK",I963="BREACHED"),-INT(ROUND(-(H963)*100,6))/100,I963)</f>
        <v/>
      </c>
    </row>
    <row r="964" ht="18" customHeight="1">
      <c r="A964" s="9" t="n"/>
      <c r="B964" s="32" t="n"/>
      <c r="C964" s="12" t="n"/>
      <c r="D964" s="12" t="n"/>
      <c r="E964" s="12" t="n"/>
      <c r="F964" s="15">
        <f>IFERROR(MATCH($A964,Accounts!$A$2:$A$11,0),"")</f>
        <v/>
      </c>
      <c r="G964" s="14">
        <f>IFERROR(IF(OR($A964="",$F964=""),"",IF(INDEX(Accounts!$P$2:$P$11,$F964)="static",INDEX(Accounts!$Q$2:$Q$11,$F964),IF(INDEX(Accounts!$P$2:$P$11,$F964)="eod_trailing",MAX(INDEX(Accounts!$Q$2:$Q$11,$F964),_xlfn.MAXIFS($C$2:$C$1001,$A$2:$A$1001,$A964,$B$2:$B$1001,"&lt;"&amp;$B964)),MAX(INDEX(Accounts!$Q$2:$Q$11,$F964),_xlfn.MAXIFS($C$2:$C$1001,$A$2:$A$1001,$A964,$B$2:$B$1001,"&lt;"&amp;$B964),_xlfn.MAXIFS($D$2:$D$1001,$A$2:$A$1001,$A964,$B$2:$B$1001,"&lt;="&amp;$B964),$C964)))),"")</f>
        <v/>
      </c>
      <c r="H964" s="15">
        <f>IFERROR(IF(G964="","",IF(INDEX(Accounts!$P$2:$P$11,$F964)="static",INDEX(Accounts!$Q$2:$Q$11,$F964)-INDEX(Accounts!$R$2:$R$11,$F964),IF(INDEX(Accounts!$S$2:$S$11,$F964)="NONE",G964-INDEX(Accounts!$R$2:$R$11,$F964),MIN(G964-INDEX(Accounts!$R$2:$R$11,$F964),INDEX(Accounts!$Q$2:$Q$11,$F964)+INDEX(Accounts!$S$2:$S$11,$F964))))),"")</f>
        <v/>
      </c>
      <c r="I964" s="16">
        <f>IF(AND($A964="",$B964="",$C964="",$D964="",$E964=""),"",IF(OR($A964="",$F964=""),"UNKNOWN_ACCOUNT",IF(OR($B964="",$C964=""),"INCOMPLETE",IFERROR(IF(OR(NOT(ISNUMBER($B964)),NOT(ISNUMBER($C964)),IF(C964="",FALSE,IF(ISNUMBER(C964),OR(C964&lt;=0,C964&gt;100000000,ROUND(C964*100,6)&lt;&gt;INT(ROUND(C964*100,6))),TRUE)),IF(D964="",FALSE,IF(ISNUMBER(D964),OR(D964&lt;=0,D964&gt;100000000,ROUND(D964*100,6)&lt;&gt;INT(ROUND(D964*100,6))),TRUE)),IF(E964="",FALSE,IF(ISNUMBER(E964),OR(E964&lt;=0,E964&gt;100000000,ROUND(E964*100,6)&lt;&gt;INT(ROUND(E964*100,6))),TRUE)),AND($D964&lt;&gt;"",$D964&lt;MAX($C964,$E964)),AND($E964&lt;&gt;"",$E964&gt;MIN($C964,IF($D964="",$C964,$D964))),COUNTIFS($A$2:$A$1001,$A964,$B$2:$B$1001,$B964)&gt;1),"INVALID",IFERROR(IF(IF(INDEX(Accounts!$T$2:$T$11,$F964),ROUND(IF($E964="",$C964,MIN($C964,$E964))-(H964),6)&lt;=0,ROUND(IF($E964="",$C964,MIN($C964,$E964))-(H964),6)&lt;0),"BREACHED","OK"),"INCOMPLETE")),"INVALID"))))</f>
        <v/>
      </c>
      <c r="J964" s="33">
        <f>IF(OR(I964="OK",I964="BREACHED"),-INT(ROUND(-(H964)*100,6))/100,I964)</f>
        <v/>
      </c>
    </row>
    <row r="965" ht="18" customHeight="1">
      <c r="A965" s="9" t="n"/>
      <c r="B965" s="32" t="n"/>
      <c r="C965" s="12" t="n"/>
      <c r="D965" s="12" t="n"/>
      <c r="E965" s="12" t="n"/>
      <c r="F965" s="15">
        <f>IFERROR(MATCH($A965,Accounts!$A$2:$A$11,0),"")</f>
        <v/>
      </c>
      <c r="G965" s="14">
        <f>IFERROR(IF(OR($A965="",$F965=""),"",IF(INDEX(Accounts!$P$2:$P$11,$F965)="static",INDEX(Accounts!$Q$2:$Q$11,$F965),IF(INDEX(Accounts!$P$2:$P$11,$F965)="eod_trailing",MAX(INDEX(Accounts!$Q$2:$Q$11,$F965),_xlfn.MAXIFS($C$2:$C$1001,$A$2:$A$1001,$A965,$B$2:$B$1001,"&lt;"&amp;$B965)),MAX(INDEX(Accounts!$Q$2:$Q$11,$F965),_xlfn.MAXIFS($C$2:$C$1001,$A$2:$A$1001,$A965,$B$2:$B$1001,"&lt;"&amp;$B965),_xlfn.MAXIFS($D$2:$D$1001,$A$2:$A$1001,$A965,$B$2:$B$1001,"&lt;="&amp;$B965),$C965)))),"")</f>
        <v/>
      </c>
      <c r="H965" s="15">
        <f>IFERROR(IF(G965="","",IF(INDEX(Accounts!$P$2:$P$11,$F965)="static",INDEX(Accounts!$Q$2:$Q$11,$F965)-INDEX(Accounts!$R$2:$R$11,$F965),IF(INDEX(Accounts!$S$2:$S$11,$F965)="NONE",G965-INDEX(Accounts!$R$2:$R$11,$F965),MIN(G965-INDEX(Accounts!$R$2:$R$11,$F965),INDEX(Accounts!$Q$2:$Q$11,$F965)+INDEX(Accounts!$S$2:$S$11,$F965))))),"")</f>
        <v/>
      </c>
      <c r="I965" s="16">
        <f>IF(AND($A965="",$B965="",$C965="",$D965="",$E965=""),"",IF(OR($A965="",$F965=""),"UNKNOWN_ACCOUNT",IF(OR($B965="",$C965=""),"INCOMPLETE",IFERROR(IF(OR(NOT(ISNUMBER($B965)),NOT(ISNUMBER($C965)),IF(C965="",FALSE,IF(ISNUMBER(C965),OR(C965&lt;=0,C965&gt;100000000,ROUND(C965*100,6)&lt;&gt;INT(ROUND(C965*100,6))),TRUE)),IF(D965="",FALSE,IF(ISNUMBER(D965),OR(D965&lt;=0,D965&gt;100000000,ROUND(D965*100,6)&lt;&gt;INT(ROUND(D965*100,6))),TRUE)),IF(E965="",FALSE,IF(ISNUMBER(E965),OR(E965&lt;=0,E965&gt;100000000,ROUND(E965*100,6)&lt;&gt;INT(ROUND(E965*100,6))),TRUE)),AND($D965&lt;&gt;"",$D965&lt;MAX($C965,$E965)),AND($E965&lt;&gt;"",$E965&gt;MIN($C965,IF($D965="",$C965,$D965))),COUNTIFS($A$2:$A$1001,$A965,$B$2:$B$1001,$B965)&gt;1),"INVALID",IFERROR(IF(IF(INDEX(Accounts!$T$2:$T$11,$F965),ROUND(IF($E965="",$C965,MIN($C965,$E965))-(H965),6)&lt;=0,ROUND(IF($E965="",$C965,MIN($C965,$E965))-(H965),6)&lt;0),"BREACHED","OK"),"INCOMPLETE")),"INVALID"))))</f>
        <v/>
      </c>
      <c r="J965" s="33">
        <f>IF(OR(I965="OK",I965="BREACHED"),-INT(ROUND(-(H965)*100,6))/100,I965)</f>
        <v/>
      </c>
    </row>
    <row r="966" ht="18" customHeight="1">
      <c r="A966" s="9" t="n"/>
      <c r="B966" s="32" t="n"/>
      <c r="C966" s="12" t="n"/>
      <c r="D966" s="12" t="n"/>
      <c r="E966" s="12" t="n"/>
      <c r="F966" s="15">
        <f>IFERROR(MATCH($A966,Accounts!$A$2:$A$11,0),"")</f>
        <v/>
      </c>
      <c r="G966" s="14">
        <f>IFERROR(IF(OR($A966="",$F966=""),"",IF(INDEX(Accounts!$P$2:$P$11,$F966)="static",INDEX(Accounts!$Q$2:$Q$11,$F966),IF(INDEX(Accounts!$P$2:$P$11,$F966)="eod_trailing",MAX(INDEX(Accounts!$Q$2:$Q$11,$F966),_xlfn.MAXIFS($C$2:$C$1001,$A$2:$A$1001,$A966,$B$2:$B$1001,"&lt;"&amp;$B966)),MAX(INDEX(Accounts!$Q$2:$Q$11,$F966),_xlfn.MAXIFS($C$2:$C$1001,$A$2:$A$1001,$A966,$B$2:$B$1001,"&lt;"&amp;$B966),_xlfn.MAXIFS($D$2:$D$1001,$A$2:$A$1001,$A966,$B$2:$B$1001,"&lt;="&amp;$B966),$C966)))),"")</f>
        <v/>
      </c>
      <c r="H966" s="15">
        <f>IFERROR(IF(G966="","",IF(INDEX(Accounts!$P$2:$P$11,$F966)="static",INDEX(Accounts!$Q$2:$Q$11,$F966)-INDEX(Accounts!$R$2:$R$11,$F966),IF(INDEX(Accounts!$S$2:$S$11,$F966)="NONE",G966-INDEX(Accounts!$R$2:$R$11,$F966),MIN(G966-INDEX(Accounts!$R$2:$R$11,$F966),INDEX(Accounts!$Q$2:$Q$11,$F966)+INDEX(Accounts!$S$2:$S$11,$F966))))),"")</f>
        <v/>
      </c>
      <c r="I966" s="16">
        <f>IF(AND($A966="",$B966="",$C966="",$D966="",$E966=""),"",IF(OR($A966="",$F966=""),"UNKNOWN_ACCOUNT",IF(OR($B966="",$C966=""),"INCOMPLETE",IFERROR(IF(OR(NOT(ISNUMBER($B966)),NOT(ISNUMBER($C966)),IF(C966="",FALSE,IF(ISNUMBER(C966),OR(C966&lt;=0,C966&gt;100000000,ROUND(C966*100,6)&lt;&gt;INT(ROUND(C966*100,6))),TRUE)),IF(D966="",FALSE,IF(ISNUMBER(D966),OR(D966&lt;=0,D966&gt;100000000,ROUND(D966*100,6)&lt;&gt;INT(ROUND(D966*100,6))),TRUE)),IF(E966="",FALSE,IF(ISNUMBER(E966),OR(E966&lt;=0,E966&gt;100000000,ROUND(E966*100,6)&lt;&gt;INT(ROUND(E966*100,6))),TRUE)),AND($D966&lt;&gt;"",$D966&lt;MAX($C966,$E966)),AND($E966&lt;&gt;"",$E966&gt;MIN($C966,IF($D966="",$C966,$D966))),COUNTIFS($A$2:$A$1001,$A966,$B$2:$B$1001,$B966)&gt;1),"INVALID",IFERROR(IF(IF(INDEX(Accounts!$T$2:$T$11,$F966),ROUND(IF($E966="",$C966,MIN($C966,$E966))-(H966),6)&lt;=0,ROUND(IF($E966="",$C966,MIN($C966,$E966))-(H966),6)&lt;0),"BREACHED","OK"),"INCOMPLETE")),"INVALID"))))</f>
        <v/>
      </c>
      <c r="J966" s="33">
        <f>IF(OR(I966="OK",I966="BREACHED"),-INT(ROUND(-(H966)*100,6))/100,I966)</f>
        <v/>
      </c>
    </row>
    <row r="967" ht="18" customHeight="1">
      <c r="A967" s="9" t="n"/>
      <c r="B967" s="32" t="n"/>
      <c r="C967" s="12" t="n"/>
      <c r="D967" s="12" t="n"/>
      <c r="E967" s="12" t="n"/>
      <c r="F967" s="15">
        <f>IFERROR(MATCH($A967,Accounts!$A$2:$A$11,0),"")</f>
        <v/>
      </c>
      <c r="G967" s="14">
        <f>IFERROR(IF(OR($A967="",$F967=""),"",IF(INDEX(Accounts!$P$2:$P$11,$F967)="static",INDEX(Accounts!$Q$2:$Q$11,$F967),IF(INDEX(Accounts!$P$2:$P$11,$F967)="eod_trailing",MAX(INDEX(Accounts!$Q$2:$Q$11,$F967),_xlfn.MAXIFS($C$2:$C$1001,$A$2:$A$1001,$A967,$B$2:$B$1001,"&lt;"&amp;$B967)),MAX(INDEX(Accounts!$Q$2:$Q$11,$F967),_xlfn.MAXIFS($C$2:$C$1001,$A$2:$A$1001,$A967,$B$2:$B$1001,"&lt;"&amp;$B967),_xlfn.MAXIFS($D$2:$D$1001,$A$2:$A$1001,$A967,$B$2:$B$1001,"&lt;="&amp;$B967),$C967)))),"")</f>
        <v/>
      </c>
      <c r="H967" s="15">
        <f>IFERROR(IF(G967="","",IF(INDEX(Accounts!$P$2:$P$11,$F967)="static",INDEX(Accounts!$Q$2:$Q$11,$F967)-INDEX(Accounts!$R$2:$R$11,$F967),IF(INDEX(Accounts!$S$2:$S$11,$F967)="NONE",G967-INDEX(Accounts!$R$2:$R$11,$F967),MIN(G967-INDEX(Accounts!$R$2:$R$11,$F967),INDEX(Accounts!$Q$2:$Q$11,$F967)+INDEX(Accounts!$S$2:$S$11,$F967))))),"")</f>
        <v/>
      </c>
      <c r="I967" s="16">
        <f>IF(AND($A967="",$B967="",$C967="",$D967="",$E967=""),"",IF(OR($A967="",$F967=""),"UNKNOWN_ACCOUNT",IF(OR($B967="",$C967=""),"INCOMPLETE",IFERROR(IF(OR(NOT(ISNUMBER($B967)),NOT(ISNUMBER($C967)),IF(C967="",FALSE,IF(ISNUMBER(C967),OR(C967&lt;=0,C967&gt;100000000,ROUND(C967*100,6)&lt;&gt;INT(ROUND(C967*100,6))),TRUE)),IF(D967="",FALSE,IF(ISNUMBER(D967),OR(D967&lt;=0,D967&gt;100000000,ROUND(D967*100,6)&lt;&gt;INT(ROUND(D967*100,6))),TRUE)),IF(E967="",FALSE,IF(ISNUMBER(E967),OR(E967&lt;=0,E967&gt;100000000,ROUND(E967*100,6)&lt;&gt;INT(ROUND(E967*100,6))),TRUE)),AND($D967&lt;&gt;"",$D967&lt;MAX($C967,$E967)),AND($E967&lt;&gt;"",$E967&gt;MIN($C967,IF($D967="",$C967,$D967))),COUNTIFS($A$2:$A$1001,$A967,$B$2:$B$1001,$B967)&gt;1),"INVALID",IFERROR(IF(IF(INDEX(Accounts!$T$2:$T$11,$F967),ROUND(IF($E967="",$C967,MIN($C967,$E967))-(H967),6)&lt;=0,ROUND(IF($E967="",$C967,MIN($C967,$E967))-(H967),6)&lt;0),"BREACHED","OK"),"INCOMPLETE")),"INVALID"))))</f>
        <v/>
      </c>
      <c r="J967" s="33">
        <f>IF(OR(I967="OK",I967="BREACHED"),-INT(ROUND(-(H967)*100,6))/100,I967)</f>
        <v/>
      </c>
    </row>
    <row r="968" ht="18" customHeight="1">
      <c r="A968" s="9" t="n"/>
      <c r="B968" s="32" t="n"/>
      <c r="C968" s="12" t="n"/>
      <c r="D968" s="12" t="n"/>
      <c r="E968" s="12" t="n"/>
      <c r="F968" s="15">
        <f>IFERROR(MATCH($A968,Accounts!$A$2:$A$11,0),"")</f>
        <v/>
      </c>
      <c r="G968" s="14">
        <f>IFERROR(IF(OR($A968="",$F968=""),"",IF(INDEX(Accounts!$P$2:$P$11,$F968)="static",INDEX(Accounts!$Q$2:$Q$11,$F968),IF(INDEX(Accounts!$P$2:$P$11,$F968)="eod_trailing",MAX(INDEX(Accounts!$Q$2:$Q$11,$F968),_xlfn.MAXIFS($C$2:$C$1001,$A$2:$A$1001,$A968,$B$2:$B$1001,"&lt;"&amp;$B968)),MAX(INDEX(Accounts!$Q$2:$Q$11,$F968),_xlfn.MAXIFS($C$2:$C$1001,$A$2:$A$1001,$A968,$B$2:$B$1001,"&lt;"&amp;$B968),_xlfn.MAXIFS($D$2:$D$1001,$A$2:$A$1001,$A968,$B$2:$B$1001,"&lt;="&amp;$B968),$C968)))),"")</f>
        <v/>
      </c>
      <c r="H968" s="15">
        <f>IFERROR(IF(G968="","",IF(INDEX(Accounts!$P$2:$P$11,$F968)="static",INDEX(Accounts!$Q$2:$Q$11,$F968)-INDEX(Accounts!$R$2:$R$11,$F968),IF(INDEX(Accounts!$S$2:$S$11,$F968)="NONE",G968-INDEX(Accounts!$R$2:$R$11,$F968),MIN(G968-INDEX(Accounts!$R$2:$R$11,$F968),INDEX(Accounts!$Q$2:$Q$11,$F968)+INDEX(Accounts!$S$2:$S$11,$F968))))),"")</f>
        <v/>
      </c>
      <c r="I968" s="16">
        <f>IF(AND($A968="",$B968="",$C968="",$D968="",$E968=""),"",IF(OR($A968="",$F968=""),"UNKNOWN_ACCOUNT",IF(OR($B968="",$C968=""),"INCOMPLETE",IFERROR(IF(OR(NOT(ISNUMBER($B968)),NOT(ISNUMBER($C968)),IF(C968="",FALSE,IF(ISNUMBER(C968),OR(C968&lt;=0,C968&gt;100000000,ROUND(C968*100,6)&lt;&gt;INT(ROUND(C968*100,6))),TRUE)),IF(D968="",FALSE,IF(ISNUMBER(D968),OR(D968&lt;=0,D968&gt;100000000,ROUND(D968*100,6)&lt;&gt;INT(ROUND(D968*100,6))),TRUE)),IF(E968="",FALSE,IF(ISNUMBER(E968),OR(E968&lt;=0,E968&gt;100000000,ROUND(E968*100,6)&lt;&gt;INT(ROUND(E968*100,6))),TRUE)),AND($D968&lt;&gt;"",$D968&lt;MAX($C968,$E968)),AND($E968&lt;&gt;"",$E968&gt;MIN($C968,IF($D968="",$C968,$D968))),COUNTIFS($A$2:$A$1001,$A968,$B$2:$B$1001,$B968)&gt;1),"INVALID",IFERROR(IF(IF(INDEX(Accounts!$T$2:$T$11,$F968),ROUND(IF($E968="",$C968,MIN($C968,$E968))-(H968),6)&lt;=0,ROUND(IF($E968="",$C968,MIN($C968,$E968))-(H968),6)&lt;0),"BREACHED","OK"),"INCOMPLETE")),"INVALID"))))</f>
        <v/>
      </c>
      <c r="J968" s="33">
        <f>IF(OR(I968="OK",I968="BREACHED"),-INT(ROUND(-(H968)*100,6))/100,I968)</f>
        <v/>
      </c>
    </row>
    <row r="969" ht="18" customHeight="1">
      <c r="A969" s="9" t="n"/>
      <c r="B969" s="32" t="n"/>
      <c r="C969" s="12" t="n"/>
      <c r="D969" s="12" t="n"/>
      <c r="E969" s="12" t="n"/>
      <c r="F969" s="15">
        <f>IFERROR(MATCH($A969,Accounts!$A$2:$A$11,0),"")</f>
        <v/>
      </c>
      <c r="G969" s="14">
        <f>IFERROR(IF(OR($A969="",$F969=""),"",IF(INDEX(Accounts!$P$2:$P$11,$F969)="static",INDEX(Accounts!$Q$2:$Q$11,$F969),IF(INDEX(Accounts!$P$2:$P$11,$F969)="eod_trailing",MAX(INDEX(Accounts!$Q$2:$Q$11,$F969),_xlfn.MAXIFS($C$2:$C$1001,$A$2:$A$1001,$A969,$B$2:$B$1001,"&lt;"&amp;$B969)),MAX(INDEX(Accounts!$Q$2:$Q$11,$F969),_xlfn.MAXIFS($C$2:$C$1001,$A$2:$A$1001,$A969,$B$2:$B$1001,"&lt;"&amp;$B969),_xlfn.MAXIFS($D$2:$D$1001,$A$2:$A$1001,$A969,$B$2:$B$1001,"&lt;="&amp;$B969),$C969)))),"")</f>
        <v/>
      </c>
      <c r="H969" s="15">
        <f>IFERROR(IF(G969="","",IF(INDEX(Accounts!$P$2:$P$11,$F969)="static",INDEX(Accounts!$Q$2:$Q$11,$F969)-INDEX(Accounts!$R$2:$R$11,$F969),IF(INDEX(Accounts!$S$2:$S$11,$F969)="NONE",G969-INDEX(Accounts!$R$2:$R$11,$F969),MIN(G969-INDEX(Accounts!$R$2:$R$11,$F969),INDEX(Accounts!$Q$2:$Q$11,$F969)+INDEX(Accounts!$S$2:$S$11,$F969))))),"")</f>
        <v/>
      </c>
      <c r="I969" s="16">
        <f>IF(AND($A969="",$B969="",$C969="",$D969="",$E969=""),"",IF(OR($A969="",$F969=""),"UNKNOWN_ACCOUNT",IF(OR($B969="",$C969=""),"INCOMPLETE",IFERROR(IF(OR(NOT(ISNUMBER($B969)),NOT(ISNUMBER($C969)),IF(C969="",FALSE,IF(ISNUMBER(C969),OR(C969&lt;=0,C969&gt;100000000,ROUND(C969*100,6)&lt;&gt;INT(ROUND(C969*100,6))),TRUE)),IF(D969="",FALSE,IF(ISNUMBER(D969),OR(D969&lt;=0,D969&gt;100000000,ROUND(D969*100,6)&lt;&gt;INT(ROUND(D969*100,6))),TRUE)),IF(E969="",FALSE,IF(ISNUMBER(E969),OR(E969&lt;=0,E969&gt;100000000,ROUND(E969*100,6)&lt;&gt;INT(ROUND(E969*100,6))),TRUE)),AND($D969&lt;&gt;"",$D969&lt;MAX($C969,$E969)),AND($E969&lt;&gt;"",$E969&gt;MIN($C969,IF($D969="",$C969,$D969))),COUNTIFS($A$2:$A$1001,$A969,$B$2:$B$1001,$B969)&gt;1),"INVALID",IFERROR(IF(IF(INDEX(Accounts!$T$2:$T$11,$F969),ROUND(IF($E969="",$C969,MIN($C969,$E969))-(H969),6)&lt;=0,ROUND(IF($E969="",$C969,MIN($C969,$E969))-(H969),6)&lt;0),"BREACHED","OK"),"INCOMPLETE")),"INVALID"))))</f>
        <v/>
      </c>
      <c r="J969" s="33">
        <f>IF(OR(I969="OK",I969="BREACHED"),-INT(ROUND(-(H969)*100,6))/100,I969)</f>
        <v/>
      </c>
    </row>
    <row r="970" ht="18" customHeight="1">
      <c r="A970" s="9" t="n"/>
      <c r="B970" s="32" t="n"/>
      <c r="C970" s="12" t="n"/>
      <c r="D970" s="12" t="n"/>
      <c r="E970" s="12" t="n"/>
      <c r="F970" s="15">
        <f>IFERROR(MATCH($A970,Accounts!$A$2:$A$11,0),"")</f>
        <v/>
      </c>
      <c r="G970" s="14">
        <f>IFERROR(IF(OR($A970="",$F970=""),"",IF(INDEX(Accounts!$P$2:$P$11,$F970)="static",INDEX(Accounts!$Q$2:$Q$11,$F970),IF(INDEX(Accounts!$P$2:$P$11,$F970)="eod_trailing",MAX(INDEX(Accounts!$Q$2:$Q$11,$F970),_xlfn.MAXIFS($C$2:$C$1001,$A$2:$A$1001,$A970,$B$2:$B$1001,"&lt;"&amp;$B970)),MAX(INDEX(Accounts!$Q$2:$Q$11,$F970),_xlfn.MAXIFS($C$2:$C$1001,$A$2:$A$1001,$A970,$B$2:$B$1001,"&lt;"&amp;$B970),_xlfn.MAXIFS($D$2:$D$1001,$A$2:$A$1001,$A970,$B$2:$B$1001,"&lt;="&amp;$B970),$C970)))),"")</f>
        <v/>
      </c>
      <c r="H970" s="15">
        <f>IFERROR(IF(G970="","",IF(INDEX(Accounts!$P$2:$P$11,$F970)="static",INDEX(Accounts!$Q$2:$Q$11,$F970)-INDEX(Accounts!$R$2:$R$11,$F970),IF(INDEX(Accounts!$S$2:$S$11,$F970)="NONE",G970-INDEX(Accounts!$R$2:$R$11,$F970),MIN(G970-INDEX(Accounts!$R$2:$R$11,$F970),INDEX(Accounts!$Q$2:$Q$11,$F970)+INDEX(Accounts!$S$2:$S$11,$F970))))),"")</f>
        <v/>
      </c>
      <c r="I970" s="16">
        <f>IF(AND($A970="",$B970="",$C970="",$D970="",$E970=""),"",IF(OR($A970="",$F970=""),"UNKNOWN_ACCOUNT",IF(OR($B970="",$C970=""),"INCOMPLETE",IFERROR(IF(OR(NOT(ISNUMBER($B970)),NOT(ISNUMBER($C970)),IF(C970="",FALSE,IF(ISNUMBER(C970),OR(C970&lt;=0,C970&gt;100000000,ROUND(C970*100,6)&lt;&gt;INT(ROUND(C970*100,6))),TRUE)),IF(D970="",FALSE,IF(ISNUMBER(D970),OR(D970&lt;=0,D970&gt;100000000,ROUND(D970*100,6)&lt;&gt;INT(ROUND(D970*100,6))),TRUE)),IF(E970="",FALSE,IF(ISNUMBER(E970),OR(E970&lt;=0,E970&gt;100000000,ROUND(E970*100,6)&lt;&gt;INT(ROUND(E970*100,6))),TRUE)),AND($D970&lt;&gt;"",$D970&lt;MAX($C970,$E970)),AND($E970&lt;&gt;"",$E970&gt;MIN($C970,IF($D970="",$C970,$D970))),COUNTIFS($A$2:$A$1001,$A970,$B$2:$B$1001,$B970)&gt;1),"INVALID",IFERROR(IF(IF(INDEX(Accounts!$T$2:$T$11,$F970),ROUND(IF($E970="",$C970,MIN($C970,$E970))-(H970),6)&lt;=0,ROUND(IF($E970="",$C970,MIN($C970,$E970))-(H970),6)&lt;0),"BREACHED","OK"),"INCOMPLETE")),"INVALID"))))</f>
        <v/>
      </c>
      <c r="J970" s="33">
        <f>IF(OR(I970="OK",I970="BREACHED"),-INT(ROUND(-(H970)*100,6))/100,I970)</f>
        <v/>
      </c>
    </row>
    <row r="971" ht="18" customHeight="1">
      <c r="A971" s="9" t="n"/>
      <c r="B971" s="32" t="n"/>
      <c r="C971" s="12" t="n"/>
      <c r="D971" s="12" t="n"/>
      <c r="E971" s="12" t="n"/>
      <c r="F971" s="15">
        <f>IFERROR(MATCH($A971,Accounts!$A$2:$A$11,0),"")</f>
        <v/>
      </c>
      <c r="G971" s="14">
        <f>IFERROR(IF(OR($A971="",$F971=""),"",IF(INDEX(Accounts!$P$2:$P$11,$F971)="static",INDEX(Accounts!$Q$2:$Q$11,$F971),IF(INDEX(Accounts!$P$2:$P$11,$F971)="eod_trailing",MAX(INDEX(Accounts!$Q$2:$Q$11,$F971),_xlfn.MAXIFS($C$2:$C$1001,$A$2:$A$1001,$A971,$B$2:$B$1001,"&lt;"&amp;$B971)),MAX(INDEX(Accounts!$Q$2:$Q$11,$F971),_xlfn.MAXIFS($C$2:$C$1001,$A$2:$A$1001,$A971,$B$2:$B$1001,"&lt;"&amp;$B971),_xlfn.MAXIFS($D$2:$D$1001,$A$2:$A$1001,$A971,$B$2:$B$1001,"&lt;="&amp;$B971),$C971)))),"")</f>
        <v/>
      </c>
      <c r="H971" s="15">
        <f>IFERROR(IF(G971="","",IF(INDEX(Accounts!$P$2:$P$11,$F971)="static",INDEX(Accounts!$Q$2:$Q$11,$F971)-INDEX(Accounts!$R$2:$R$11,$F971),IF(INDEX(Accounts!$S$2:$S$11,$F971)="NONE",G971-INDEX(Accounts!$R$2:$R$11,$F971),MIN(G971-INDEX(Accounts!$R$2:$R$11,$F971),INDEX(Accounts!$Q$2:$Q$11,$F971)+INDEX(Accounts!$S$2:$S$11,$F971))))),"")</f>
        <v/>
      </c>
      <c r="I971" s="16">
        <f>IF(AND($A971="",$B971="",$C971="",$D971="",$E971=""),"",IF(OR($A971="",$F971=""),"UNKNOWN_ACCOUNT",IF(OR($B971="",$C971=""),"INCOMPLETE",IFERROR(IF(OR(NOT(ISNUMBER($B971)),NOT(ISNUMBER($C971)),IF(C971="",FALSE,IF(ISNUMBER(C971),OR(C971&lt;=0,C971&gt;100000000,ROUND(C971*100,6)&lt;&gt;INT(ROUND(C971*100,6))),TRUE)),IF(D971="",FALSE,IF(ISNUMBER(D971),OR(D971&lt;=0,D971&gt;100000000,ROUND(D971*100,6)&lt;&gt;INT(ROUND(D971*100,6))),TRUE)),IF(E971="",FALSE,IF(ISNUMBER(E971),OR(E971&lt;=0,E971&gt;100000000,ROUND(E971*100,6)&lt;&gt;INT(ROUND(E971*100,6))),TRUE)),AND($D971&lt;&gt;"",$D971&lt;MAX($C971,$E971)),AND($E971&lt;&gt;"",$E971&gt;MIN($C971,IF($D971="",$C971,$D971))),COUNTIFS($A$2:$A$1001,$A971,$B$2:$B$1001,$B971)&gt;1),"INVALID",IFERROR(IF(IF(INDEX(Accounts!$T$2:$T$11,$F971),ROUND(IF($E971="",$C971,MIN($C971,$E971))-(H971),6)&lt;=0,ROUND(IF($E971="",$C971,MIN($C971,$E971))-(H971),6)&lt;0),"BREACHED","OK"),"INCOMPLETE")),"INVALID"))))</f>
        <v/>
      </c>
      <c r="J971" s="33">
        <f>IF(OR(I971="OK",I971="BREACHED"),-INT(ROUND(-(H971)*100,6))/100,I971)</f>
        <v/>
      </c>
    </row>
    <row r="972" ht="18" customHeight="1">
      <c r="A972" s="9" t="n"/>
      <c r="B972" s="32" t="n"/>
      <c r="C972" s="12" t="n"/>
      <c r="D972" s="12" t="n"/>
      <c r="E972" s="12" t="n"/>
      <c r="F972" s="15">
        <f>IFERROR(MATCH($A972,Accounts!$A$2:$A$11,0),"")</f>
        <v/>
      </c>
      <c r="G972" s="14">
        <f>IFERROR(IF(OR($A972="",$F972=""),"",IF(INDEX(Accounts!$P$2:$P$11,$F972)="static",INDEX(Accounts!$Q$2:$Q$11,$F972),IF(INDEX(Accounts!$P$2:$P$11,$F972)="eod_trailing",MAX(INDEX(Accounts!$Q$2:$Q$11,$F972),_xlfn.MAXIFS($C$2:$C$1001,$A$2:$A$1001,$A972,$B$2:$B$1001,"&lt;"&amp;$B972)),MAX(INDEX(Accounts!$Q$2:$Q$11,$F972),_xlfn.MAXIFS($C$2:$C$1001,$A$2:$A$1001,$A972,$B$2:$B$1001,"&lt;"&amp;$B972),_xlfn.MAXIFS($D$2:$D$1001,$A$2:$A$1001,$A972,$B$2:$B$1001,"&lt;="&amp;$B972),$C972)))),"")</f>
        <v/>
      </c>
      <c r="H972" s="15">
        <f>IFERROR(IF(G972="","",IF(INDEX(Accounts!$P$2:$P$11,$F972)="static",INDEX(Accounts!$Q$2:$Q$11,$F972)-INDEX(Accounts!$R$2:$R$11,$F972),IF(INDEX(Accounts!$S$2:$S$11,$F972)="NONE",G972-INDEX(Accounts!$R$2:$R$11,$F972),MIN(G972-INDEX(Accounts!$R$2:$R$11,$F972),INDEX(Accounts!$Q$2:$Q$11,$F972)+INDEX(Accounts!$S$2:$S$11,$F972))))),"")</f>
        <v/>
      </c>
      <c r="I972" s="16">
        <f>IF(AND($A972="",$B972="",$C972="",$D972="",$E972=""),"",IF(OR($A972="",$F972=""),"UNKNOWN_ACCOUNT",IF(OR($B972="",$C972=""),"INCOMPLETE",IFERROR(IF(OR(NOT(ISNUMBER($B972)),NOT(ISNUMBER($C972)),IF(C972="",FALSE,IF(ISNUMBER(C972),OR(C972&lt;=0,C972&gt;100000000,ROUND(C972*100,6)&lt;&gt;INT(ROUND(C972*100,6))),TRUE)),IF(D972="",FALSE,IF(ISNUMBER(D972),OR(D972&lt;=0,D972&gt;100000000,ROUND(D972*100,6)&lt;&gt;INT(ROUND(D972*100,6))),TRUE)),IF(E972="",FALSE,IF(ISNUMBER(E972),OR(E972&lt;=0,E972&gt;100000000,ROUND(E972*100,6)&lt;&gt;INT(ROUND(E972*100,6))),TRUE)),AND($D972&lt;&gt;"",$D972&lt;MAX($C972,$E972)),AND($E972&lt;&gt;"",$E972&gt;MIN($C972,IF($D972="",$C972,$D972))),COUNTIFS($A$2:$A$1001,$A972,$B$2:$B$1001,$B972)&gt;1),"INVALID",IFERROR(IF(IF(INDEX(Accounts!$T$2:$T$11,$F972),ROUND(IF($E972="",$C972,MIN($C972,$E972))-(H972),6)&lt;=0,ROUND(IF($E972="",$C972,MIN($C972,$E972))-(H972),6)&lt;0),"BREACHED","OK"),"INCOMPLETE")),"INVALID"))))</f>
        <v/>
      </c>
      <c r="J972" s="33">
        <f>IF(OR(I972="OK",I972="BREACHED"),-INT(ROUND(-(H972)*100,6))/100,I972)</f>
        <v/>
      </c>
    </row>
    <row r="973" ht="18" customHeight="1">
      <c r="A973" s="9" t="n"/>
      <c r="B973" s="32" t="n"/>
      <c r="C973" s="12" t="n"/>
      <c r="D973" s="12" t="n"/>
      <c r="E973" s="12" t="n"/>
      <c r="F973" s="15">
        <f>IFERROR(MATCH($A973,Accounts!$A$2:$A$11,0),"")</f>
        <v/>
      </c>
      <c r="G973" s="14">
        <f>IFERROR(IF(OR($A973="",$F973=""),"",IF(INDEX(Accounts!$P$2:$P$11,$F973)="static",INDEX(Accounts!$Q$2:$Q$11,$F973),IF(INDEX(Accounts!$P$2:$P$11,$F973)="eod_trailing",MAX(INDEX(Accounts!$Q$2:$Q$11,$F973),_xlfn.MAXIFS($C$2:$C$1001,$A$2:$A$1001,$A973,$B$2:$B$1001,"&lt;"&amp;$B973)),MAX(INDEX(Accounts!$Q$2:$Q$11,$F973),_xlfn.MAXIFS($C$2:$C$1001,$A$2:$A$1001,$A973,$B$2:$B$1001,"&lt;"&amp;$B973),_xlfn.MAXIFS($D$2:$D$1001,$A$2:$A$1001,$A973,$B$2:$B$1001,"&lt;="&amp;$B973),$C973)))),"")</f>
        <v/>
      </c>
      <c r="H973" s="15">
        <f>IFERROR(IF(G973="","",IF(INDEX(Accounts!$P$2:$P$11,$F973)="static",INDEX(Accounts!$Q$2:$Q$11,$F973)-INDEX(Accounts!$R$2:$R$11,$F973),IF(INDEX(Accounts!$S$2:$S$11,$F973)="NONE",G973-INDEX(Accounts!$R$2:$R$11,$F973),MIN(G973-INDEX(Accounts!$R$2:$R$11,$F973),INDEX(Accounts!$Q$2:$Q$11,$F973)+INDEX(Accounts!$S$2:$S$11,$F973))))),"")</f>
        <v/>
      </c>
      <c r="I973" s="16">
        <f>IF(AND($A973="",$B973="",$C973="",$D973="",$E973=""),"",IF(OR($A973="",$F973=""),"UNKNOWN_ACCOUNT",IF(OR($B973="",$C973=""),"INCOMPLETE",IFERROR(IF(OR(NOT(ISNUMBER($B973)),NOT(ISNUMBER($C973)),IF(C973="",FALSE,IF(ISNUMBER(C973),OR(C973&lt;=0,C973&gt;100000000,ROUND(C973*100,6)&lt;&gt;INT(ROUND(C973*100,6))),TRUE)),IF(D973="",FALSE,IF(ISNUMBER(D973),OR(D973&lt;=0,D973&gt;100000000,ROUND(D973*100,6)&lt;&gt;INT(ROUND(D973*100,6))),TRUE)),IF(E973="",FALSE,IF(ISNUMBER(E973),OR(E973&lt;=0,E973&gt;100000000,ROUND(E973*100,6)&lt;&gt;INT(ROUND(E973*100,6))),TRUE)),AND($D973&lt;&gt;"",$D973&lt;MAX($C973,$E973)),AND($E973&lt;&gt;"",$E973&gt;MIN($C973,IF($D973="",$C973,$D973))),COUNTIFS($A$2:$A$1001,$A973,$B$2:$B$1001,$B973)&gt;1),"INVALID",IFERROR(IF(IF(INDEX(Accounts!$T$2:$T$11,$F973),ROUND(IF($E973="",$C973,MIN($C973,$E973))-(H973),6)&lt;=0,ROUND(IF($E973="",$C973,MIN($C973,$E973))-(H973),6)&lt;0),"BREACHED","OK"),"INCOMPLETE")),"INVALID"))))</f>
        <v/>
      </c>
      <c r="J973" s="33">
        <f>IF(OR(I973="OK",I973="BREACHED"),-INT(ROUND(-(H973)*100,6))/100,I973)</f>
        <v/>
      </c>
    </row>
    <row r="974" ht="18" customHeight="1">
      <c r="A974" s="9" t="n"/>
      <c r="B974" s="32" t="n"/>
      <c r="C974" s="12" t="n"/>
      <c r="D974" s="12" t="n"/>
      <c r="E974" s="12" t="n"/>
      <c r="F974" s="15">
        <f>IFERROR(MATCH($A974,Accounts!$A$2:$A$11,0),"")</f>
        <v/>
      </c>
      <c r="G974" s="14">
        <f>IFERROR(IF(OR($A974="",$F974=""),"",IF(INDEX(Accounts!$P$2:$P$11,$F974)="static",INDEX(Accounts!$Q$2:$Q$11,$F974),IF(INDEX(Accounts!$P$2:$P$11,$F974)="eod_trailing",MAX(INDEX(Accounts!$Q$2:$Q$11,$F974),_xlfn.MAXIFS($C$2:$C$1001,$A$2:$A$1001,$A974,$B$2:$B$1001,"&lt;"&amp;$B974)),MAX(INDEX(Accounts!$Q$2:$Q$11,$F974),_xlfn.MAXIFS($C$2:$C$1001,$A$2:$A$1001,$A974,$B$2:$B$1001,"&lt;"&amp;$B974),_xlfn.MAXIFS($D$2:$D$1001,$A$2:$A$1001,$A974,$B$2:$B$1001,"&lt;="&amp;$B974),$C974)))),"")</f>
        <v/>
      </c>
      <c r="H974" s="15">
        <f>IFERROR(IF(G974="","",IF(INDEX(Accounts!$P$2:$P$11,$F974)="static",INDEX(Accounts!$Q$2:$Q$11,$F974)-INDEX(Accounts!$R$2:$R$11,$F974),IF(INDEX(Accounts!$S$2:$S$11,$F974)="NONE",G974-INDEX(Accounts!$R$2:$R$11,$F974),MIN(G974-INDEX(Accounts!$R$2:$R$11,$F974),INDEX(Accounts!$Q$2:$Q$11,$F974)+INDEX(Accounts!$S$2:$S$11,$F974))))),"")</f>
        <v/>
      </c>
      <c r="I974" s="16">
        <f>IF(AND($A974="",$B974="",$C974="",$D974="",$E974=""),"",IF(OR($A974="",$F974=""),"UNKNOWN_ACCOUNT",IF(OR($B974="",$C974=""),"INCOMPLETE",IFERROR(IF(OR(NOT(ISNUMBER($B974)),NOT(ISNUMBER($C974)),IF(C974="",FALSE,IF(ISNUMBER(C974),OR(C974&lt;=0,C974&gt;100000000,ROUND(C974*100,6)&lt;&gt;INT(ROUND(C974*100,6))),TRUE)),IF(D974="",FALSE,IF(ISNUMBER(D974),OR(D974&lt;=0,D974&gt;100000000,ROUND(D974*100,6)&lt;&gt;INT(ROUND(D974*100,6))),TRUE)),IF(E974="",FALSE,IF(ISNUMBER(E974),OR(E974&lt;=0,E974&gt;100000000,ROUND(E974*100,6)&lt;&gt;INT(ROUND(E974*100,6))),TRUE)),AND($D974&lt;&gt;"",$D974&lt;MAX($C974,$E974)),AND($E974&lt;&gt;"",$E974&gt;MIN($C974,IF($D974="",$C974,$D974))),COUNTIFS($A$2:$A$1001,$A974,$B$2:$B$1001,$B974)&gt;1),"INVALID",IFERROR(IF(IF(INDEX(Accounts!$T$2:$T$11,$F974),ROUND(IF($E974="",$C974,MIN($C974,$E974))-(H974),6)&lt;=0,ROUND(IF($E974="",$C974,MIN($C974,$E974))-(H974),6)&lt;0),"BREACHED","OK"),"INCOMPLETE")),"INVALID"))))</f>
        <v/>
      </c>
      <c r="J974" s="33">
        <f>IF(OR(I974="OK",I974="BREACHED"),-INT(ROUND(-(H974)*100,6))/100,I974)</f>
        <v/>
      </c>
    </row>
    <row r="975" ht="18" customHeight="1">
      <c r="A975" s="9" t="n"/>
      <c r="B975" s="32" t="n"/>
      <c r="C975" s="12" t="n"/>
      <c r="D975" s="12" t="n"/>
      <c r="E975" s="12" t="n"/>
      <c r="F975" s="15">
        <f>IFERROR(MATCH($A975,Accounts!$A$2:$A$11,0),"")</f>
        <v/>
      </c>
      <c r="G975" s="14">
        <f>IFERROR(IF(OR($A975="",$F975=""),"",IF(INDEX(Accounts!$P$2:$P$11,$F975)="static",INDEX(Accounts!$Q$2:$Q$11,$F975),IF(INDEX(Accounts!$P$2:$P$11,$F975)="eod_trailing",MAX(INDEX(Accounts!$Q$2:$Q$11,$F975),_xlfn.MAXIFS($C$2:$C$1001,$A$2:$A$1001,$A975,$B$2:$B$1001,"&lt;"&amp;$B975)),MAX(INDEX(Accounts!$Q$2:$Q$11,$F975),_xlfn.MAXIFS($C$2:$C$1001,$A$2:$A$1001,$A975,$B$2:$B$1001,"&lt;"&amp;$B975),_xlfn.MAXIFS($D$2:$D$1001,$A$2:$A$1001,$A975,$B$2:$B$1001,"&lt;="&amp;$B975),$C975)))),"")</f>
        <v/>
      </c>
      <c r="H975" s="15">
        <f>IFERROR(IF(G975="","",IF(INDEX(Accounts!$P$2:$P$11,$F975)="static",INDEX(Accounts!$Q$2:$Q$11,$F975)-INDEX(Accounts!$R$2:$R$11,$F975),IF(INDEX(Accounts!$S$2:$S$11,$F975)="NONE",G975-INDEX(Accounts!$R$2:$R$11,$F975),MIN(G975-INDEX(Accounts!$R$2:$R$11,$F975),INDEX(Accounts!$Q$2:$Q$11,$F975)+INDEX(Accounts!$S$2:$S$11,$F975))))),"")</f>
        <v/>
      </c>
      <c r="I975" s="16">
        <f>IF(AND($A975="",$B975="",$C975="",$D975="",$E975=""),"",IF(OR($A975="",$F975=""),"UNKNOWN_ACCOUNT",IF(OR($B975="",$C975=""),"INCOMPLETE",IFERROR(IF(OR(NOT(ISNUMBER($B975)),NOT(ISNUMBER($C975)),IF(C975="",FALSE,IF(ISNUMBER(C975),OR(C975&lt;=0,C975&gt;100000000,ROUND(C975*100,6)&lt;&gt;INT(ROUND(C975*100,6))),TRUE)),IF(D975="",FALSE,IF(ISNUMBER(D975),OR(D975&lt;=0,D975&gt;100000000,ROUND(D975*100,6)&lt;&gt;INT(ROUND(D975*100,6))),TRUE)),IF(E975="",FALSE,IF(ISNUMBER(E975),OR(E975&lt;=0,E975&gt;100000000,ROUND(E975*100,6)&lt;&gt;INT(ROUND(E975*100,6))),TRUE)),AND($D975&lt;&gt;"",$D975&lt;MAX($C975,$E975)),AND($E975&lt;&gt;"",$E975&gt;MIN($C975,IF($D975="",$C975,$D975))),COUNTIFS($A$2:$A$1001,$A975,$B$2:$B$1001,$B975)&gt;1),"INVALID",IFERROR(IF(IF(INDEX(Accounts!$T$2:$T$11,$F975),ROUND(IF($E975="",$C975,MIN($C975,$E975))-(H975),6)&lt;=0,ROUND(IF($E975="",$C975,MIN($C975,$E975))-(H975),6)&lt;0),"BREACHED","OK"),"INCOMPLETE")),"INVALID"))))</f>
        <v/>
      </c>
      <c r="J975" s="33">
        <f>IF(OR(I975="OK",I975="BREACHED"),-INT(ROUND(-(H975)*100,6))/100,I975)</f>
        <v/>
      </c>
    </row>
    <row r="976" ht="18" customHeight="1">
      <c r="A976" s="9" t="n"/>
      <c r="B976" s="32" t="n"/>
      <c r="C976" s="12" t="n"/>
      <c r="D976" s="12" t="n"/>
      <c r="E976" s="12" t="n"/>
      <c r="F976" s="15">
        <f>IFERROR(MATCH($A976,Accounts!$A$2:$A$11,0),"")</f>
        <v/>
      </c>
      <c r="G976" s="14">
        <f>IFERROR(IF(OR($A976="",$F976=""),"",IF(INDEX(Accounts!$P$2:$P$11,$F976)="static",INDEX(Accounts!$Q$2:$Q$11,$F976),IF(INDEX(Accounts!$P$2:$P$11,$F976)="eod_trailing",MAX(INDEX(Accounts!$Q$2:$Q$11,$F976),_xlfn.MAXIFS($C$2:$C$1001,$A$2:$A$1001,$A976,$B$2:$B$1001,"&lt;"&amp;$B976)),MAX(INDEX(Accounts!$Q$2:$Q$11,$F976),_xlfn.MAXIFS($C$2:$C$1001,$A$2:$A$1001,$A976,$B$2:$B$1001,"&lt;"&amp;$B976),_xlfn.MAXIFS($D$2:$D$1001,$A$2:$A$1001,$A976,$B$2:$B$1001,"&lt;="&amp;$B976),$C976)))),"")</f>
        <v/>
      </c>
      <c r="H976" s="15">
        <f>IFERROR(IF(G976="","",IF(INDEX(Accounts!$P$2:$P$11,$F976)="static",INDEX(Accounts!$Q$2:$Q$11,$F976)-INDEX(Accounts!$R$2:$R$11,$F976),IF(INDEX(Accounts!$S$2:$S$11,$F976)="NONE",G976-INDEX(Accounts!$R$2:$R$11,$F976),MIN(G976-INDEX(Accounts!$R$2:$R$11,$F976),INDEX(Accounts!$Q$2:$Q$11,$F976)+INDEX(Accounts!$S$2:$S$11,$F976))))),"")</f>
        <v/>
      </c>
      <c r="I976" s="16">
        <f>IF(AND($A976="",$B976="",$C976="",$D976="",$E976=""),"",IF(OR($A976="",$F976=""),"UNKNOWN_ACCOUNT",IF(OR($B976="",$C976=""),"INCOMPLETE",IFERROR(IF(OR(NOT(ISNUMBER($B976)),NOT(ISNUMBER($C976)),IF(C976="",FALSE,IF(ISNUMBER(C976),OR(C976&lt;=0,C976&gt;100000000,ROUND(C976*100,6)&lt;&gt;INT(ROUND(C976*100,6))),TRUE)),IF(D976="",FALSE,IF(ISNUMBER(D976),OR(D976&lt;=0,D976&gt;100000000,ROUND(D976*100,6)&lt;&gt;INT(ROUND(D976*100,6))),TRUE)),IF(E976="",FALSE,IF(ISNUMBER(E976),OR(E976&lt;=0,E976&gt;100000000,ROUND(E976*100,6)&lt;&gt;INT(ROUND(E976*100,6))),TRUE)),AND($D976&lt;&gt;"",$D976&lt;MAX($C976,$E976)),AND($E976&lt;&gt;"",$E976&gt;MIN($C976,IF($D976="",$C976,$D976))),COUNTIFS($A$2:$A$1001,$A976,$B$2:$B$1001,$B976)&gt;1),"INVALID",IFERROR(IF(IF(INDEX(Accounts!$T$2:$T$11,$F976),ROUND(IF($E976="",$C976,MIN($C976,$E976))-(H976),6)&lt;=0,ROUND(IF($E976="",$C976,MIN($C976,$E976))-(H976),6)&lt;0),"BREACHED","OK"),"INCOMPLETE")),"INVALID"))))</f>
        <v/>
      </c>
      <c r="J976" s="33">
        <f>IF(OR(I976="OK",I976="BREACHED"),-INT(ROUND(-(H976)*100,6))/100,I976)</f>
        <v/>
      </c>
    </row>
    <row r="977" ht="18" customHeight="1">
      <c r="A977" s="9" t="n"/>
      <c r="B977" s="32" t="n"/>
      <c r="C977" s="12" t="n"/>
      <c r="D977" s="12" t="n"/>
      <c r="E977" s="12" t="n"/>
      <c r="F977" s="15">
        <f>IFERROR(MATCH($A977,Accounts!$A$2:$A$11,0),"")</f>
        <v/>
      </c>
      <c r="G977" s="14">
        <f>IFERROR(IF(OR($A977="",$F977=""),"",IF(INDEX(Accounts!$P$2:$P$11,$F977)="static",INDEX(Accounts!$Q$2:$Q$11,$F977),IF(INDEX(Accounts!$P$2:$P$11,$F977)="eod_trailing",MAX(INDEX(Accounts!$Q$2:$Q$11,$F977),_xlfn.MAXIFS($C$2:$C$1001,$A$2:$A$1001,$A977,$B$2:$B$1001,"&lt;"&amp;$B977)),MAX(INDEX(Accounts!$Q$2:$Q$11,$F977),_xlfn.MAXIFS($C$2:$C$1001,$A$2:$A$1001,$A977,$B$2:$B$1001,"&lt;"&amp;$B977),_xlfn.MAXIFS($D$2:$D$1001,$A$2:$A$1001,$A977,$B$2:$B$1001,"&lt;="&amp;$B977),$C977)))),"")</f>
        <v/>
      </c>
      <c r="H977" s="15">
        <f>IFERROR(IF(G977="","",IF(INDEX(Accounts!$P$2:$P$11,$F977)="static",INDEX(Accounts!$Q$2:$Q$11,$F977)-INDEX(Accounts!$R$2:$R$11,$F977),IF(INDEX(Accounts!$S$2:$S$11,$F977)="NONE",G977-INDEX(Accounts!$R$2:$R$11,$F977),MIN(G977-INDEX(Accounts!$R$2:$R$11,$F977),INDEX(Accounts!$Q$2:$Q$11,$F977)+INDEX(Accounts!$S$2:$S$11,$F977))))),"")</f>
        <v/>
      </c>
      <c r="I977" s="16">
        <f>IF(AND($A977="",$B977="",$C977="",$D977="",$E977=""),"",IF(OR($A977="",$F977=""),"UNKNOWN_ACCOUNT",IF(OR($B977="",$C977=""),"INCOMPLETE",IFERROR(IF(OR(NOT(ISNUMBER($B977)),NOT(ISNUMBER($C977)),IF(C977="",FALSE,IF(ISNUMBER(C977),OR(C977&lt;=0,C977&gt;100000000,ROUND(C977*100,6)&lt;&gt;INT(ROUND(C977*100,6))),TRUE)),IF(D977="",FALSE,IF(ISNUMBER(D977),OR(D977&lt;=0,D977&gt;100000000,ROUND(D977*100,6)&lt;&gt;INT(ROUND(D977*100,6))),TRUE)),IF(E977="",FALSE,IF(ISNUMBER(E977),OR(E977&lt;=0,E977&gt;100000000,ROUND(E977*100,6)&lt;&gt;INT(ROUND(E977*100,6))),TRUE)),AND($D977&lt;&gt;"",$D977&lt;MAX($C977,$E977)),AND($E977&lt;&gt;"",$E977&gt;MIN($C977,IF($D977="",$C977,$D977))),COUNTIFS($A$2:$A$1001,$A977,$B$2:$B$1001,$B977)&gt;1),"INVALID",IFERROR(IF(IF(INDEX(Accounts!$T$2:$T$11,$F977),ROUND(IF($E977="",$C977,MIN($C977,$E977))-(H977),6)&lt;=0,ROUND(IF($E977="",$C977,MIN($C977,$E977))-(H977),6)&lt;0),"BREACHED","OK"),"INCOMPLETE")),"INVALID"))))</f>
        <v/>
      </c>
      <c r="J977" s="33">
        <f>IF(OR(I977="OK",I977="BREACHED"),-INT(ROUND(-(H977)*100,6))/100,I977)</f>
        <v/>
      </c>
    </row>
    <row r="978" ht="18" customHeight="1">
      <c r="A978" s="9" t="n"/>
      <c r="B978" s="32" t="n"/>
      <c r="C978" s="12" t="n"/>
      <c r="D978" s="12" t="n"/>
      <c r="E978" s="12" t="n"/>
      <c r="F978" s="15">
        <f>IFERROR(MATCH($A978,Accounts!$A$2:$A$11,0),"")</f>
        <v/>
      </c>
      <c r="G978" s="14">
        <f>IFERROR(IF(OR($A978="",$F978=""),"",IF(INDEX(Accounts!$P$2:$P$11,$F978)="static",INDEX(Accounts!$Q$2:$Q$11,$F978),IF(INDEX(Accounts!$P$2:$P$11,$F978)="eod_trailing",MAX(INDEX(Accounts!$Q$2:$Q$11,$F978),_xlfn.MAXIFS($C$2:$C$1001,$A$2:$A$1001,$A978,$B$2:$B$1001,"&lt;"&amp;$B978)),MAX(INDEX(Accounts!$Q$2:$Q$11,$F978),_xlfn.MAXIFS($C$2:$C$1001,$A$2:$A$1001,$A978,$B$2:$B$1001,"&lt;"&amp;$B978),_xlfn.MAXIFS($D$2:$D$1001,$A$2:$A$1001,$A978,$B$2:$B$1001,"&lt;="&amp;$B978),$C978)))),"")</f>
        <v/>
      </c>
      <c r="H978" s="15">
        <f>IFERROR(IF(G978="","",IF(INDEX(Accounts!$P$2:$P$11,$F978)="static",INDEX(Accounts!$Q$2:$Q$11,$F978)-INDEX(Accounts!$R$2:$R$11,$F978),IF(INDEX(Accounts!$S$2:$S$11,$F978)="NONE",G978-INDEX(Accounts!$R$2:$R$11,$F978),MIN(G978-INDEX(Accounts!$R$2:$R$11,$F978),INDEX(Accounts!$Q$2:$Q$11,$F978)+INDEX(Accounts!$S$2:$S$11,$F978))))),"")</f>
        <v/>
      </c>
      <c r="I978" s="16">
        <f>IF(AND($A978="",$B978="",$C978="",$D978="",$E978=""),"",IF(OR($A978="",$F978=""),"UNKNOWN_ACCOUNT",IF(OR($B978="",$C978=""),"INCOMPLETE",IFERROR(IF(OR(NOT(ISNUMBER($B978)),NOT(ISNUMBER($C978)),IF(C978="",FALSE,IF(ISNUMBER(C978),OR(C978&lt;=0,C978&gt;100000000,ROUND(C978*100,6)&lt;&gt;INT(ROUND(C978*100,6))),TRUE)),IF(D978="",FALSE,IF(ISNUMBER(D978),OR(D978&lt;=0,D978&gt;100000000,ROUND(D978*100,6)&lt;&gt;INT(ROUND(D978*100,6))),TRUE)),IF(E978="",FALSE,IF(ISNUMBER(E978),OR(E978&lt;=0,E978&gt;100000000,ROUND(E978*100,6)&lt;&gt;INT(ROUND(E978*100,6))),TRUE)),AND($D978&lt;&gt;"",$D978&lt;MAX($C978,$E978)),AND($E978&lt;&gt;"",$E978&gt;MIN($C978,IF($D978="",$C978,$D978))),COUNTIFS($A$2:$A$1001,$A978,$B$2:$B$1001,$B978)&gt;1),"INVALID",IFERROR(IF(IF(INDEX(Accounts!$T$2:$T$11,$F978),ROUND(IF($E978="",$C978,MIN($C978,$E978))-(H978),6)&lt;=0,ROUND(IF($E978="",$C978,MIN($C978,$E978))-(H978),6)&lt;0),"BREACHED","OK"),"INCOMPLETE")),"INVALID"))))</f>
        <v/>
      </c>
      <c r="J978" s="33">
        <f>IF(OR(I978="OK",I978="BREACHED"),-INT(ROUND(-(H978)*100,6))/100,I978)</f>
        <v/>
      </c>
    </row>
    <row r="979" ht="18" customHeight="1">
      <c r="A979" s="9" t="n"/>
      <c r="B979" s="32" t="n"/>
      <c r="C979" s="12" t="n"/>
      <c r="D979" s="12" t="n"/>
      <c r="E979" s="12" t="n"/>
      <c r="F979" s="15">
        <f>IFERROR(MATCH($A979,Accounts!$A$2:$A$11,0),"")</f>
        <v/>
      </c>
      <c r="G979" s="14">
        <f>IFERROR(IF(OR($A979="",$F979=""),"",IF(INDEX(Accounts!$P$2:$P$11,$F979)="static",INDEX(Accounts!$Q$2:$Q$11,$F979),IF(INDEX(Accounts!$P$2:$P$11,$F979)="eod_trailing",MAX(INDEX(Accounts!$Q$2:$Q$11,$F979),_xlfn.MAXIFS($C$2:$C$1001,$A$2:$A$1001,$A979,$B$2:$B$1001,"&lt;"&amp;$B979)),MAX(INDEX(Accounts!$Q$2:$Q$11,$F979),_xlfn.MAXIFS($C$2:$C$1001,$A$2:$A$1001,$A979,$B$2:$B$1001,"&lt;"&amp;$B979),_xlfn.MAXIFS($D$2:$D$1001,$A$2:$A$1001,$A979,$B$2:$B$1001,"&lt;="&amp;$B979),$C979)))),"")</f>
        <v/>
      </c>
      <c r="H979" s="15">
        <f>IFERROR(IF(G979="","",IF(INDEX(Accounts!$P$2:$P$11,$F979)="static",INDEX(Accounts!$Q$2:$Q$11,$F979)-INDEX(Accounts!$R$2:$R$11,$F979),IF(INDEX(Accounts!$S$2:$S$11,$F979)="NONE",G979-INDEX(Accounts!$R$2:$R$11,$F979),MIN(G979-INDEX(Accounts!$R$2:$R$11,$F979),INDEX(Accounts!$Q$2:$Q$11,$F979)+INDEX(Accounts!$S$2:$S$11,$F979))))),"")</f>
        <v/>
      </c>
      <c r="I979" s="16">
        <f>IF(AND($A979="",$B979="",$C979="",$D979="",$E979=""),"",IF(OR($A979="",$F979=""),"UNKNOWN_ACCOUNT",IF(OR($B979="",$C979=""),"INCOMPLETE",IFERROR(IF(OR(NOT(ISNUMBER($B979)),NOT(ISNUMBER($C979)),IF(C979="",FALSE,IF(ISNUMBER(C979),OR(C979&lt;=0,C979&gt;100000000,ROUND(C979*100,6)&lt;&gt;INT(ROUND(C979*100,6))),TRUE)),IF(D979="",FALSE,IF(ISNUMBER(D979),OR(D979&lt;=0,D979&gt;100000000,ROUND(D979*100,6)&lt;&gt;INT(ROUND(D979*100,6))),TRUE)),IF(E979="",FALSE,IF(ISNUMBER(E979),OR(E979&lt;=0,E979&gt;100000000,ROUND(E979*100,6)&lt;&gt;INT(ROUND(E979*100,6))),TRUE)),AND($D979&lt;&gt;"",$D979&lt;MAX($C979,$E979)),AND($E979&lt;&gt;"",$E979&gt;MIN($C979,IF($D979="",$C979,$D979))),COUNTIFS($A$2:$A$1001,$A979,$B$2:$B$1001,$B979)&gt;1),"INVALID",IFERROR(IF(IF(INDEX(Accounts!$T$2:$T$11,$F979),ROUND(IF($E979="",$C979,MIN($C979,$E979))-(H979),6)&lt;=0,ROUND(IF($E979="",$C979,MIN($C979,$E979))-(H979),6)&lt;0),"BREACHED","OK"),"INCOMPLETE")),"INVALID"))))</f>
        <v/>
      </c>
      <c r="J979" s="33">
        <f>IF(OR(I979="OK",I979="BREACHED"),-INT(ROUND(-(H979)*100,6))/100,I979)</f>
        <v/>
      </c>
    </row>
    <row r="980" ht="18" customHeight="1">
      <c r="A980" s="9" t="n"/>
      <c r="B980" s="32" t="n"/>
      <c r="C980" s="12" t="n"/>
      <c r="D980" s="12" t="n"/>
      <c r="E980" s="12" t="n"/>
      <c r="F980" s="15">
        <f>IFERROR(MATCH($A980,Accounts!$A$2:$A$11,0),"")</f>
        <v/>
      </c>
      <c r="G980" s="14">
        <f>IFERROR(IF(OR($A980="",$F980=""),"",IF(INDEX(Accounts!$P$2:$P$11,$F980)="static",INDEX(Accounts!$Q$2:$Q$11,$F980),IF(INDEX(Accounts!$P$2:$P$11,$F980)="eod_trailing",MAX(INDEX(Accounts!$Q$2:$Q$11,$F980),_xlfn.MAXIFS($C$2:$C$1001,$A$2:$A$1001,$A980,$B$2:$B$1001,"&lt;"&amp;$B980)),MAX(INDEX(Accounts!$Q$2:$Q$11,$F980),_xlfn.MAXIFS($C$2:$C$1001,$A$2:$A$1001,$A980,$B$2:$B$1001,"&lt;"&amp;$B980),_xlfn.MAXIFS($D$2:$D$1001,$A$2:$A$1001,$A980,$B$2:$B$1001,"&lt;="&amp;$B980),$C980)))),"")</f>
        <v/>
      </c>
      <c r="H980" s="15">
        <f>IFERROR(IF(G980="","",IF(INDEX(Accounts!$P$2:$P$11,$F980)="static",INDEX(Accounts!$Q$2:$Q$11,$F980)-INDEX(Accounts!$R$2:$R$11,$F980),IF(INDEX(Accounts!$S$2:$S$11,$F980)="NONE",G980-INDEX(Accounts!$R$2:$R$11,$F980),MIN(G980-INDEX(Accounts!$R$2:$R$11,$F980),INDEX(Accounts!$Q$2:$Q$11,$F980)+INDEX(Accounts!$S$2:$S$11,$F980))))),"")</f>
        <v/>
      </c>
      <c r="I980" s="16">
        <f>IF(AND($A980="",$B980="",$C980="",$D980="",$E980=""),"",IF(OR($A980="",$F980=""),"UNKNOWN_ACCOUNT",IF(OR($B980="",$C980=""),"INCOMPLETE",IFERROR(IF(OR(NOT(ISNUMBER($B980)),NOT(ISNUMBER($C980)),IF(C980="",FALSE,IF(ISNUMBER(C980),OR(C980&lt;=0,C980&gt;100000000,ROUND(C980*100,6)&lt;&gt;INT(ROUND(C980*100,6))),TRUE)),IF(D980="",FALSE,IF(ISNUMBER(D980),OR(D980&lt;=0,D980&gt;100000000,ROUND(D980*100,6)&lt;&gt;INT(ROUND(D980*100,6))),TRUE)),IF(E980="",FALSE,IF(ISNUMBER(E980),OR(E980&lt;=0,E980&gt;100000000,ROUND(E980*100,6)&lt;&gt;INT(ROUND(E980*100,6))),TRUE)),AND($D980&lt;&gt;"",$D980&lt;MAX($C980,$E980)),AND($E980&lt;&gt;"",$E980&gt;MIN($C980,IF($D980="",$C980,$D980))),COUNTIFS($A$2:$A$1001,$A980,$B$2:$B$1001,$B980)&gt;1),"INVALID",IFERROR(IF(IF(INDEX(Accounts!$T$2:$T$11,$F980),ROUND(IF($E980="",$C980,MIN($C980,$E980))-(H980),6)&lt;=0,ROUND(IF($E980="",$C980,MIN($C980,$E980))-(H980),6)&lt;0),"BREACHED","OK"),"INCOMPLETE")),"INVALID"))))</f>
        <v/>
      </c>
      <c r="J980" s="33">
        <f>IF(OR(I980="OK",I980="BREACHED"),-INT(ROUND(-(H980)*100,6))/100,I980)</f>
        <v/>
      </c>
    </row>
    <row r="981" ht="18" customHeight="1">
      <c r="A981" s="9" t="n"/>
      <c r="B981" s="32" t="n"/>
      <c r="C981" s="12" t="n"/>
      <c r="D981" s="12" t="n"/>
      <c r="E981" s="12" t="n"/>
      <c r="F981" s="15">
        <f>IFERROR(MATCH($A981,Accounts!$A$2:$A$11,0),"")</f>
        <v/>
      </c>
      <c r="G981" s="14">
        <f>IFERROR(IF(OR($A981="",$F981=""),"",IF(INDEX(Accounts!$P$2:$P$11,$F981)="static",INDEX(Accounts!$Q$2:$Q$11,$F981),IF(INDEX(Accounts!$P$2:$P$11,$F981)="eod_trailing",MAX(INDEX(Accounts!$Q$2:$Q$11,$F981),_xlfn.MAXIFS($C$2:$C$1001,$A$2:$A$1001,$A981,$B$2:$B$1001,"&lt;"&amp;$B981)),MAX(INDEX(Accounts!$Q$2:$Q$11,$F981),_xlfn.MAXIFS($C$2:$C$1001,$A$2:$A$1001,$A981,$B$2:$B$1001,"&lt;"&amp;$B981),_xlfn.MAXIFS($D$2:$D$1001,$A$2:$A$1001,$A981,$B$2:$B$1001,"&lt;="&amp;$B981),$C981)))),"")</f>
        <v/>
      </c>
      <c r="H981" s="15">
        <f>IFERROR(IF(G981="","",IF(INDEX(Accounts!$P$2:$P$11,$F981)="static",INDEX(Accounts!$Q$2:$Q$11,$F981)-INDEX(Accounts!$R$2:$R$11,$F981),IF(INDEX(Accounts!$S$2:$S$11,$F981)="NONE",G981-INDEX(Accounts!$R$2:$R$11,$F981),MIN(G981-INDEX(Accounts!$R$2:$R$11,$F981),INDEX(Accounts!$Q$2:$Q$11,$F981)+INDEX(Accounts!$S$2:$S$11,$F981))))),"")</f>
        <v/>
      </c>
      <c r="I981" s="16">
        <f>IF(AND($A981="",$B981="",$C981="",$D981="",$E981=""),"",IF(OR($A981="",$F981=""),"UNKNOWN_ACCOUNT",IF(OR($B981="",$C981=""),"INCOMPLETE",IFERROR(IF(OR(NOT(ISNUMBER($B981)),NOT(ISNUMBER($C981)),IF(C981="",FALSE,IF(ISNUMBER(C981),OR(C981&lt;=0,C981&gt;100000000,ROUND(C981*100,6)&lt;&gt;INT(ROUND(C981*100,6))),TRUE)),IF(D981="",FALSE,IF(ISNUMBER(D981),OR(D981&lt;=0,D981&gt;100000000,ROUND(D981*100,6)&lt;&gt;INT(ROUND(D981*100,6))),TRUE)),IF(E981="",FALSE,IF(ISNUMBER(E981),OR(E981&lt;=0,E981&gt;100000000,ROUND(E981*100,6)&lt;&gt;INT(ROUND(E981*100,6))),TRUE)),AND($D981&lt;&gt;"",$D981&lt;MAX($C981,$E981)),AND($E981&lt;&gt;"",$E981&gt;MIN($C981,IF($D981="",$C981,$D981))),COUNTIFS($A$2:$A$1001,$A981,$B$2:$B$1001,$B981)&gt;1),"INVALID",IFERROR(IF(IF(INDEX(Accounts!$T$2:$T$11,$F981),ROUND(IF($E981="",$C981,MIN($C981,$E981))-(H981),6)&lt;=0,ROUND(IF($E981="",$C981,MIN($C981,$E981))-(H981),6)&lt;0),"BREACHED","OK"),"INCOMPLETE")),"INVALID"))))</f>
        <v/>
      </c>
      <c r="J981" s="33">
        <f>IF(OR(I981="OK",I981="BREACHED"),-INT(ROUND(-(H981)*100,6))/100,I981)</f>
        <v/>
      </c>
    </row>
    <row r="982" ht="18" customHeight="1">
      <c r="A982" s="9" t="n"/>
      <c r="B982" s="32" t="n"/>
      <c r="C982" s="12" t="n"/>
      <c r="D982" s="12" t="n"/>
      <c r="E982" s="12" t="n"/>
      <c r="F982" s="15">
        <f>IFERROR(MATCH($A982,Accounts!$A$2:$A$11,0),"")</f>
        <v/>
      </c>
      <c r="G982" s="14">
        <f>IFERROR(IF(OR($A982="",$F982=""),"",IF(INDEX(Accounts!$P$2:$P$11,$F982)="static",INDEX(Accounts!$Q$2:$Q$11,$F982),IF(INDEX(Accounts!$P$2:$P$11,$F982)="eod_trailing",MAX(INDEX(Accounts!$Q$2:$Q$11,$F982),_xlfn.MAXIFS($C$2:$C$1001,$A$2:$A$1001,$A982,$B$2:$B$1001,"&lt;"&amp;$B982)),MAX(INDEX(Accounts!$Q$2:$Q$11,$F982),_xlfn.MAXIFS($C$2:$C$1001,$A$2:$A$1001,$A982,$B$2:$B$1001,"&lt;"&amp;$B982),_xlfn.MAXIFS($D$2:$D$1001,$A$2:$A$1001,$A982,$B$2:$B$1001,"&lt;="&amp;$B982),$C982)))),"")</f>
        <v/>
      </c>
      <c r="H982" s="15">
        <f>IFERROR(IF(G982="","",IF(INDEX(Accounts!$P$2:$P$11,$F982)="static",INDEX(Accounts!$Q$2:$Q$11,$F982)-INDEX(Accounts!$R$2:$R$11,$F982),IF(INDEX(Accounts!$S$2:$S$11,$F982)="NONE",G982-INDEX(Accounts!$R$2:$R$11,$F982),MIN(G982-INDEX(Accounts!$R$2:$R$11,$F982),INDEX(Accounts!$Q$2:$Q$11,$F982)+INDEX(Accounts!$S$2:$S$11,$F982))))),"")</f>
        <v/>
      </c>
      <c r="I982" s="16">
        <f>IF(AND($A982="",$B982="",$C982="",$D982="",$E982=""),"",IF(OR($A982="",$F982=""),"UNKNOWN_ACCOUNT",IF(OR($B982="",$C982=""),"INCOMPLETE",IFERROR(IF(OR(NOT(ISNUMBER($B982)),NOT(ISNUMBER($C982)),IF(C982="",FALSE,IF(ISNUMBER(C982),OR(C982&lt;=0,C982&gt;100000000,ROUND(C982*100,6)&lt;&gt;INT(ROUND(C982*100,6))),TRUE)),IF(D982="",FALSE,IF(ISNUMBER(D982),OR(D982&lt;=0,D982&gt;100000000,ROUND(D982*100,6)&lt;&gt;INT(ROUND(D982*100,6))),TRUE)),IF(E982="",FALSE,IF(ISNUMBER(E982),OR(E982&lt;=0,E982&gt;100000000,ROUND(E982*100,6)&lt;&gt;INT(ROUND(E982*100,6))),TRUE)),AND($D982&lt;&gt;"",$D982&lt;MAX($C982,$E982)),AND($E982&lt;&gt;"",$E982&gt;MIN($C982,IF($D982="",$C982,$D982))),COUNTIFS($A$2:$A$1001,$A982,$B$2:$B$1001,$B982)&gt;1),"INVALID",IFERROR(IF(IF(INDEX(Accounts!$T$2:$T$11,$F982),ROUND(IF($E982="",$C982,MIN($C982,$E982))-(H982),6)&lt;=0,ROUND(IF($E982="",$C982,MIN($C982,$E982))-(H982),6)&lt;0),"BREACHED","OK"),"INCOMPLETE")),"INVALID"))))</f>
        <v/>
      </c>
      <c r="J982" s="33">
        <f>IF(OR(I982="OK",I982="BREACHED"),-INT(ROUND(-(H982)*100,6))/100,I982)</f>
        <v/>
      </c>
    </row>
    <row r="983" ht="18" customHeight="1">
      <c r="A983" s="9" t="n"/>
      <c r="B983" s="32" t="n"/>
      <c r="C983" s="12" t="n"/>
      <c r="D983" s="12" t="n"/>
      <c r="E983" s="12" t="n"/>
      <c r="F983" s="15">
        <f>IFERROR(MATCH($A983,Accounts!$A$2:$A$11,0),"")</f>
        <v/>
      </c>
      <c r="G983" s="14">
        <f>IFERROR(IF(OR($A983="",$F983=""),"",IF(INDEX(Accounts!$P$2:$P$11,$F983)="static",INDEX(Accounts!$Q$2:$Q$11,$F983),IF(INDEX(Accounts!$P$2:$P$11,$F983)="eod_trailing",MAX(INDEX(Accounts!$Q$2:$Q$11,$F983),_xlfn.MAXIFS($C$2:$C$1001,$A$2:$A$1001,$A983,$B$2:$B$1001,"&lt;"&amp;$B983)),MAX(INDEX(Accounts!$Q$2:$Q$11,$F983),_xlfn.MAXIFS($C$2:$C$1001,$A$2:$A$1001,$A983,$B$2:$B$1001,"&lt;"&amp;$B983),_xlfn.MAXIFS($D$2:$D$1001,$A$2:$A$1001,$A983,$B$2:$B$1001,"&lt;="&amp;$B983),$C983)))),"")</f>
        <v/>
      </c>
      <c r="H983" s="15">
        <f>IFERROR(IF(G983="","",IF(INDEX(Accounts!$P$2:$P$11,$F983)="static",INDEX(Accounts!$Q$2:$Q$11,$F983)-INDEX(Accounts!$R$2:$R$11,$F983),IF(INDEX(Accounts!$S$2:$S$11,$F983)="NONE",G983-INDEX(Accounts!$R$2:$R$11,$F983),MIN(G983-INDEX(Accounts!$R$2:$R$11,$F983),INDEX(Accounts!$Q$2:$Q$11,$F983)+INDEX(Accounts!$S$2:$S$11,$F983))))),"")</f>
        <v/>
      </c>
      <c r="I983" s="16">
        <f>IF(AND($A983="",$B983="",$C983="",$D983="",$E983=""),"",IF(OR($A983="",$F983=""),"UNKNOWN_ACCOUNT",IF(OR($B983="",$C983=""),"INCOMPLETE",IFERROR(IF(OR(NOT(ISNUMBER($B983)),NOT(ISNUMBER($C983)),IF(C983="",FALSE,IF(ISNUMBER(C983),OR(C983&lt;=0,C983&gt;100000000,ROUND(C983*100,6)&lt;&gt;INT(ROUND(C983*100,6))),TRUE)),IF(D983="",FALSE,IF(ISNUMBER(D983),OR(D983&lt;=0,D983&gt;100000000,ROUND(D983*100,6)&lt;&gt;INT(ROUND(D983*100,6))),TRUE)),IF(E983="",FALSE,IF(ISNUMBER(E983),OR(E983&lt;=0,E983&gt;100000000,ROUND(E983*100,6)&lt;&gt;INT(ROUND(E983*100,6))),TRUE)),AND($D983&lt;&gt;"",$D983&lt;MAX($C983,$E983)),AND($E983&lt;&gt;"",$E983&gt;MIN($C983,IF($D983="",$C983,$D983))),COUNTIFS($A$2:$A$1001,$A983,$B$2:$B$1001,$B983)&gt;1),"INVALID",IFERROR(IF(IF(INDEX(Accounts!$T$2:$T$11,$F983),ROUND(IF($E983="",$C983,MIN($C983,$E983))-(H983),6)&lt;=0,ROUND(IF($E983="",$C983,MIN($C983,$E983))-(H983),6)&lt;0),"BREACHED","OK"),"INCOMPLETE")),"INVALID"))))</f>
        <v/>
      </c>
      <c r="J983" s="33">
        <f>IF(OR(I983="OK",I983="BREACHED"),-INT(ROUND(-(H983)*100,6))/100,I983)</f>
        <v/>
      </c>
    </row>
    <row r="984" ht="18" customHeight="1">
      <c r="A984" s="9" t="n"/>
      <c r="B984" s="32" t="n"/>
      <c r="C984" s="12" t="n"/>
      <c r="D984" s="12" t="n"/>
      <c r="E984" s="12" t="n"/>
      <c r="F984" s="15">
        <f>IFERROR(MATCH($A984,Accounts!$A$2:$A$11,0),"")</f>
        <v/>
      </c>
      <c r="G984" s="14">
        <f>IFERROR(IF(OR($A984="",$F984=""),"",IF(INDEX(Accounts!$P$2:$P$11,$F984)="static",INDEX(Accounts!$Q$2:$Q$11,$F984),IF(INDEX(Accounts!$P$2:$P$11,$F984)="eod_trailing",MAX(INDEX(Accounts!$Q$2:$Q$11,$F984),_xlfn.MAXIFS($C$2:$C$1001,$A$2:$A$1001,$A984,$B$2:$B$1001,"&lt;"&amp;$B984)),MAX(INDEX(Accounts!$Q$2:$Q$11,$F984),_xlfn.MAXIFS($C$2:$C$1001,$A$2:$A$1001,$A984,$B$2:$B$1001,"&lt;"&amp;$B984),_xlfn.MAXIFS($D$2:$D$1001,$A$2:$A$1001,$A984,$B$2:$B$1001,"&lt;="&amp;$B984),$C984)))),"")</f>
        <v/>
      </c>
      <c r="H984" s="15">
        <f>IFERROR(IF(G984="","",IF(INDEX(Accounts!$P$2:$P$11,$F984)="static",INDEX(Accounts!$Q$2:$Q$11,$F984)-INDEX(Accounts!$R$2:$R$11,$F984),IF(INDEX(Accounts!$S$2:$S$11,$F984)="NONE",G984-INDEX(Accounts!$R$2:$R$11,$F984),MIN(G984-INDEX(Accounts!$R$2:$R$11,$F984),INDEX(Accounts!$Q$2:$Q$11,$F984)+INDEX(Accounts!$S$2:$S$11,$F984))))),"")</f>
        <v/>
      </c>
      <c r="I984" s="16">
        <f>IF(AND($A984="",$B984="",$C984="",$D984="",$E984=""),"",IF(OR($A984="",$F984=""),"UNKNOWN_ACCOUNT",IF(OR($B984="",$C984=""),"INCOMPLETE",IFERROR(IF(OR(NOT(ISNUMBER($B984)),NOT(ISNUMBER($C984)),IF(C984="",FALSE,IF(ISNUMBER(C984),OR(C984&lt;=0,C984&gt;100000000,ROUND(C984*100,6)&lt;&gt;INT(ROUND(C984*100,6))),TRUE)),IF(D984="",FALSE,IF(ISNUMBER(D984),OR(D984&lt;=0,D984&gt;100000000,ROUND(D984*100,6)&lt;&gt;INT(ROUND(D984*100,6))),TRUE)),IF(E984="",FALSE,IF(ISNUMBER(E984),OR(E984&lt;=0,E984&gt;100000000,ROUND(E984*100,6)&lt;&gt;INT(ROUND(E984*100,6))),TRUE)),AND($D984&lt;&gt;"",$D984&lt;MAX($C984,$E984)),AND($E984&lt;&gt;"",$E984&gt;MIN($C984,IF($D984="",$C984,$D984))),COUNTIFS($A$2:$A$1001,$A984,$B$2:$B$1001,$B984)&gt;1),"INVALID",IFERROR(IF(IF(INDEX(Accounts!$T$2:$T$11,$F984),ROUND(IF($E984="",$C984,MIN($C984,$E984))-(H984),6)&lt;=0,ROUND(IF($E984="",$C984,MIN($C984,$E984))-(H984),6)&lt;0),"BREACHED","OK"),"INCOMPLETE")),"INVALID"))))</f>
        <v/>
      </c>
      <c r="J984" s="33">
        <f>IF(OR(I984="OK",I984="BREACHED"),-INT(ROUND(-(H984)*100,6))/100,I984)</f>
        <v/>
      </c>
    </row>
    <row r="985" ht="18" customHeight="1">
      <c r="A985" s="9" t="n"/>
      <c r="B985" s="32" t="n"/>
      <c r="C985" s="12" t="n"/>
      <c r="D985" s="12" t="n"/>
      <c r="E985" s="12" t="n"/>
      <c r="F985" s="15">
        <f>IFERROR(MATCH($A985,Accounts!$A$2:$A$11,0),"")</f>
        <v/>
      </c>
      <c r="G985" s="14">
        <f>IFERROR(IF(OR($A985="",$F985=""),"",IF(INDEX(Accounts!$P$2:$P$11,$F985)="static",INDEX(Accounts!$Q$2:$Q$11,$F985),IF(INDEX(Accounts!$P$2:$P$11,$F985)="eod_trailing",MAX(INDEX(Accounts!$Q$2:$Q$11,$F985),_xlfn.MAXIFS($C$2:$C$1001,$A$2:$A$1001,$A985,$B$2:$B$1001,"&lt;"&amp;$B985)),MAX(INDEX(Accounts!$Q$2:$Q$11,$F985),_xlfn.MAXIFS($C$2:$C$1001,$A$2:$A$1001,$A985,$B$2:$B$1001,"&lt;"&amp;$B985),_xlfn.MAXIFS($D$2:$D$1001,$A$2:$A$1001,$A985,$B$2:$B$1001,"&lt;="&amp;$B985),$C985)))),"")</f>
        <v/>
      </c>
      <c r="H985" s="15">
        <f>IFERROR(IF(G985="","",IF(INDEX(Accounts!$P$2:$P$11,$F985)="static",INDEX(Accounts!$Q$2:$Q$11,$F985)-INDEX(Accounts!$R$2:$R$11,$F985),IF(INDEX(Accounts!$S$2:$S$11,$F985)="NONE",G985-INDEX(Accounts!$R$2:$R$11,$F985),MIN(G985-INDEX(Accounts!$R$2:$R$11,$F985),INDEX(Accounts!$Q$2:$Q$11,$F985)+INDEX(Accounts!$S$2:$S$11,$F985))))),"")</f>
        <v/>
      </c>
      <c r="I985" s="16">
        <f>IF(AND($A985="",$B985="",$C985="",$D985="",$E985=""),"",IF(OR($A985="",$F985=""),"UNKNOWN_ACCOUNT",IF(OR($B985="",$C985=""),"INCOMPLETE",IFERROR(IF(OR(NOT(ISNUMBER($B985)),NOT(ISNUMBER($C985)),IF(C985="",FALSE,IF(ISNUMBER(C985),OR(C985&lt;=0,C985&gt;100000000,ROUND(C985*100,6)&lt;&gt;INT(ROUND(C985*100,6))),TRUE)),IF(D985="",FALSE,IF(ISNUMBER(D985),OR(D985&lt;=0,D985&gt;100000000,ROUND(D985*100,6)&lt;&gt;INT(ROUND(D985*100,6))),TRUE)),IF(E985="",FALSE,IF(ISNUMBER(E985),OR(E985&lt;=0,E985&gt;100000000,ROUND(E985*100,6)&lt;&gt;INT(ROUND(E985*100,6))),TRUE)),AND($D985&lt;&gt;"",$D985&lt;MAX($C985,$E985)),AND($E985&lt;&gt;"",$E985&gt;MIN($C985,IF($D985="",$C985,$D985))),COUNTIFS($A$2:$A$1001,$A985,$B$2:$B$1001,$B985)&gt;1),"INVALID",IFERROR(IF(IF(INDEX(Accounts!$T$2:$T$11,$F985),ROUND(IF($E985="",$C985,MIN($C985,$E985))-(H985),6)&lt;=0,ROUND(IF($E985="",$C985,MIN($C985,$E985))-(H985),6)&lt;0),"BREACHED","OK"),"INCOMPLETE")),"INVALID"))))</f>
        <v/>
      </c>
      <c r="J985" s="33">
        <f>IF(OR(I985="OK",I985="BREACHED"),-INT(ROUND(-(H985)*100,6))/100,I985)</f>
        <v/>
      </c>
    </row>
    <row r="986" ht="18" customHeight="1">
      <c r="A986" s="9" t="n"/>
      <c r="B986" s="32" t="n"/>
      <c r="C986" s="12" t="n"/>
      <c r="D986" s="12" t="n"/>
      <c r="E986" s="12" t="n"/>
      <c r="F986" s="15">
        <f>IFERROR(MATCH($A986,Accounts!$A$2:$A$11,0),"")</f>
        <v/>
      </c>
      <c r="G986" s="14">
        <f>IFERROR(IF(OR($A986="",$F986=""),"",IF(INDEX(Accounts!$P$2:$P$11,$F986)="static",INDEX(Accounts!$Q$2:$Q$11,$F986),IF(INDEX(Accounts!$P$2:$P$11,$F986)="eod_trailing",MAX(INDEX(Accounts!$Q$2:$Q$11,$F986),_xlfn.MAXIFS($C$2:$C$1001,$A$2:$A$1001,$A986,$B$2:$B$1001,"&lt;"&amp;$B986)),MAX(INDEX(Accounts!$Q$2:$Q$11,$F986),_xlfn.MAXIFS($C$2:$C$1001,$A$2:$A$1001,$A986,$B$2:$B$1001,"&lt;"&amp;$B986),_xlfn.MAXIFS($D$2:$D$1001,$A$2:$A$1001,$A986,$B$2:$B$1001,"&lt;="&amp;$B986),$C986)))),"")</f>
        <v/>
      </c>
      <c r="H986" s="15">
        <f>IFERROR(IF(G986="","",IF(INDEX(Accounts!$P$2:$P$11,$F986)="static",INDEX(Accounts!$Q$2:$Q$11,$F986)-INDEX(Accounts!$R$2:$R$11,$F986),IF(INDEX(Accounts!$S$2:$S$11,$F986)="NONE",G986-INDEX(Accounts!$R$2:$R$11,$F986),MIN(G986-INDEX(Accounts!$R$2:$R$11,$F986),INDEX(Accounts!$Q$2:$Q$11,$F986)+INDEX(Accounts!$S$2:$S$11,$F986))))),"")</f>
        <v/>
      </c>
      <c r="I986" s="16">
        <f>IF(AND($A986="",$B986="",$C986="",$D986="",$E986=""),"",IF(OR($A986="",$F986=""),"UNKNOWN_ACCOUNT",IF(OR($B986="",$C986=""),"INCOMPLETE",IFERROR(IF(OR(NOT(ISNUMBER($B986)),NOT(ISNUMBER($C986)),IF(C986="",FALSE,IF(ISNUMBER(C986),OR(C986&lt;=0,C986&gt;100000000,ROUND(C986*100,6)&lt;&gt;INT(ROUND(C986*100,6))),TRUE)),IF(D986="",FALSE,IF(ISNUMBER(D986),OR(D986&lt;=0,D986&gt;100000000,ROUND(D986*100,6)&lt;&gt;INT(ROUND(D986*100,6))),TRUE)),IF(E986="",FALSE,IF(ISNUMBER(E986),OR(E986&lt;=0,E986&gt;100000000,ROUND(E986*100,6)&lt;&gt;INT(ROUND(E986*100,6))),TRUE)),AND($D986&lt;&gt;"",$D986&lt;MAX($C986,$E986)),AND($E986&lt;&gt;"",$E986&gt;MIN($C986,IF($D986="",$C986,$D986))),COUNTIFS($A$2:$A$1001,$A986,$B$2:$B$1001,$B986)&gt;1),"INVALID",IFERROR(IF(IF(INDEX(Accounts!$T$2:$T$11,$F986),ROUND(IF($E986="",$C986,MIN($C986,$E986))-(H986),6)&lt;=0,ROUND(IF($E986="",$C986,MIN($C986,$E986))-(H986),6)&lt;0),"BREACHED","OK"),"INCOMPLETE")),"INVALID"))))</f>
        <v/>
      </c>
      <c r="J986" s="33">
        <f>IF(OR(I986="OK",I986="BREACHED"),-INT(ROUND(-(H986)*100,6))/100,I986)</f>
        <v/>
      </c>
    </row>
    <row r="987" ht="18" customHeight="1">
      <c r="A987" s="9" t="n"/>
      <c r="B987" s="32" t="n"/>
      <c r="C987" s="12" t="n"/>
      <c r="D987" s="12" t="n"/>
      <c r="E987" s="12" t="n"/>
      <c r="F987" s="15">
        <f>IFERROR(MATCH($A987,Accounts!$A$2:$A$11,0),"")</f>
        <v/>
      </c>
      <c r="G987" s="14">
        <f>IFERROR(IF(OR($A987="",$F987=""),"",IF(INDEX(Accounts!$P$2:$P$11,$F987)="static",INDEX(Accounts!$Q$2:$Q$11,$F987),IF(INDEX(Accounts!$P$2:$P$11,$F987)="eod_trailing",MAX(INDEX(Accounts!$Q$2:$Q$11,$F987),_xlfn.MAXIFS($C$2:$C$1001,$A$2:$A$1001,$A987,$B$2:$B$1001,"&lt;"&amp;$B987)),MAX(INDEX(Accounts!$Q$2:$Q$11,$F987),_xlfn.MAXIFS($C$2:$C$1001,$A$2:$A$1001,$A987,$B$2:$B$1001,"&lt;"&amp;$B987),_xlfn.MAXIFS($D$2:$D$1001,$A$2:$A$1001,$A987,$B$2:$B$1001,"&lt;="&amp;$B987),$C987)))),"")</f>
        <v/>
      </c>
      <c r="H987" s="15">
        <f>IFERROR(IF(G987="","",IF(INDEX(Accounts!$P$2:$P$11,$F987)="static",INDEX(Accounts!$Q$2:$Q$11,$F987)-INDEX(Accounts!$R$2:$R$11,$F987),IF(INDEX(Accounts!$S$2:$S$11,$F987)="NONE",G987-INDEX(Accounts!$R$2:$R$11,$F987),MIN(G987-INDEX(Accounts!$R$2:$R$11,$F987),INDEX(Accounts!$Q$2:$Q$11,$F987)+INDEX(Accounts!$S$2:$S$11,$F987))))),"")</f>
        <v/>
      </c>
      <c r="I987" s="16">
        <f>IF(AND($A987="",$B987="",$C987="",$D987="",$E987=""),"",IF(OR($A987="",$F987=""),"UNKNOWN_ACCOUNT",IF(OR($B987="",$C987=""),"INCOMPLETE",IFERROR(IF(OR(NOT(ISNUMBER($B987)),NOT(ISNUMBER($C987)),IF(C987="",FALSE,IF(ISNUMBER(C987),OR(C987&lt;=0,C987&gt;100000000,ROUND(C987*100,6)&lt;&gt;INT(ROUND(C987*100,6))),TRUE)),IF(D987="",FALSE,IF(ISNUMBER(D987),OR(D987&lt;=0,D987&gt;100000000,ROUND(D987*100,6)&lt;&gt;INT(ROUND(D987*100,6))),TRUE)),IF(E987="",FALSE,IF(ISNUMBER(E987),OR(E987&lt;=0,E987&gt;100000000,ROUND(E987*100,6)&lt;&gt;INT(ROUND(E987*100,6))),TRUE)),AND($D987&lt;&gt;"",$D987&lt;MAX($C987,$E987)),AND($E987&lt;&gt;"",$E987&gt;MIN($C987,IF($D987="",$C987,$D987))),COUNTIFS($A$2:$A$1001,$A987,$B$2:$B$1001,$B987)&gt;1),"INVALID",IFERROR(IF(IF(INDEX(Accounts!$T$2:$T$11,$F987),ROUND(IF($E987="",$C987,MIN($C987,$E987))-(H987),6)&lt;=0,ROUND(IF($E987="",$C987,MIN($C987,$E987))-(H987),6)&lt;0),"BREACHED","OK"),"INCOMPLETE")),"INVALID"))))</f>
        <v/>
      </c>
      <c r="J987" s="33">
        <f>IF(OR(I987="OK",I987="BREACHED"),-INT(ROUND(-(H987)*100,6))/100,I987)</f>
        <v/>
      </c>
    </row>
    <row r="988" ht="18" customHeight="1">
      <c r="A988" s="9" t="n"/>
      <c r="B988" s="32" t="n"/>
      <c r="C988" s="12" t="n"/>
      <c r="D988" s="12" t="n"/>
      <c r="E988" s="12" t="n"/>
      <c r="F988" s="15">
        <f>IFERROR(MATCH($A988,Accounts!$A$2:$A$11,0),"")</f>
        <v/>
      </c>
      <c r="G988" s="14">
        <f>IFERROR(IF(OR($A988="",$F988=""),"",IF(INDEX(Accounts!$P$2:$P$11,$F988)="static",INDEX(Accounts!$Q$2:$Q$11,$F988),IF(INDEX(Accounts!$P$2:$P$11,$F988)="eod_trailing",MAX(INDEX(Accounts!$Q$2:$Q$11,$F988),_xlfn.MAXIFS($C$2:$C$1001,$A$2:$A$1001,$A988,$B$2:$B$1001,"&lt;"&amp;$B988)),MAX(INDEX(Accounts!$Q$2:$Q$11,$F988),_xlfn.MAXIFS($C$2:$C$1001,$A$2:$A$1001,$A988,$B$2:$B$1001,"&lt;"&amp;$B988),_xlfn.MAXIFS($D$2:$D$1001,$A$2:$A$1001,$A988,$B$2:$B$1001,"&lt;="&amp;$B988),$C988)))),"")</f>
        <v/>
      </c>
      <c r="H988" s="15">
        <f>IFERROR(IF(G988="","",IF(INDEX(Accounts!$P$2:$P$11,$F988)="static",INDEX(Accounts!$Q$2:$Q$11,$F988)-INDEX(Accounts!$R$2:$R$11,$F988),IF(INDEX(Accounts!$S$2:$S$11,$F988)="NONE",G988-INDEX(Accounts!$R$2:$R$11,$F988),MIN(G988-INDEX(Accounts!$R$2:$R$11,$F988),INDEX(Accounts!$Q$2:$Q$11,$F988)+INDEX(Accounts!$S$2:$S$11,$F988))))),"")</f>
        <v/>
      </c>
      <c r="I988" s="16">
        <f>IF(AND($A988="",$B988="",$C988="",$D988="",$E988=""),"",IF(OR($A988="",$F988=""),"UNKNOWN_ACCOUNT",IF(OR($B988="",$C988=""),"INCOMPLETE",IFERROR(IF(OR(NOT(ISNUMBER($B988)),NOT(ISNUMBER($C988)),IF(C988="",FALSE,IF(ISNUMBER(C988),OR(C988&lt;=0,C988&gt;100000000,ROUND(C988*100,6)&lt;&gt;INT(ROUND(C988*100,6))),TRUE)),IF(D988="",FALSE,IF(ISNUMBER(D988),OR(D988&lt;=0,D988&gt;100000000,ROUND(D988*100,6)&lt;&gt;INT(ROUND(D988*100,6))),TRUE)),IF(E988="",FALSE,IF(ISNUMBER(E988),OR(E988&lt;=0,E988&gt;100000000,ROUND(E988*100,6)&lt;&gt;INT(ROUND(E988*100,6))),TRUE)),AND($D988&lt;&gt;"",$D988&lt;MAX($C988,$E988)),AND($E988&lt;&gt;"",$E988&gt;MIN($C988,IF($D988="",$C988,$D988))),COUNTIFS($A$2:$A$1001,$A988,$B$2:$B$1001,$B988)&gt;1),"INVALID",IFERROR(IF(IF(INDEX(Accounts!$T$2:$T$11,$F988),ROUND(IF($E988="",$C988,MIN($C988,$E988))-(H988),6)&lt;=0,ROUND(IF($E988="",$C988,MIN($C988,$E988))-(H988),6)&lt;0),"BREACHED","OK"),"INCOMPLETE")),"INVALID"))))</f>
        <v/>
      </c>
      <c r="J988" s="33">
        <f>IF(OR(I988="OK",I988="BREACHED"),-INT(ROUND(-(H988)*100,6))/100,I988)</f>
        <v/>
      </c>
    </row>
    <row r="989" ht="18" customHeight="1">
      <c r="A989" s="9" t="n"/>
      <c r="B989" s="32" t="n"/>
      <c r="C989" s="12" t="n"/>
      <c r="D989" s="12" t="n"/>
      <c r="E989" s="12" t="n"/>
      <c r="F989" s="15">
        <f>IFERROR(MATCH($A989,Accounts!$A$2:$A$11,0),"")</f>
        <v/>
      </c>
      <c r="G989" s="14">
        <f>IFERROR(IF(OR($A989="",$F989=""),"",IF(INDEX(Accounts!$P$2:$P$11,$F989)="static",INDEX(Accounts!$Q$2:$Q$11,$F989),IF(INDEX(Accounts!$P$2:$P$11,$F989)="eod_trailing",MAX(INDEX(Accounts!$Q$2:$Q$11,$F989),_xlfn.MAXIFS($C$2:$C$1001,$A$2:$A$1001,$A989,$B$2:$B$1001,"&lt;"&amp;$B989)),MAX(INDEX(Accounts!$Q$2:$Q$11,$F989),_xlfn.MAXIFS($C$2:$C$1001,$A$2:$A$1001,$A989,$B$2:$B$1001,"&lt;"&amp;$B989),_xlfn.MAXIFS($D$2:$D$1001,$A$2:$A$1001,$A989,$B$2:$B$1001,"&lt;="&amp;$B989),$C989)))),"")</f>
        <v/>
      </c>
      <c r="H989" s="15">
        <f>IFERROR(IF(G989="","",IF(INDEX(Accounts!$P$2:$P$11,$F989)="static",INDEX(Accounts!$Q$2:$Q$11,$F989)-INDEX(Accounts!$R$2:$R$11,$F989),IF(INDEX(Accounts!$S$2:$S$11,$F989)="NONE",G989-INDEX(Accounts!$R$2:$R$11,$F989),MIN(G989-INDEX(Accounts!$R$2:$R$11,$F989),INDEX(Accounts!$Q$2:$Q$11,$F989)+INDEX(Accounts!$S$2:$S$11,$F989))))),"")</f>
        <v/>
      </c>
      <c r="I989" s="16">
        <f>IF(AND($A989="",$B989="",$C989="",$D989="",$E989=""),"",IF(OR($A989="",$F989=""),"UNKNOWN_ACCOUNT",IF(OR($B989="",$C989=""),"INCOMPLETE",IFERROR(IF(OR(NOT(ISNUMBER($B989)),NOT(ISNUMBER($C989)),IF(C989="",FALSE,IF(ISNUMBER(C989),OR(C989&lt;=0,C989&gt;100000000,ROUND(C989*100,6)&lt;&gt;INT(ROUND(C989*100,6))),TRUE)),IF(D989="",FALSE,IF(ISNUMBER(D989),OR(D989&lt;=0,D989&gt;100000000,ROUND(D989*100,6)&lt;&gt;INT(ROUND(D989*100,6))),TRUE)),IF(E989="",FALSE,IF(ISNUMBER(E989),OR(E989&lt;=0,E989&gt;100000000,ROUND(E989*100,6)&lt;&gt;INT(ROUND(E989*100,6))),TRUE)),AND($D989&lt;&gt;"",$D989&lt;MAX($C989,$E989)),AND($E989&lt;&gt;"",$E989&gt;MIN($C989,IF($D989="",$C989,$D989))),COUNTIFS($A$2:$A$1001,$A989,$B$2:$B$1001,$B989)&gt;1),"INVALID",IFERROR(IF(IF(INDEX(Accounts!$T$2:$T$11,$F989),ROUND(IF($E989="",$C989,MIN($C989,$E989))-(H989),6)&lt;=0,ROUND(IF($E989="",$C989,MIN($C989,$E989))-(H989),6)&lt;0),"BREACHED","OK"),"INCOMPLETE")),"INVALID"))))</f>
        <v/>
      </c>
      <c r="J989" s="33">
        <f>IF(OR(I989="OK",I989="BREACHED"),-INT(ROUND(-(H989)*100,6))/100,I989)</f>
        <v/>
      </c>
    </row>
    <row r="990" ht="18" customHeight="1">
      <c r="A990" s="9" t="n"/>
      <c r="B990" s="32" t="n"/>
      <c r="C990" s="12" t="n"/>
      <c r="D990" s="12" t="n"/>
      <c r="E990" s="12" t="n"/>
      <c r="F990" s="15">
        <f>IFERROR(MATCH($A990,Accounts!$A$2:$A$11,0),"")</f>
        <v/>
      </c>
      <c r="G990" s="14">
        <f>IFERROR(IF(OR($A990="",$F990=""),"",IF(INDEX(Accounts!$P$2:$P$11,$F990)="static",INDEX(Accounts!$Q$2:$Q$11,$F990),IF(INDEX(Accounts!$P$2:$P$11,$F990)="eod_trailing",MAX(INDEX(Accounts!$Q$2:$Q$11,$F990),_xlfn.MAXIFS($C$2:$C$1001,$A$2:$A$1001,$A990,$B$2:$B$1001,"&lt;"&amp;$B990)),MAX(INDEX(Accounts!$Q$2:$Q$11,$F990),_xlfn.MAXIFS($C$2:$C$1001,$A$2:$A$1001,$A990,$B$2:$B$1001,"&lt;"&amp;$B990),_xlfn.MAXIFS($D$2:$D$1001,$A$2:$A$1001,$A990,$B$2:$B$1001,"&lt;="&amp;$B990),$C990)))),"")</f>
        <v/>
      </c>
      <c r="H990" s="15">
        <f>IFERROR(IF(G990="","",IF(INDEX(Accounts!$P$2:$P$11,$F990)="static",INDEX(Accounts!$Q$2:$Q$11,$F990)-INDEX(Accounts!$R$2:$R$11,$F990),IF(INDEX(Accounts!$S$2:$S$11,$F990)="NONE",G990-INDEX(Accounts!$R$2:$R$11,$F990),MIN(G990-INDEX(Accounts!$R$2:$R$11,$F990),INDEX(Accounts!$Q$2:$Q$11,$F990)+INDEX(Accounts!$S$2:$S$11,$F990))))),"")</f>
        <v/>
      </c>
      <c r="I990" s="16">
        <f>IF(AND($A990="",$B990="",$C990="",$D990="",$E990=""),"",IF(OR($A990="",$F990=""),"UNKNOWN_ACCOUNT",IF(OR($B990="",$C990=""),"INCOMPLETE",IFERROR(IF(OR(NOT(ISNUMBER($B990)),NOT(ISNUMBER($C990)),IF(C990="",FALSE,IF(ISNUMBER(C990),OR(C990&lt;=0,C990&gt;100000000,ROUND(C990*100,6)&lt;&gt;INT(ROUND(C990*100,6))),TRUE)),IF(D990="",FALSE,IF(ISNUMBER(D990),OR(D990&lt;=0,D990&gt;100000000,ROUND(D990*100,6)&lt;&gt;INT(ROUND(D990*100,6))),TRUE)),IF(E990="",FALSE,IF(ISNUMBER(E990),OR(E990&lt;=0,E990&gt;100000000,ROUND(E990*100,6)&lt;&gt;INT(ROUND(E990*100,6))),TRUE)),AND($D990&lt;&gt;"",$D990&lt;MAX($C990,$E990)),AND($E990&lt;&gt;"",$E990&gt;MIN($C990,IF($D990="",$C990,$D990))),COUNTIFS($A$2:$A$1001,$A990,$B$2:$B$1001,$B990)&gt;1),"INVALID",IFERROR(IF(IF(INDEX(Accounts!$T$2:$T$11,$F990),ROUND(IF($E990="",$C990,MIN($C990,$E990))-(H990),6)&lt;=0,ROUND(IF($E990="",$C990,MIN($C990,$E990))-(H990),6)&lt;0),"BREACHED","OK"),"INCOMPLETE")),"INVALID"))))</f>
        <v/>
      </c>
      <c r="J990" s="33">
        <f>IF(OR(I990="OK",I990="BREACHED"),-INT(ROUND(-(H990)*100,6))/100,I990)</f>
        <v/>
      </c>
    </row>
    <row r="991" ht="18" customHeight="1">
      <c r="A991" s="9" t="n"/>
      <c r="B991" s="32" t="n"/>
      <c r="C991" s="12" t="n"/>
      <c r="D991" s="12" t="n"/>
      <c r="E991" s="12" t="n"/>
      <c r="F991" s="15">
        <f>IFERROR(MATCH($A991,Accounts!$A$2:$A$11,0),"")</f>
        <v/>
      </c>
      <c r="G991" s="14">
        <f>IFERROR(IF(OR($A991="",$F991=""),"",IF(INDEX(Accounts!$P$2:$P$11,$F991)="static",INDEX(Accounts!$Q$2:$Q$11,$F991),IF(INDEX(Accounts!$P$2:$P$11,$F991)="eod_trailing",MAX(INDEX(Accounts!$Q$2:$Q$11,$F991),_xlfn.MAXIFS($C$2:$C$1001,$A$2:$A$1001,$A991,$B$2:$B$1001,"&lt;"&amp;$B991)),MAX(INDEX(Accounts!$Q$2:$Q$11,$F991),_xlfn.MAXIFS($C$2:$C$1001,$A$2:$A$1001,$A991,$B$2:$B$1001,"&lt;"&amp;$B991),_xlfn.MAXIFS($D$2:$D$1001,$A$2:$A$1001,$A991,$B$2:$B$1001,"&lt;="&amp;$B991),$C991)))),"")</f>
        <v/>
      </c>
      <c r="H991" s="15">
        <f>IFERROR(IF(G991="","",IF(INDEX(Accounts!$P$2:$P$11,$F991)="static",INDEX(Accounts!$Q$2:$Q$11,$F991)-INDEX(Accounts!$R$2:$R$11,$F991),IF(INDEX(Accounts!$S$2:$S$11,$F991)="NONE",G991-INDEX(Accounts!$R$2:$R$11,$F991),MIN(G991-INDEX(Accounts!$R$2:$R$11,$F991),INDEX(Accounts!$Q$2:$Q$11,$F991)+INDEX(Accounts!$S$2:$S$11,$F991))))),"")</f>
        <v/>
      </c>
      <c r="I991" s="16">
        <f>IF(AND($A991="",$B991="",$C991="",$D991="",$E991=""),"",IF(OR($A991="",$F991=""),"UNKNOWN_ACCOUNT",IF(OR($B991="",$C991=""),"INCOMPLETE",IFERROR(IF(OR(NOT(ISNUMBER($B991)),NOT(ISNUMBER($C991)),IF(C991="",FALSE,IF(ISNUMBER(C991),OR(C991&lt;=0,C991&gt;100000000,ROUND(C991*100,6)&lt;&gt;INT(ROUND(C991*100,6))),TRUE)),IF(D991="",FALSE,IF(ISNUMBER(D991),OR(D991&lt;=0,D991&gt;100000000,ROUND(D991*100,6)&lt;&gt;INT(ROUND(D991*100,6))),TRUE)),IF(E991="",FALSE,IF(ISNUMBER(E991),OR(E991&lt;=0,E991&gt;100000000,ROUND(E991*100,6)&lt;&gt;INT(ROUND(E991*100,6))),TRUE)),AND($D991&lt;&gt;"",$D991&lt;MAX($C991,$E991)),AND($E991&lt;&gt;"",$E991&gt;MIN($C991,IF($D991="",$C991,$D991))),COUNTIFS($A$2:$A$1001,$A991,$B$2:$B$1001,$B991)&gt;1),"INVALID",IFERROR(IF(IF(INDEX(Accounts!$T$2:$T$11,$F991),ROUND(IF($E991="",$C991,MIN($C991,$E991))-(H991),6)&lt;=0,ROUND(IF($E991="",$C991,MIN($C991,$E991))-(H991),6)&lt;0),"BREACHED","OK"),"INCOMPLETE")),"INVALID"))))</f>
        <v/>
      </c>
      <c r="J991" s="33">
        <f>IF(OR(I991="OK",I991="BREACHED"),-INT(ROUND(-(H991)*100,6))/100,I991)</f>
        <v/>
      </c>
    </row>
    <row r="992" ht="18" customHeight="1">
      <c r="A992" s="9" t="n"/>
      <c r="B992" s="32" t="n"/>
      <c r="C992" s="12" t="n"/>
      <c r="D992" s="12" t="n"/>
      <c r="E992" s="12" t="n"/>
      <c r="F992" s="15">
        <f>IFERROR(MATCH($A992,Accounts!$A$2:$A$11,0),"")</f>
        <v/>
      </c>
      <c r="G992" s="14">
        <f>IFERROR(IF(OR($A992="",$F992=""),"",IF(INDEX(Accounts!$P$2:$P$11,$F992)="static",INDEX(Accounts!$Q$2:$Q$11,$F992),IF(INDEX(Accounts!$P$2:$P$11,$F992)="eod_trailing",MAX(INDEX(Accounts!$Q$2:$Q$11,$F992),_xlfn.MAXIFS($C$2:$C$1001,$A$2:$A$1001,$A992,$B$2:$B$1001,"&lt;"&amp;$B992)),MAX(INDEX(Accounts!$Q$2:$Q$11,$F992),_xlfn.MAXIFS($C$2:$C$1001,$A$2:$A$1001,$A992,$B$2:$B$1001,"&lt;"&amp;$B992),_xlfn.MAXIFS($D$2:$D$1001,$A$2:$A$1001,$A992,$B$2:$B$1001,"&lt;="&amp;$B992),$C992)))),"")</f>
        <v/>
      </c>
      <c r="H992" s="15">
        <f>IFERROR(IF(G992="","",IF(INDEX(Accounts!$P$2:$P$11,$F992)="static",INDEX(Accounts!$Q$2:$Q$11,$F992)-INDEX(Accounts!$R$2:$R$11,$F992),IF(INDEX(Accounts!$S$2:$S$11,$F992)="NONE",G992-INDEX(Accounts!$R$2:$R$11,$F992),MIN(G992-INDEX(Accounts!$R$2:$R$11,$F992),INDEX(Accounts!$Q$2:$Q$11,$F992)+INDEX(Accounts!$S$2:$S$11,$F992))))),"")</f>
        <v/>
      </c>
      <c r="I992" s="16">
        <f>IF(AND($A992="",$B992="",$C992="",$D992="",$E992=""),"",IF(OR($A992="",$F992=""),"UNKNOWN_ACCOUNT",IF(OR($B992="",$C992=""),"INCOMPLETE",IFERROR(IF(OR(NOT(ISNUMBER($B992)),NOT(ISNUMBER($C992)),IF(C992="",FALSE,IF(ISNUMBER(C992),OR(C992&lt;=0,C992&gt;100000000,ROUND(C992*100,6)&lt;&gt;INT(ROUND(C992*100,6))),TRUE)),IF(D992="",FALSE,IF(ISNUMBER(D992),OR(D992&lt;=0,D992&gt;100000000,ROUND(D992*100,6)&lt;&gt;INT(ROUND(D992*100,6))),TRUE)),IF(E992="",FALSE,IF(ISNUMBER(E992),OR(E992&lt;=0,E992&gt;100000000,ROUND(E992*100,6)&lt;&gt;INT(ROUND(E992*100,6))),TRUE)),AND($D992&lt;&gt;"",$D992&lt;MAX($C992,$E992)),AND($E992&lt;&gt;"",$E992&gt;MIN($C992,IF($D992="",$C992,$D992))),COUNTIFS($A$2:$A$1001,$A992,$B$2:$B$1001,$B992)&gt;1),"INVALID",IFERROR(IF(IF(INDEX(Accounts!$T$2:$T$11,$F992),ROUND(IF($E992="",$C992,MIN($C992,$E992))-(H992),6)&lt;=0,ROUND(IF($E992="",$C992,MIN($C992,$E992))-(H992),6)&lt;0),"BREACHED","OK"),"INCOMPLETE")),"INVALID"))))</f>
        <v/>
      </c>
      <c r="J992" s="33">
        <f>IF(OR(I992="OK",I992="BREACHED"),-INT(ROUND(-(H992)*100,6))/100,I992)</f>
        <v/>
      </c>
    </row>
    <row r="993" ht="18" customHeight="1">
      <c r="A993" s="9" t="n"/>
      <c r="B993" s="32" t="n"/>
      <c r="C993" s="12" t="n"/>
      <c r="D993" s="12" t="n"/>
      <c r="E993" s="12" t="n"/>
      <c r="F993" s="15">
        <f>IFERROR(MATCH($A993,Accounts!$A$2:$A$11,0),"")</f>
        <v/>
      </c>
      <c r="G993" s="14">
        <f>IFERROR(IF(OR($A993="",$F993=""),"",IF(INDEX(Accounts!$P$2:$P$11,$F993)="static",INDEX(Accounts!$Q$2:$Q$11,$F993),IF(INDEX(Accounts!$P$2:$P$11,$F993)="eod_trailing",MAX(INDEX(Accounts!$Q$2:$Q$11,$F993),_xlfn.MAXIFS($C$2:$C$1001,$A$2:$A$1001,$A993,$B$2:$B$1001,"&lt;"&amp;$B993)),MAX(INDEX(Accounts!$Q$2:$Q$11,$F993),_xlfn.MAXIFS($C$2:$C$1001,$A$2:$A$1001,$A993,$B$2:$B$1001,"&lt;"&amp;$B993),_xlfn.MAXIFS($D$2:$D$1001,$A$2:$A$1001,$A993,$B$2:$B$1001,"&lt;="&amp;$B993),$C993)))),"")</f>
        <v/>
      </c>
      <c r="H993" s="15">
        <f>IFERROR(IF(G993="","",IF(INDEX(Accounts!$P$2:$P$11,$F993)="static",INDEX(Accounts!$Q$2:$Q$11,$F993)-INDEX(Accounts!$R$2:$R$11,$F993),IF(INDEX(Accounts!$S$2:$S$11,$F993)="NONE",G993-INDEX(Accounts!$R$2:$R$11,$F993),MIN(G993-INDEX(Accounts!$R$2:$R$11,$F993),INDEX(Accounts!$Q$2:$Q$11,$F993)+INDEX(Accounts!$S$2:$S$11,$F993))))),"")</f>
        <v/>
      </c>
      <c r="I993" s="16">
        <f>IF(AND($A993="",$B993="",$C993="",$D993="",$E993=""),"",IF(OR($A993="",$F993=""),"UNKNOWN_ACCOUNT",IF(OR($B993="",$C993=""),"INCOMPLETE",IFERROR(IF(OR(NOT(ISNUMBER($B993)),NOT(ISNUMBER($C993)),IF(C993="",FALSE,IF(ISNUMBER(C993),OR(C993&lt;=0,C993&gt;100000000,ROUND(C993*100,6)&lt;&gt;INT(ROUND(C993*100,6))),TRUE)),IF(D993="",FALSE,IF(ISNUMBER(D993),OR(D993&lt;=0,D993&gt;100000000,ROUND(D993*100,6)&lt;&gt;INT(ROUND(D993*100,6))),TRUE)),IF(E993="",FALSE,IF(ISNUMBER(E993),OR(E993&lt;=0,E993&gt;100000000,ROUND(E993*100,6)&lt;&gt;INT(ROUND(E993*100,6))),TRUE)),AND($D993&lt;&gt;"",$D993&lt;MAX($C993,$E993)),AND($E993&lt;&gt;"",$E993&gt;MIN($C993,IF($D993="",$C993,$D993))),COUNTIFS($A$2:$A$1001,$A993,$B$2:$B$1001,$B993)&gt;1),"INVALID",IFERROR(IF(IF(INDEX(Accounts!$T$2:$T$11,$F993),ROUND(IF($E993="",$C993,MIN($C993,$E993))-(H993),6)&lt;=0,ROUND(IF($E993="",$C993,MIN($C993,$E993))-(H993),6)&lt;0),"BREACHED","OK"),"INCOMPLETE")),"INVALID"))))</f>
        <v/>
      </c>
      <c r="J993" s="33">
        <f>IF(OR(I993="OK",I993="BREACHED"),-INT(ROUND(-(H993)*100,6))/100,I993)</f>
        <v/>
      </c>
    </row>
    <row r="994" ht="18" customHeight="1">
      <c r="A994" s="9" t="n"/>
      <c r="B994" s="32" t="n"/>
      <c r="C994" s="12" t="n"/>
      <c r="D994" s="12" t="n"/>
      <c r="E994" s="12" t="n"/>
      <c r="F994" s="15">
        <f>IFERROR(MATCH($A994,Accounts!$A$2:$A$11,0),"")</f>
        <v/>
      </c>
      <c r="G994" s="14">
        <f>IFERROR(IF(OR($A994="",$F994=""),"",IF(INDEX(Accounts!$P$2:$P$11,$F994)="static",INDEX(Accounts!$Q$2:$Q$11,$F994),IF(INDEX(Accounts!$P$2:$P$11,$F994)="eod_trailing",MAX(INDEX(Accounts!$Q$2:$Q$11,$F994),_xlfn.MAXIFS($C$2:$C$1001,$A$2:$A$1001,$A994,$B$2:$B$1001,"&lt;"&amp;$B994)),MAX(INDEX(Accounts!$Q$2:$Q$11,$F994),_xlfn.MAXIFS($C$2:$C$1001,$A$2:$A$1001,$A994,$B$2:$B$1001,"&lt;"&amp;$B994),_xlfn.MAXIFS($D$2:$D$1001,$A$2:$A$1001,$A994,$B$2:$B$1001,"&lt;="&amp;$B994),$C994)))),"")</f>
        <v/>
      </c>
      <c r="H994" s="15">
        <f>IFERROR(IF(G994="","",IF(INDEX(Accounts!$P$2:$P$11,$F994)="static",INDEX(Accounts!$Q$2:$Q$11,$F994)-INDEX(Accounts!$R$2:$R$11,$F994),IF(INDEX(Accounts!$S$2:$S$11,$F994)="NONE",G994-INDEX(Accounts!$R$2:$R$11,$F994),MIN(G994-INDEX(Accounts!$R$2:$R$11,$F994),INDEX(Accounts!$Q$2:$Q$11,$F994)+INDEX(Accounts!$S$2:$S$11,$F994))))),"")</f>
        <v/>
      </c>
      <c r="I994" s="16">
        <f>IF(AND($A994="",$B994="",$C994="",$D994="",$E994=""),"",IF(OR($A994="",$F994=""),"UNKNOWN_ACCOUNT",IF(OR($B994="",$C994=""),"INCOMPLETE",IFERROR(IF(OR(NOT(ISNUMBER($B994)),NOT(ISNUMBER($C994)),IF(C994="",FALSE,IF(ISNUMBER(C994),OR(C994&lt;=0,C994&gt;100000000,ROUND(C994*100,6)&lt;&gt;INT(ROUND(C994*100,6))),TRUE)),IF(D994="",FALSE,IF(ISNUMBER(D994),OR(D994&lt;=0,D994&gt;100000000,ROUND(D994*100,6)&lt;&gt;INT(ROUND(D994*100,6))),TRUE)),IF(E994="",FALSE,IF(ISNUMBER(E994),OR(E994&lt;=0,E994&gt;100000000,ROUND(E994*100,6)&lt;&gt;INT(ROUND(E994*100,6))),TRUE)),AND($D994&lt;&gt;"",$D994&lt;MAX($C994,$E994)),AND($E994&lt;&gt;"",$E994&gt;MIN($C994,IF($D994="",$C994,$D994))),COUNTIFS($A$2:$A$1001,$A994,$B$2:$B$1001,$B994)&gt;1),"INVALID",IFERROR(IF(IF(INDEX(Accounts!$T$2:$T$11,$F994),ROUND(IF($E994="",$C994,MIN($C994,$E994))-(H994),6)&lt;=0,ROUND(IF($E994="",$C994,MIN($C994,$E994))-(H994),6)&lt;0),"BREACHED","OK"),"INCOMPLETE")),"INVALID"))))</f>
        <v/>
      </c>
      <c r="J994" s="33">
        <f>IF(OR(I994="OK",I994="BREACHED"),-INT(ROUND(-(H994)*100,6))/100,I994)</f>
        <v/>
      </c>
    </row>
    <row r="995" ht="18" customHeight="1">
      <c r="A995" s="9" t="n"/>
      <c r="B995" s="32" t="n"/>
      <c r="C995" s="12" t="n"/>
      <c r="D995" s="12" t="n"/>
      <c r="E995" s="12" t="n"/>
      <c r="F995" s="15">
        <f>IFERROR(MATCH($A995,Accounts!$A$2:$A$11,0),"")</f>
        <v/>
      </c>
      <c r="G995" s="14">
        <f>IFERROR(IF(OR($A995="",$F995=""),"",IF(INDEX(Accounts!$P$2:$P$11,$F995)="static",INDEX(Accounts!$Q$2:$Q$11,$F995),IF(INDEX(Accounts!$P$2:$P$11,$F995)="eod_trailing",MAX(INDEX(Accounts!$Q$2:$Q$11,$F995),_xlfn.MAXIFS($C$2:$C$1001,$A$2:$A$1001,$A995,$B$2:$B$1001,"&lt;"&amp;$B995)),MAX(INDEX(Accounts!$Q$2:$Q$11,$F995),_xlfn.MAXIFS($C$2:$C$1001,$A$2:$A$1001,$A995,$B$2:$B$1001,"&lt;"&amp;$B995),_xlfn.MAXIFS($D$2:$D$1001,$A$2:$A$1001,$A995,$B$2:$B$1001,"&lt;="&amp;$B995),$C995)))),"")</f>
        <v/>
      </c>
      <c r="H995" s="15">
        <f>IFERROR(IF(G995="","",IF(INDEX(Accounts!$P$2:$P$11,$F995)="static",INDEX(Accounts!$Q$2:$Q$11,$F995)-INDEX(Accounts!$R$2:$R$11,$F995),IF(INDEX(Accounts!$S$2:$S$11,$F995)="NONE",G995-INDEX(Accounts!$R$2:$R$11,$F995),MIN(G995-INDEX(Accounts!$R$2:$R$11,$F995),INDEX(Accounts!$Q$2:$Q$11,$F995)+INDEX(Accounts!$S$2:$S$11,$F995))))),"")</f>
        <v/>
      </c>
      <c r="I995" s="16">
        <f>IF(AND($A995="",$B995="",$C995="",$D995="",$E995=""),"",IF(OR($A995="",$F995=""),"UNKNOWN_ACCOUNT",IF(OR($B995="",$C995=""),"INCOMPLETE",IFERROR(IF(OR(NOT(ISNUMBER($B995)),NOT(ISNUMBER($C995)),IF(C995="",FALSE,IF(ISNUMBER(C995),OR(C995&lt;=0,C995&gt;100000000,ROUND(C995*100,6)&lt;&gt;INT(ROUND(C995*100,6))),TRUE)),IF(D995="",FALSE,IF(ISNUMBER(D995),OR(D995&lt;=0,D995&gt;100000000,ROUND(D995*100,6)&lt;&gt;INT(ROUND(D995*100,6))),TRUE)),IF(E995="",FALSE,IF(ISNUMBER(E995),OR(E995&lt;=0,E995&gt;100000000,ROUND(E995*100,6)&lt;&gt;INT(ROUND(E995*100,6))),TRUE)),AND($D995&lt;&gt;"",$D995&lt;MAX($C995,$E995)),AND($E995&lt;&gt;"",$E995&gt;MIN($C995,IF($D995="",$C995,$D995))),COUNTIFS($A$2:$A$1001,$A995,$B$2:$B$1001,$B995)&gt;1),"INVALID",IFERROR(IF(IF(INDEX(Accounts!$T$2:$T$11,$F995),ROUND(IF($E995="",$C995,MIN($C995,$E995))-(H995),6)&lt;=0,ROUND(IF($E995="",$C995,MIN($C995,$E995))-(H995),6)&lt;0),"BREACHED","OK"),"INCOMPLETE")),"INVALID"))))</f>
        <v/>
      </c>
      <c r="J995" s="33">
        <f>IF(OR(I995="OK",I995="BREACHED"),-INT(ROUND(-(H995)*100,6))/100,I995)</f>
        <v/>
      </c>
    </row>
    <row r="996" ht="18" customHeight="1">
      <c r="A996" s="9" t="n"/>
      <c r="B996" s="32" t="n"/>
      <c r="C996" s="12" t="n"/>
      <c r="D996" s="12" t="n"/>
      <c r="E996" s="12" t="n"/>
      <c r="F996" s="15">
        <f>IFERROR(MATCH($A996,Accounts!$A$2:$A$11,0),"")</f>
        <v/>
      </c>
      <c r="G996" s="14">
        <f>IFERROR(IF(OR($A996="",$F996=""),"",IF(INDEX(Accounts!$P$2:$P$11,$F996)="static",INDEX(Accounts!$Q$2:$Q$11,$F996),IF(INDEX(Accounts!$P$2:$P$11,$F996)="eod_trailing",MAX(INDEX(Accounts!$Q$2:$Q$11,$F996),_xlfn.MAXIFS($C$2:$C$1001,$A$2:$A$1001,$A996,$B$2:$B$1001,"&lt;"&amp;$B996)),MAX(INDEX(Accounts!$Q$2:$Q$11,$F996),_xlfn.MAXIFS($C$2:$C$1001,$A$2:$A$1001,$A996,$B$2:$B$1001,"&lt;"&amp;$B996),_xlfn.MAXIFS($D$2:$D$1001,$A$2:$A$1001,$A996,$B$2:$B$1001,"&lt;="&amp;$B996),$C996)))),"")</f>
        <v/>
      </c>
      <c r="H996" s="15">
        <f>IFERROR(IF(G996="","",IF(INDEX(Accounts!$P$2:$P$11,$F996)="static",INDEX(Accounts!$Q$2:$Q$11,$F996)-INDEX(Accounts!$R$2:$R$11,$F996),IF(INDEX(Accounts!$S$2:$S$11,$F996)="NONE",G996-INDEX(Accounts!$R$2:$R$11,$F996),MIN(G996-INDEX(Accounts!$R$2:$R$11,$F996),INDEX(Accounts!$Q$2:$Q$11,$F996)+INDEX(Accounts!$S$2:$S$11,$F996))))),"")</f>
        <v/>
      </c>
      <c r="I996" s="16">
        <f>IF(AND($A996="",$B996="",$C996="",$D996="",$E996=""),"",IF(OR($A996="",$F996=""),"UNKNOWN_ACCOUNT",IF(OR($B996="",$C996=""),"INCOMPLETE",IFERROR(IF(OR(NOT(ISNUMBER($B996)),NOT(ISNUMBER($C996)),IF(C996="",FALSE,IF(ISNUMBER(C996),OR(C996&lt;=0,C996&gt;100000000,ROUND(C996*100,6)&lt;&gt;INT(ROUND(C996*100,6))),TRUE)),IF(D996="",FALSE,IF(ISNUMBER(D996),OR(D996&lt;=0,D996&gt;100000000,ROUND(D996*100,6)&lt;&gt;INT(ROUND(D996*100,6))),TRUE)),IF(E996="",FALSE,IF(ISNUMBER(E996),OR(E996&lt;=0,E996&gt;100000000,ROUND(E996*100,6)&lt;&gt;INT(ROUND(E996*100,6))),TRUE)),AND($D996&lt;&gt;"",$D996&lt;MAX($C996,$E996)),AND($E996&lt;&gt;"",$E996&gt;MIN($C996,IF($D996="",$C996,$D996))),COUNTIFS($A$2:$A$1001,$A996,$B$2:$B$1001,$B996)&gt;1),"INVALID",IFERROR(IF(IF(INDEX(Accounts!$T$2:$T$11,$F996),ROUND(IF($E996="",$C996,MIN($C996,$E996))-(H996),6)&lt;=0,ROUND(IF($E996="",$C996,MIN($C996,$E996))-(H996),6)&lt;0),"BREACHED","OK"),"INCOMPLETE")),"INVALID"))))</f>
        <v/>
      </c>
      <c r="J996" s="33">
        <f>IF(OR(I996="OK",I996="BREACHED"),-INT(ROUND(-(H996)*100,6))/100,I996)</f>
        <v/>
      </c>
    </row>
    <row r="997" ht="18" customHeight="1">
      <c r="A997" s="9" t="n"/>
      <c r="B997" s="32" t="n"/>
      <c r="C997" s="12" t="n"/>
      <c r="D997" s="12" t="n"/>
      <c r="E997" s="12" t="n"/>
      <c r="F997" s="15">
        <f>IFERROR(MATCH($A997,Accounts!$A$2:$A$11,0),"")</f>
        <v/>
      </c>
      <c r="G997" s="14">
        <f>IFERROR(IF(OR($A997="",$F997=""),"",IF(INDEX(Accounts!$P$2:$P$11,$F997)="static",INDEX(Accounts!$Q$2:$Q$11,$F997),IF(INDEX(Accounts!$P$2:$P$11,$F997)="eod_trailing",MAX(INDEX(Accounts!$Q$2:$Q$11,$F997),_xlfn.MAXIFS($C$2:$C$1001,$A$2:$A$1001,$A997,$B$2:$B$1001,"&lt;"&amp;$B997)),MAX(INDEX(Accounts!$Q$2:$Q$11,$F997),_xlfn.MAXIFS($C$2:$C$1001,$A$2:$A$1001,$A997,$B$2:$B$1001,"&lt;"&amp;$B997),_xlfn.MAXIFS($D$2:$D$1001,$A$2:$A$1001,$A997,$B$2:$B$1001,"&lt;="&amp;$B997),$C997)))),"")</f>
        <v/>
      </c>
      <c r="H997" s="15">
        <f>IFERROR(IF(G997="","",IF(INDEX(Accounts!$P$2:$P$11,$F997)="static",INDEX(Accounts!$Q$2:$Q$11,$F997)-INDEX(Accounts!$R$2:$R$11,$F997),IF(INDEX(Accounts!$S$2:$S$11,$F997)="NONE",G997-INDEX(Accounts!$R$2:$R$11,$F997),MIN(G997-INDEX(Accounts!$R$2:$R$11,$F997),INDEX(Accounts!$Q$2:$Q$11,$F997)+INDEX(Accounts!$S$2:$S$11,$F997))))),"")</f>
        <v/>
      </c>
      <c r="I997" s="16">
        <f>IF(AND($A997="",$B997="",$C997="",$D997="",$E997=""),"",IF(OR($A997="",$F997=""),"UNKNOWN_ACCOUNT",IF(OR($B997="",$C997=""),"INCOMPLETE",IFERROR(IF(OR(NOT(ISNUMBER($B997)),NOT(ISNUMBER($C997)),IF(C997="",FALSE,IF(ISNUMBER(C997),OR(C997&lt;=0,C997&gt;100000000,ROUND(C997*100,6)&lt;&gt;INT(ROUND(C997*100,6))),TRUE)),IF(D997="",FALSE,IF(ISNUMBER(D997),OR(D997&lt;=0,D997&gt;100000000,ROUND(D997*100,6)&lt;&gt;INT(ROUND(D997*100,6))),TRUE)),IF(E997="",FALSE,IF(ISNUMBER(E997),OR(E997&lt;=0,E997&gt;100000000,ROUND(E997*100,6)&lt;&gt;INT(ROUND(E997*100,6))),TRUE)),AND($D997&lt;&gt;"",$D997&lt;MAX($C997,$E997)),AND($E997&lt;&gt;"",$E997&gt;MIN($C997,IF($D997="",$C997,$D997))),COUNTIFS($A$2:$A$1001,$A997,$B$2:$B$1001,$B997)&gt;1),"INVALID",IFERROR(IF(IF(INDEX(Accounts!$T$2:$T$11,$F997),ROUND(IF($E997="",$C997,MIN($C997,$E997))-(H997),6)&lt;=0,ROUND(IF($E997="",$C997,MIN($C997,$E997))-(H997),6)&lt;0),"BREACHED","OK"),"INCOMPLETE")),"INVALID"))))</f>
        <v/>
      </c>
      <c r="J997" s="33">
        <f>IF(OR(I997="OK",I997="BREACHED"),-INT(ROUND(-(H997)*100,6))/100,I997)</f>
        <v/>
      </c>
    </row>
    <row r="998" ht="18" customHeight="1">
      <c r="A998" s="9" t="n"/>
      <c r="B998" s="32" t="n"/>
      <c r="C998" s="12" t="n"/>
      <c r="D998" s="12" t="n"/>
      <c r="E998" s="12" t="n"/>
      <c r="F998" s="15">
        <f>IFERROR(MATCH($A998,Accounts!$A$2:$A$11,0),"")</f>
        <v/>
      </c>
      <c r="G998" s="14">
        <f>IFERROR(IF(OR($A998="",$F998=""),"",IF(INDEX(Accounts!$P$2:$P$11,$F998)="static",INDEX(Accounts!$Q$2:$Q$11,$F998),IF(INDEX(Accounts!$P$2:$P$11,$F998)="eod_trailing",MAX(INDEX(Accounts!$Q$2:$Q$11,$F998),_xlfn.MAXIFS($C$2:$C$1001,$A$2:$A$1001,$A998,$B$2:$B$1001,"&lt;"&amp;$B998)),MAX(INDEX(Accounts!$Q$2:$Q$11,$F998),_xlfn.MAXIFS($C$2:$C$1001,$A$2:$A$1001,$A998,$B$2:$B$1001,"&lt;"&amp;$B998),_xlfn.MAXIFS($D$2:$D$1001,$A$2:$A$1001,$A998,$B$2:$B$1001,"&lt;="&amp;$B998),$C998)))),"")</f>
        <v/>
      </c>
      <c r="H998" s="15">
        <f>IFERROR(IF(G998="","",IF(INDEX(Accounts!$P$2:$P$11,$F998)="static",INDEX(Accounts!$Q$2:$Q$11,$F998)-INDEX(Accounts!$R$2:$R$11,$F998),IF(INDEX(Accounts!$S$2:$S$11,$F998)="NONE",G998-INDEX(Accounts!$R$2:$R$11,$F998),MIN(G998-INDEX(Accounts!$R$2:$R$11,$F998),INDEX(Accounts!$Q$2:$Q$11,$F998)+INDEX(Accounts!$S$2:$S$11,$F998))))),"")</f>
        <v/>
      </c>
      <c r="I998" s="16">
        <f>IF(AND($A998="",$B998="",$C998="",$D998="",$E998=""),"",IF(OR($A998="",$F998=""),"UNKNOWN_ACCOUNT",IF(OR($B998="",$C998=""),"INCOMPLETE",IFERROR(IF(OR(NOT(ISNUMBER($B998)),NOT(ISNUMBER($C998)),IF(C998="",FALSE,IF(ISNUMBER(C998),OR(C998&lt;=0,C998&gt;100000000,ROUND(C998*100,6)&lt;&gt;INT(ROUND(C998*100,6))),TRUE)),IF(D998="",FALSE,IF(ISNUMBER(D998),OR(D998&lt;=0,D998&gt;100000000,ROUND(D998*100,6)&lt;&gt;INT(ROUND(D998*100,6))),TRUE)),IF(E998="",FALSE,IF(ISNUMBER(E998),OR(E998&lt;=0,E998&gt;100000000,ROUND(E998*100,6)&lt;&gt;INT(ROUND(E998*100,6))),TRUE)),AND($D998&lt;&gt;"",$D998&lt;MAX($C998,$E998)),AND($E998&lt;&gt;"",$E998&gt;MIN($C998,IF($D998="",$C998,$D998))),COUNTIFS($A$2:$A$1001,$A998,$B$2:$B$1001,$B998)&gt;1),"INVALID",IFERROR(IF(IF(INDEX(Accounts!$T$2:$T$11,$F998),ROUND(IF($E998="",$C998,MIN($C998,$E998))-(H998),6)&lt;=0,ROUND(IF($E998="",$C998,MIN($C998,$E998))-(H998),6)&lt;0),"BREACHED","OK"),"INCOMPLETE")),"INVALID"))))</f>
        <v/>
      </c>
      <c r="J998" s="33">
        <f>IF(OR(I998="OK",I998="BREACHED"),-INT(ROUND(-(H998)*100,6))/100,I998)</f>
        <v/>
      </c>
    </row>
    <row r="999" ht="18" customHeight="1">
      <c r="A999" s="9" t="n"/>
      <c r="B999" s="32" t="n"/>
      <c r="C999" s="12" t="n"/>
      <c r="D999" s="12" t="n"/>
      <c r="E999" s="12" t="n"/>
      <c r="F999" s="15">
        <f>IFERROR(MATCH($A999,Accounts!$A$2:$A$11,0),"")</f>
        <v/>
      </c>
      <c r="G999" s="14">
        <f>IFERROR(IF(OR($A999="",$F999=""),"",IF(INDEX(Accounts!$P$2:$P$11,$F999)="static",INDEX(Accounts!$Q$2:$Q$11,$F999),IF(INDEX(Accounts!$P$2:$P$11,$F999)="eod_trailing",MAX(INDEX(Accounts!$Q$2:$Q$11,$F999),_xlfn.MAXIFS($C$2:$C$1001,$A$2:$A$1001,$A999,$B$2:$B$1001,"&lt;"&amp;$B999)),MAX(INDEX(Accounts!$Q$2:$Q$11,$F999),_xlfn.MAXIFS($C$2:$C$1001,$A$2:$A$1001,$A999,$B$2:$B$1001,"&lt;"&amp;$B999),_xlfn.MAXIFS($D$2:$D$1001,$A$2:$A$1001,$A999,$B$2:$B$1001,"&lt;="&amp;$B999),$C999)))),"")</f>
        <v/>
      </c>
      <c r="H999" s="15">
        <f>IFERROR(IF(G999="","",IF(INDEX(Accounts!$P$2:$P$11,$F999)="static",INDEX(Accounts!$Q$2:$Q$11,$F999)-INDEX(Accounts!$R$2:$R$11,$F999),IF(INDEX(Accounts!$S$2:$S$11,$F999)="NONE",G999-INDEX(Accounts!$R$2:$R$11,$F999),MIN(G999-INDEX(Accounts!$R$2:$R$11,$F999),INDEX(Accounts!$Q$2:$Q$11,$F999)+INDEX(Accounts!$S$2:$S$11,$F999))))),"")</f>
        <v/>
      </c>
      <c r="I999" s="16">
        <f>IF(AND($A999="",$B999="",$C999="",$D999="",$E999=""),"",IF(OR($A999="",$F999=""),"UNKNOWN_ACCOUNT",IF(OR($B999="",$C999=""),"INCOMPLETE",IFERROR(IF(OR(NOT(ISNUMBER($B999)),NOT(ISNUMBER($C999)),IF(C999="",FALSE,IF(ISNUMBER(C999),OR(C999&lt;=0,C999&gt;100000000,ROUND(C999*100,6)&lt;&gt;INT(ROUND(C999*100,6))),TRUE)),IF(D999="",FALSE,IF(ISNUMBER(D999),OR(D999&lt;=0,D999&gt;100000000,ROUND(D999*100,6)&lt;&gt;INT(ROUND(D999*100,6))),TRUE)),IF(E999="",FALSE,IF(ISNUMBER(E999),OR(E999&lt;=0,E999&gt;100000000,ROUND(E999*100,6)&lt;&gt;INT(ROUND(E999*100,6))),TRUE)),AND($D999&lt;&gt;"",$D999&lt;MAX($C999,$E999)),AND($E999&lt;&gt;"",$E999&gt;MIN($C999,IF($D999="",$C999,$D999))),COUNTIFS($A$2:$A$1001,$A999,$B$2:$B$1001,$B999)&gt;1),"INVALID",IFERROR(IF(IF(INDEX(Accounts!$T$2:$T$11,$F999),ROUND(IF($E999="",$C999,MIN($C999,$E999))-(H999),6)&lt;=0,ROUND(IF($E999="",$C999,MIN($C999,$E999))-(H999),6)&lt;0),"BREACHED","OK"),"INCOMPLETE")),"INVALID"))))</f>
        <v/>
      </c>
      <c r="J999" s="33">
        <f>IF(OR(I999="OK",I999="BREACHED"),-INT(ROUND(-(H999)*100,6))/100,I999)</f>
        <v/>
      </c>
    </row>
    <row r="1000" ht="18" customHeight="1">
      <c r="A1000" s="9" t="n"/>
      <c r="B1000" s="32" t="n"/>
      <c r="C1000" s="12" t="n"/>
      <c r="D1000" s="12" t="n"/>
      <c r="E1000" s="12" t="n"/>
      <c r="F1000" s="15">
        <f>IFERROR(MATCH($A1000,Accounts!$A$2:$A$11,0),"")</f>
        <v/>
      </c>
      <c r="G1000" s="14">
        <f>IFERROR(IF(OR($A1000="",$F1000=""),"",IF(INDEX(Accounts!$P$2:$P$11,$F1000)="static",INDEX(Accounts!$Q$2:$Q$11,$F1000),IF(INDEX(Accounts!$P$2:$P$11,$F1000)="eod_trailing",MAX(INDEX(Accounts!$Q$2:$Q$11,$F1000),_xlfn.MAXIFS($C$2:$C$1001,$A$2:$A$1001,$A1000,$B$2:$B$1001,"&lt;"&amp;$B1000)),MAX(INDEX(Accounts!$Q$2:$Q$11,$F1000),_xlfn.MAXIFS($C$2:$C$1001,$A$2:$A$1001,$A1000,$B$2:$B$1001,"&lt;"&amp;$B1000),_xlfn.MAXIFS($D$2:$D$1001,$A$2:$A$1001,$A1000,$B$2:$B$1001,"&lt;="&amp;$B1000),$C1000)))),"")</f>
        <v/>
      </c>
      <c r="H1000" s="15">
        <f>IFERROR(IF(G1000="","",IF(INDEX(Accounts!$P$2:$P$11,$F1000)="static",INDEX(Accounts!$Q$2:$Q$11,$F1000)-INDEX(Accounts!$R$2:$R$11,$F1000),IF(INDEX(Accounts!$S$2:$S$11,$F1000)="NONE",G1000-INDEX(Accounts!$R$2:$R$11,$F1000),MIN(G1000-INDEX(Accounts!$R$2:$R$11,$F1000),INDEX(Accounts!$Q$2:$Q$11,$F1000)+INDEX(Accounts!$S$2:$S$11,$F1000))))),"")</f>
        <v/>
      </c>
      <c r="I1000" s="16">
        <f>IF(AND($A1000="",$B1000="",$C1000="",$D1000="",$E1000=""),"",IF(OR($A1000="",$F1000=""),"UNKNOWN_ACCOUNT",IF(OR($B1000="",$C1000=""),"INCOMPLETE",IFERROR(IF(OR(NOT(ISNUMBER($B1000)),NOT(ISNUMBER($C1000)),IF(C1000="",FALSE,IF(ISNUMBER(C1000),OR(C1000&lt;=0,C1000&gt;100000000,ROUND(C1000*100,6)&lt;&gt;INT(ROUND(C1000*100,6))),TRUE)),IF(D1000="",FALSE,IF(ISNUMBER(D1000),OR(D1000&lt;=0,D1000&gt;100000000,ROUND(D1000*100,6)&lt;&gt;INT(ROUND(D1000*100,6))),TRUE)),IF(E1000="",FALSE,IF(ISNUMBER(E1000),OR(E1000&lt;=0,E1000&gt;100000000,ROUND(E1000*100,6)&lt;&gt;INT(ROUND(E1000*100,6))),TRUE)),AND($D1000&lt;&gt;"",$D1000&lt;MAX($C1000,$E1000)),AND($E1000&lt;&gt;"",$E1000&gt;MIN($C1000,IF($D1000="",$C1000,$D1000))),COUNTIFS($A$2:$A$1001,$A1000,$B$2:$B$1001,$B1000)&gt;1),"INVALID",IFERROR(IF(IF(INDEX(Accounts!$T$2:$T$11,$F1000),ROUND(IF($E1000="",$C1000,MIN($C1000,$E1000))-(H1000),6)&lt;=0,ROUND(IF($E1000="",$C1000,MIN($C1000,$E1000))-(H1000),6)&lt;0),"BREACHED","OK"),"INCOMPLETE")),"INVALID"))))</f>
        <v/>
      </c>
      <c r="J1000" s="33">
        <f>IF(OR(I1000="OK",I1000="BREACHED"),-INT(ROUND(-(H1000)*100,6))/100,I1000)</f>
        <v/>
      </c>
    </row>
    <row r="1001" ht="18" customHeight="1">
      <c r="A1001" s="9" t="n"/>
      <c r="B1001" s="32" t="n"/>
      <c r="C1001" s="12" t="n"/>
      <c r="D1001" s="12" t="n"/>
      <c r="E1001" s="12" t="n"/>
      <c r="F1001" s="15">
        <f>IFERROR(MATCH($A1001,Accounts!$A$2:$A$11,0),"")</f>
        <v/>
      </c>
      <c r="G1001" s="14">
        <f>IFERROR(IF(OR($A1001="",$F1001=""),"",IF(INDEX(Accounts!$P$2:$P$11,$F1001)="static",INDEX(Accounts!$Q$2:$Q$11,$F1001),IF(INDEX(Accounts!$P$2:$P$11,$F1001)="eod_trailing",MAX(INDEX(Accounts!$Q$2:$Q$11,$F1001),_xlfn.MAXIFS($C$2:$C$1001,$A$2:$A$1001,$A1001,$B$2:$B$1001,"&lt;"&amp;$B1001)),MAX(INDEX(Accounts!$Q$2:$Q$11,$F1001),_xlfn.MAXIFS($C$2:$C$1001,$A$2:$A$1001,$A1001,$B$2:$B$1001,"&lt;"&amp;$B1001),_xlfn.MAXIFS($D$2:$D$1001,$A$2:$A$1001,$A1001,$B$2:$B$1001,"&lt;="&amp;$B1001),$C1001)))),"")</f>
        <v/>
      </c>
      <c r="H1001" s="15">
        <f>IFERROR(IF(G1001="","",IF(INDEX(Accounts!$P$2:$P$11,$F1001)="static",INDEX(Accounts!$Q$2:$Q$11,$F1001)-INDEX(Accounts!$R$2:$R$11,$F1001),IF(INDEX(Accounts!$S$2:$S$11,$F1001)="NONE",G1001-INDEX(Accounts!$R$2:$R$11,$F1001),MIN(G1001-INDEX(Accounts!$R$2:$R$11,$F1001),INDEX(Accounts!$Q$2:$Q$11,$F1001)+INDEX(Accounts!$S$2:$S$11,$F1001))))),"")</f>
        <v/>
      </c>
      <c r="I1001" s="16">
        <f>IF(AND($A1001="",$B1001="",$C1001="",$D1001="",$E1001=""),"",IF(OR($A1001="",$F1001=""),"UNKNOWN_ACCOUNT",IF(OR($B1001="",$C1001=""),"INCOMPLETE",IFERROR(IF(OR(NOT(ISNUMBER($B1001)),NOT(ISNUMBER($C1001)),IF(C1001="",FALSE,IF(ISNUMBER(C1001),OR(C1001&lt;=0,C1001&gt;100000000,ROUND(C1001*100,6)&lt;&gt;INT(ROUND(C1001*100,6))),TRUE)),IF(D1001="",FALSE,IF(ISNUMBER(D1001),OR(D1001&lt;=0,D1001&gt;100000000,ROUND(D1001*100,6)&lt;&gt;INT(ROUND(D1001*100,6))),TRUE)),IF(E1001="",FALSE,IF(ISNUMBER(E1001),OR(E1001&lt;=0,E1001&gt;100000000,ROUND(E1001*100,6)&lt;&gt;INT(ROUND(E1001*100,6))),TRUE)),AND($D1001&lt;&gt;"",$D1001&lt;MAX($C1001,$E1001)),AND($E1001&lt;&gt;"",$E1001&gt;MIN($C1001,IF($D1001="",$C1001,$D1001))),COUNTIFS($A$2:$A$1001,$A1001,$B$2:$B$1001,$B1001)&gt;1),"INVALID",IFERROR(IF(IF(INDEX(Accounts!$T$2:$T$11,$F1001),ROUND(IF($E1001="",$C1001,MIN($C1001,$E1001))-(H1001),6)&lt;=0,ROUND(IF($E1001="",$C1001,MIN($C1001,$E1001))-(H1001),6)&lt;0),"BREACHED","OK"),"INCOMPLETE")),"INVALID"))))</f>
        <v/>
      </c>
      <c r="J1001" s="33">
        <f>IF(OR(I1001="OK",I1001="BREACHED"),-INT(ROUND(-(H1001)*100,6))/100,I1001)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J1001">
    <cfRule type="expression" priority="1" dxfId="1">
      <formula>$I2="BREACHED"</formula>
    </cfRule>
    <cfRule type="expression" priority="2" dxfId="0">
      <formula>$I2="UNKNOWN_ACCOUNT"</formula>
    </cfRule>
  </conditionalFormatting>
  <conditionalFormatting sqref="I2:J1001">
    <cfRule type="expression" priority="3" dxfId="0">
      <formula>$I2="INVALID"</formula>
    </cfRule>
    <cfRule type="expression" priority="4" dxfId="2">
      <formula>$I2="INCOMPLETE"</formula>
    </cfRule>
  </conditionalFormatting>
  <conditionalFormatting sqref="I2:I1001">
    <cfRule type="expression" priority="5" dxfId="3">
      <formula>$I2="OK"</formula>
    </cfRule>
  </conditionalFormatting>
  <dataValidations count="5">
    <dataValidation sqref="A2:A1001" showDropDown="0" showInputMessage="0" showErrorMessage="1" allowBlank="1" type="list" errorStyle="stop">
      <formula1>Accounts!$A$2:$A$11</formula1>
    </dataValidation>
    <dataValidation sqref="B2:B1001" showDropDown="0" showInputMessage="0" showErrorMessage="1" allowBlank="1" error="Enter a valid date" type="date" errorStyle="stop" operator="greaterThan">
      <formula1>1</formula1>
    </dataValidation>
    <dataValidation sqref="C2:C1001" showDropDown="0" showInputMessage="0" showErrorMessage="1" allowBlank="1" error="Number with at most 2 decimals, up to 100,000,000" type="custom" errorStyle="stop">
      <formula1>AND(ISNUMBER(C2),ROUND(C2*100,6)=INT(ROUND(C2*100,6)),C2&gt;0,C2&lt;=100000000)</formula1>
    </dataValidation>
    <dataValidation sqref="D2:D1001" showDropDown="0" showInputMessage="0" showErrorMessage="1" allowBlank="1" error="Number with at most 2 decimals, up to 100,000,000" type="custom" errorStyle="stop">
      <formula1>AND(ISNUMBER(D2),ROUND(D2*100,6)=INT(ROUND(D2*100,6)),D2&gt;0,D2&lt;=100000000)</formula1>
    </dataValidation>
    <dataValidation sqref="E2:E1001" showDropDown="0" showInputMessage="0" showErrorMessage="1" allowBlank="1" error="Number with at most 2 decimals, up to 100,000,000" type="custom" errorStyle="stop">
      <formula1>AND(ISNUMBER(E2),ROUND(E2*100,6)=INT(ROUND(E2*100,6)),E2&gt;0,E2&lt;=100000000)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5D07F"/>
    <outlinePr summaryBelow="1" summaryRight="1"/>
    <pageSetUpPr/>
  </sheetPr>
  <dimension ref="A1:P52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6" customWidth="1" min="3" max="3"/>
    <col width="11" customWidth="1" min="4" max="4"/>
    <col width="9" customWidth="1" min="5" max="5"/>
    <col width="7" customWidth="1" min="6" max="6"/>
    <col width="8" customWidth="1" min="7" max="7"/>
    <col width="7" customWidth="1" min="8" max="8"/>
    <col width="8" customWidth="1" min="9" max="9"/>
    <col width="7" customWidth="1" min="10" max="10"/>
    <col width="7" customWidth="1" min="11" max="11"/>
    <col width="40" customWidth="1" min="12" max="12"/>
    <col width="60" customWidth="1" min="13" max="13"/>
    <col width="11" customWidth="1" min="14" max="14"/>
    <col width="11" customWidth="1" min="15" max="15"/>
    <col width="7" customWidth="1" min="16" max="16"/>
  </cols>
  <sheetData>
    <row r="1">
      <c r="A1" s="26" t="inlineStr">
        <is>
          <t>preset_key</t>
        </is>
      </c>
      <c r="B1" s="26" t="inlineStr">
        <is>
          <t>status</t>
        </is>
      </c>
      <c r="C1" s="26" t="inlineStr">
        <is>
          <t>dd_type</t>
        </is>
      </c>
      <c r="D1" s="26" t="inlineStr">
        <is>
          <t>start_balance</t>
        </is>
      </c>
      <c r="E1" s="26" t="inlineStr">
        <is>
          <t>dd_amount</t>
        </is>
      </c>
      <c r="F1" s="26" t="inlineStr">
        <is>
          <t>dd_pct</t>
        </is>
      </c>
      <c r="G1" s="26" t="inlineStr">
        <is>
          <t>lock_token</t>
        </is>
      </c>
      <c r="H1" s="26" t="inlineStr">
        <is>
          <t>breach_on_touch</t>
        </is>
      </c>
      <c r="I1" s="26" t="inlineStr">
        <is>
          <t>dll_token</t>
        </is>
      </c>
      <c r="J1" s="26" t="inlineStr">
        <is>
          <t>max_contracts</t>
        </is>
      </c>
      <c r="K1" s="26" t="inlineStr">
        <is>
          <t>max_micros</t>
        </is>
      </c>
      <c r="L1" s="26" t="inlineStr">
        <is>
          <t>needs_user</t>
        </is>
      </c>
      <c r="M1" s="26" t="inlineStr">
        <is>
          <t>source_url</t>
        </is>
      </c>
      <c r="N1" s="26" t="inlineStr">
        <is>
          <t>checked_date</t>
        </is>
      </c>
      <c r="O1" s="26" t="inlineStr">
        <is>
          <t>source_page_date</t>
        </is>
      </c>
      <c r="P1" s="26" t="inlineStr">
        <is>
          <t>preset_id</t>
        </is>
      </c>
    </row>
    <row r="2">
      <c r="A2" s="34" t="inlineStr">
        <is>
          <t>Topstep | Trading Combine | 50000 [P001]</t>
        </is>
      </c>
      <c r="B2" s="35" t="inlineStr">
        <is>
          <t>verified</t>
        </is>
      </c>
      <c r="C2" s="34" t="inlineStr">
        <is>
          <t>eod_trailing</t>
        </is>
      </c>
      <c r="D2" s="34" t="inlineStr">
        <is>
          <t>50000</t>
        </is>
      </c>
      <c r="E2" s="34" t="inlineStr">
        <is>
          <t>2000</t>
        </is>
      </c>
      <c r="F2" s="34" t="n"/>
      <c r="G2" s="34" t="inlineStr">
        <is>
          <t>0</t>
        </is>
      </c>
      <c r="H2" s="34" t="inlineStr">
        <is>
          <t>TRUE</t>
        </is>
      </c>
      <c r="I2" s="34" t="n"/>
      <c r="J2" s="34" t="inlineStr">
        <is>
          <t>5</t>
        </is>
      </c>
      <c r="K2" s="34" t="inlineStr">
        <is>
          <t>50</t>
        </is>
      </c>
      <c r="L2" s="34" t="inlineStr">
        <is>
          <t>dll_usd(fixed_usd,optional)</t>
        </is>
      </c>
      <c r="M2" s="34" t="inlineStr">
        <is>
          <t>https://help.topstep.com/en/articles/8284204-what-is-the-maximum-loss-limit</t>
        </is>
      </c>
      <c r="N2" s="34" t="inlineStr">
        <is>
          <t>2026-10-14</t>
        </is>
      </c>
      <c r="O2" s="34" t="n"/>
      <c r="P2" s="34" t="inlineStr">
        <is>
          <t>P001</t>
        </is>
      </c>
    </row>
    <row r="3">
      <c r="A3" s="34" t="inlineStr">
        <is>
          <t>Topstep | Trading Combine | 100000 [P002]</t>
        </is>
      </c>
      <c r="B3" s="35" t="inlineStr">
        <is>
          <t>verified</t>
        </is>
      </c>
      <c r="C3" s="34" t="inlineStr">
        <is>
          <t>eod_trailing</t>
        </is>
      </c>
      <c r="D3" s="34" t="inlineStr">
        <is>
          <t>100000</t>
        </is>
      </c>
      <c r="E3" s="34" t="inlineStr">
        <is>
          <t>3000</t>
        </is>
      </c>
      <c r="F3" s="34" t="n"/>
      <c r="G3" s="34" t="inlineStr">
        <is>
          <t>0</t>
        </is>
      </c>
      <c r="H3" s="34" t="inlineStr">
        <is>
          <t>TRUE</t>
        </is>
      </c>
      <c r="I3" s="34" t="n"/>
      <c r="J3" s="34" t="inlineStr">
        <is>
          <t>10</t>
        </is>
      </c>
      <c r="K3" s="34" t="inlineStr">
        <is>
          <t>100</t>
        </is>
      </c>
      <c r="L3" s="34" t="inlineStr">
        <is>
          <t>dll_usd(fixed_usd,optional)</t>
        </is>
      </c>
      <c r="M3" s="34" t="inlineStr">
        <is>
          <t>https://help.topstep.com/en/articles/8284204-what-is-the-maximum-loss-limit</t>
        </is>
      </c>
      <c r="N3" s="34" t="inlineStr">
        <is>
          <t>2026-10-14</t>
        </is>
      </c>
      <c r="O3" s="34" t="n"/>
      <c r="P3" s="34" t="inlineStr">
        <is>
          <t>P002</t>
        </is>
      </c>
    </row>
    <row r="4">
      <c r="A4" s="34" t="inlineStr">
        <is>
          <t>Topstep | Trading Combine | 150000 [P003]</t>
        </is>
      </c>
      <c r="B4" s="35" t="inlineStr">
        <is>
          <t>verified</t>
        </is>
      </c>
      <c r="C4" s="34" t="inlineStr">
        <is>
          <t>eod_trailing</t>
        </is>
      </c>
      <c r="D4" s="34" t="inlineStr">
        <is>
          <t>150000</t>
        </is>
      </c>
      <c r="E4" s="34" t="inlineStr">
        <is>
          <t>4500</t>
        </is>
      </c>
      <c r="F4" s="34" t="n"/>
      <c r="G4" s="34" t="inlineStr">
        <is>
          <t>0</t>
        </is>
      </c>
      <c r="H4" s="34" t="inlineStr">
        <is>
          <t>TRUE</t>
        </is>
      </c>
      <c r="I4" s="34" t="n"/>
      <c r="J4" s="34" t="inlineStr">
        <is>
          <t>15</t>
        </is>
      </c>
      <c r="K4" s="34" t="inlineStr">
        <is>
          <t>150</t>
        </is>
      </c>
      <c r="L4" s="34" t="inlineStr">
        <is>
          <t>dll_usd(fixed_usd,optional)</t>
        </is>
      </c>
      <c r="M4" s="34" t="inlineStr">
        <is>
          <t>https://help.topstep.com/en/articles/8284204-what-is-the-maximum-loss-limit</t>
        </is>
      </c>
      <c r="N4" s="34" t="inlineStr">
        <is>
          <t>2026-10-14</t>
        </is>
      </c>
      <c r="O4" s="34" t="n"/>
      <c r="P4" s="34" t="inlineStr">
        <is>
          <t>P003</t>
        </is>
      </c>
    </row>
    <row r="5">
      <c r="A5" s="34" t="inlineStr">
        <is>
          <t>Apex Trader Funding | Intraday Trailing Evaluation | 25000 [P005]</t>
        </is>
      </c>
      <c r="B5" s="36" t="inlineStr">
        <is>
          <t>partial</t>
        </is>
      </c>
      <c r="C5" s="34" t="inlineStr">
        <is>
          <t>intraday_trailing</t>
        </is>
      </c>
      <c r="D5" s="34" t="inlineStr">
        <is>
          <t>25000</t>
        </is>
      </c>
      <c r="E5" s="34" t="inlineStr">
        <is>
          <t>1000</t>
        </is>
      </c>
      <c r="F5" s="34" t="n"/>
      <c r="G5" s="34" t="n"/>
      <c r="H5" s="34" t="inlineStr">
        <is>
          <t>TRUE</t>
        </is>
      </c>
      <c r="I5" s="34" t="inlineStr">
        <is>
          <t>NONE</t>
        </is>
      </c>
      <c r="J5" s="34" t="inlineStr">
        <is>
          <t>4</t>
        </is>
      </c>
      <c r="K5" s="34" t="n"/>
      <c r="L5" s="34" t="inlineStr">
        <is>
          <t>lock_offset(unstated)</t>
        </is>
      </c>
      <c r="M5" s="34" t="inlineStr">
        <is>
          <t>https://apextraderfunding.com/help-center/intraday-trailing-drawdown-accounts/intraday-trailing-drawdown-evaluations/</t>
        </is>
      </c>
      <c r="N5" s="34" t="inlineStr">
        <is>
          <t>2026-10-14</t>
        </is>
      </c>
      <c r="O5" s="34" t="inlineStr">
        <is>
          <t>2026-04-28</t>
        </is>
      </c>
      <c r="P5" s="34" t="inlineStr">
        <is>
          <t>P005</t>
        </is>
      </c>
    </row>
    <row r="6">
      <c r="A6" s="34" t="inlineStr">
        <is>
          <t>Apex Trader Funding | Intraday Trailing Evaluation | 50000 [P006]</t>
        </is>
      </c>
      <c r="B6" s="36" t="inlineStr">
        <is>
          <t>partial</t>
        </is>
      </c>
      <c r="C6" s="34" t="inlineStr">
        <is>
          <t>intraday_trailing</t>
        </is>
      </c>
      <c r="D6" s="34" t="inlineStr">
        <is>
          <t>50000</t>
        </is>
      </c>
      <c r="E6" s="34" t="inlineStr">
        <is>
          <t>2000</t>
        </is>
      </c>
      <c r="F6" s="34" t="n"/>
      <c r="G6" s="34" t="n"/>
      <c r="H6" s="34" t="inlineStr">
        <is>
          <t>TRUE</t>
        </is>
      </c>
      <c r="I6" s="34" t="inlineStr">
        <is>
          <t>NONE</t>
        </is>
      </c>
      <c r="J6" s="34" t="inlineStr">
        <is>
          <t>6</t>
        </is>
      </c>
      <c r="K6" s="34" t="n"/>
      <c r="L6" s="34" t="inlineStr">
        <is>
          <t>lock_offset(unstated)</t>
        </is>
      </c>
      <c r="M6" s="34" t="inlineStr">
        <is>
          <t>https://apextraderfunding.com/help-center/intraday-trailing-drawdown-accounts/intraday-trailing-drawdown-evaluations/</t>
        </is>
      </c>
      <c r="N6" s="34" t="inlineStr">
        <is>
          <t>2026-10-14</t>
        </is>
      </c>
      <c r="O6" s="34" t="inlineStr">
        <is>
          <t>2026-04-28</t>
        </is>
      </c>
      <c r="P6" s="34" t="inlineStr">
        <is>
          <t>P006</t>
        </is>
      </c>
    </row>
    <row r="7">
      <c r="A7" s="34" t="inlineStr">
        <is>
          <t>Apex Trader Funding | Intraday Trailing Evaluation | 100000 [P007]</t>
        </is>
      </c>
      <c r="B7" s="36" t="inlineStr">
        <is>
          <t>partial</t>
        </is>
      </c>
      <c r="C7" s="34" t="inlineStr">
        <is>
          <t>intraday_trailing</t>
        </is>
      </c>
      <c r="D7" s="34" t="inlineStr">
        <is>
          <t>100000</t>
        </is>
      </c>
      <c r="E7" s="34" t="inlineStr">
        <is>
          <t>3000</t>
        </is>
      </c>
      <c r="F7" s="34" t="n"/>
      <c r="G7" s="34" t="n"/>
      <c r="H7" s="34" t="inlineStr">
        <is>
          <t>TRUE</t>
        </is>
      </c>
      <c r="I7" s="34" t="inlineStr">
        <is>
          <t>NONE</t>
        </is>
      </c>
      <c r="J7" s="34" t="inlineStr">
        <is>
          <t>8</t>
        </is>
      </c>
      <c r="K7" s="34" t="n"/>
      <c r="L7" s="34" t="inlineStr">
        <is>
          <t>lock_offset(unstated)</t>
        </is>
      </c>
      <c r="M7" s="34" t="inlineStr">
        <is>
          <t>https://apextraderfunding.com/help-center/intraday-trailing-drawdown-accounts/intraday-trailing-drawdown-evaluations/</t>
        </is>
      </c>
      <c r="N7" s="34" t="inlineStr">
        <is>
          <t>2026-10-14</t>
        </is>
      </c>
      <c r="O7" s="34" t="inlineStr">
        <is>
          <t>2026-04-28</t>
        </is>
      </c>
      <c r="P7" s="34" t="inlineStr">
        <is>
          <t>P007</t>
        </is>
      </c>
    </row>
    <row r="8">
      <c r="A8" s="34" t="inlineStr">
        <is>
          <t>Apex Trader Funding | Intraday Trailing Evaluation | 150000 [P008]</t>
        </is>
      </c>
      <c r="B8" s="36" t="inlineStr">
        <is>
          <t>partial</t>
        </is>
      </c>
      <c r="C8" s="34" t="inlineStr">
        <is>
          <t>intraday_trailing</t>
        </is>
      </c>
      <c r="D8" s="34" t="inlineStr">
        <is>
          <t>150000</t>
        </is>
      </c>
      <c r="E8" s="34" t="inlineStr">
        <is>
          <t>4000</t>
        </is>
      </c>
      <c r="F8" s="34" t="n"/>
      <c r="G8" s="34" t="n"/>
      <c r="H8" s="34" t="inlineStr">
        <is>
          <t>TRUE</t>
        </is>
      </c>
      <c r="I8" s="34" t="inlineStr">
        <is>
          <t>NONE</t>
        </is>
      </c>
      <c r="J8" s="34" t="inlineStr">
        <is>
          <t>12</t>
        </is>
      </c>
      <c r="K8" s="34" t="n"/>
      <c r="L8" s="34" t="inlineStr">
        <is>
          <t>lock_offset(unstated)</t>
        </is>
      </c>
      <c r="M8" s="34" t="inlineStr">
        <is>
          <t>https://apextraderfunding.com/help-center/intraday-trailing-drawdown-accounts/intraday-trailing-drawdown-evaluations/</t>
        </is>
      </c>
      <c r="N8" s="34" t="inlineStr">
        <is>
          <t>2026-10-14</t>
        </is>
      </c>
      <c r="O8" s="34" t="inlineStr">
        <is>
          <t>2026-04-28</t>
        </is>
      </c>
      <c r="P8" s="34" t="inlineStr">
        <is>
          <t>P008</t>
        </is>
      </c>
    </row>
    <row r="9">
      <c r="A9" s="34" t="inlineStr">
        <is>
          <t>Tradeify | Select Evaluation | 25000 [P010]</t>
        </is>
      </c>
      <c r="B9" s="36" t="inlineStr">
        <is>
          <t>partial</t>
        </is>
      </c>
      <c r="C9" s="34" t="inlineStr">
        <is>
          <t>eod_trailing</t>
        </is>
      </c>
      <c r="D9" s="34" t="inlineStr">
        <is>
          <t>25000</t>
        </is>
      </c>
      <c r="E9" s="34" t="inlineStr">
        <is>
          <t>1000</t>
        </is>
      </c>
      <c r="F9" s="34" t="n"/>
      <c r="G9" s="34" t="n"/>
      <c r="H9" s="34" t="inlineStr">
        <is>
          <t>TRUE</t>
        </is>
      </c>
      <c r="I9" s="34" t="inlineStr">
        <is>
          <t>NONE</t>
        </is>
      </c>
      <c r="J9" s="34" t="inlineStr">
        <is>
          <t>1</t>
        </is>
      </c>
      <c r="K9" s="34" t="inlineStr">
        <is>
          <t>10</t>
        </is>
      </c>
      <c r="L9" s="34" t="inlineStr">
        <is>
          <t>lock_offset(unstated)</t>
        </is>
      </c>
      <c r="M9" s="34" t="inlineStr">
        <is>
          <t>https://help.tradeify.co/en/articles/12853921-select-evaluation-accounts</t>
        </is>
      </c>
      <c r="N9" s="34" t="inlineStr">
        <is>
          <t>2026-10-14</t>
        </is>
      </c>
      <c r="O9" s="34" t="inlineStr">
        <is>
          <t>2026-09-10</t>
        </is>
      </c>
      <c r="P9" s="34" t="inlineStr">
        <is>
          <t>P010</t>
        </is>
      </c>
    </row>
    <row r="10">
      <c r="A10" s="34" t="inlineStr">
        <is>
          <t>Tradeify | Select Evaluation | 50000 [P011]</t>
        </is>
      </c>
      <c r="B10" s="36" t="inlineStr">
        <is>
          <t>partial</t>
        </is>
      </c>
      <c r="C10" s="34" t="inlineStr">
        <is>
          <t>eod_trailing</t>
        </is>
      </c>
      <c r="D10" s="34" t="inlineStr">
        <is>
          <t>50000</t>
        </is>
      </c>
      <c r="E10" s="34" t="inlineStr">
        <is>
          <t>2000</t>
        </is>
      </c>
      <c r="F10" s="34" t="n"/>
      <c r="G10" s="34" t="n"/>
      <c r="H10" s="34" t="inlineStr">
        <is>
          <t>TRUE</t>
        </is>
      </c>
      <c r="I10" s="34" t="inlineStr">
        <is>
          <t>NONE</t>
        </is>
      </c>
      <c r="J10" s="34" t="inlineStr">
        <is>
          <t>4</t>
        </is>
      </c>
      <c r="K10" s="34" t="inlineStr">
        <is>
          <t>40</t>
        </is>
      </c>
      <c r="L10" s="34" t="inlineStr">
        <is>
          <t>lock_offset(unstated)</t>
        </is>
      </c>
      <c r="M10" s="34" t="inlineStr">
        <is>
          <t>https://help.tradeify.co/en/articles/12853921-select-evaluation-accounts</t>
        </is>
      </c>
      <c r="N10" s="34" t="inlineStr">
        <is>
          <t>2026-10-14</t>
        </is>
      </c>
      <c r="O10" s="34" t="inlineStr">
        <is>
          <t>2026-09-10</t>
        </is>
      </c>
      <c r="P10" s="34" t="inlineStr">
        <is>
          <t>P011</t>
        </is>
      </c>
    </row>
    <row r="11">
      <c r="A11" s="34" t="inlineStr">
        <is>
          <t>Tradeify | Select Evaluation | 100000 [P012]</t>
        </is>
      </c>
      <c r="B11" s="36" t="inlineStr">
        <is>
          <t>partial</t>
        </is>
      </c>
      <c r="C11" s="34" t="inlineStr">
        <is>
          <t>eod_trailing</t>
        </is>
      </c>
      <c r="D11" s="34" t="inlineStr">
        <is>
          <t>100000</t>
        </is>
      </c>
      <c r="E11" s="34" t="inlineStr">
        <is>
          <t>3000</t>
        </is>
      </c>
      <c r="F11" s="34" t="n"/>
      <c r="G11" s="34" t="n"/>
      <c r="H11" s="34" t="inlineStr">
        <is>
          <t>TRUE</t>
        </is>
      </c>
      <c r="I11" s="34" t="inlineStr">
        <is>
          <t>NONE</t>
        </is>
      </c>
      <c r="J11" s="34" t="inlineStr">
        <is>
          <t>8</t>
        </is>
      </c>
      <c r="K11" s="34" t="inlineStr">
        <is>
          <t>80</t>
        </is>
      </c>
      <c r="L11" s="34" t="inlineStr">
        <is>
          <t>lock_offset(unstated)</t>
        </is>
      </c>
      <c r="M11" s="34" t="inlineStr">
        <is>
          <t>https://help.tradeify.co/en/articles/12853921-select-evaluation-accounts</t>
        </is>
      </c>
      <c r="N11" s="34" t="inlineStr">
        <is>
          <t>2026-10-14</t>
        </is>
      </c>
      <c r="O11" s="34" t="inlineStr">
        <is>
          <t>2026-09-10</t>
        </is>
      </c>
      <c r="P11" s="34" t="inlineStr">
        <is>
          <t>P012</t>
        </is>
      </c>
    </row>
    <row r="12">
      <c r="A12" s="34" t="inlineStr">
        <is>
          <t>Tradeify | Select Evaluation | 150000 [P013]</t>
        </is>
      </c>
      <c r="B12" s="36" t="inlineStr">
        <is>
          <t>partial</t>
        </is>
      </c>
      <c r="C12" s="34" t="inlineStr">
        <is>
          <t>eod_trailing</t>
        </is>
      </c>
      <c r="D12" s="34" t="inlineStr">
        <is>
          <t>150000</t>
        </is>
      </c>
      <c r="E12" s="34" t="inlineStr">
        <is>
          <t>4500</t>
        </is>
      </c>
      <c r="F12" s="34" t="n"/>
      <c r="G12" s="34" t="n"/>
      <c r="H12" s="34" t="inlineStr">
        <is>
          <t>TRUE</t>
        </is>
      </c>
      <c r="I12" s="34" t="inlineStr">
        <is>
          <t>NONE</t>
        </is>
      </c>
      <c r="J12" s="34" t="inlineStr">
        <is>
          <t>12</t>
        </is>
      </c>
      <c r="K12" s="34" t="inlineStr">
        <is>
          <t>120</t>
        </is>
      </c>
      <c r="L12" s="34" t="inlineStr">
        <is>
          <t>lock_offset(unstated)</t>
        </is>
      </c>
      <c r="M12" s="34" t="inlineStr">
        <is>
          <t>https://help.tradeify.co/en/articles/12853921-select-evaluation-accounts</t>
        </is>
      </c>
      <c r="N12" s="34" t="inlineStr">
        <is>
          <t>2026-10-14</t>
        </is>
      </c>
      <c r="O12" s="34" t="inlineStr">
        <is>
          <t>2026-09-10</t>
        </is>
      </c>
      <c r="P12" s="34" t="inlineStr">
        <is>
          <t>P013</t>
        </is>
      </c>
    </row>
    <row r="13">
      <c r="A13" s="34" t="inlineStr">
        <is>
          <t>MyFundedFutures | Rapid EOD (evaluation) | 50000 [P015]</t>
        </is>
      </c>
      <c r="B13" s="36" t="inlineStr">
        <is>
          <t>partial</t>
        </is>
      </c>
      <c r="C13" s="34" t="inlineStr">
        <is>
          <t>eod_trailing</t>
        </is>
      </c>
      <c r="D13" s="34" t="inlineStr">
        <is>
          <t>50000</t>
        </is>
      </c>
      <c r="E13" s="34" t="inlineStr">
        <is>
          <t>2000</t>
        </is>
      </c>
      <c r="F13" s="34" t="n"/>
      <c r="G13" s="34" t="n"/>
      <c r="H13" s="34" t="n"/>
      <c r="I13" s="34" t="inlineStr">
        <is>
          <t>NONE</t>
        </is>
      </c>
      <c r="J13" s="34" t="inlineStr">
        <is>
          <t>3</t>
        </is>
      </c>
      <c r="K13" s="34" t="inlineStr">
        <is>
          <t>30</t>
        </is>
      </c>
      <c r="L13" s="34" t="inlineStr">
        <is>
          <t>lock_offset(unstated);breach_on_touch</t>
        </is>
      </c>
      <c r="M13" s="34" t="inlineStr">
        <is>
          <t>https://help.myfundedfutures.com/en/articles/16158363-rapid-eod-50k-a-comprehensive-look</t>
        </is>
      </c>
      <c r="N13" s="34" t="inlineStr">
        <is>
          <t>2026-10-14</t>
        </is>
      </c>
      <c r="O13" s="34" t="inlineStr">
        <is>
          <t>2026-08-24</t>
        </is>
      </c>
      <c r="P13" s="34" t="inlineStr">
        <is>
          <t>P015</t>
        </is>
      </c>
    </row>
    <row r="14">
      <c r="A14" s="34" t="inlineStr">
        <is>
          <t>Lucid Trading | LucidFlex (eval + funded) | 25000 [P018]</t>
        </is>
      </c>
      <c r="B14" s="36" t="inlineStr">
        <is>
          <t>partial</t>
        </is>
      </c>
      <c r="C14" s="34" t="inlineStr">
        <is>
          <t>eod_trailing</t>
        </is>
      </c>
      <c r="D14" s="34" t="inlineStr">
        <is>
          <t>25000</t>
        </is>
      </c>
      <c r="E14" s="34" t="inlineStr">
        <is>
          <t>1000</t>
        </is>
      </c>
      <c r="F14" s="34" t="n"/>
      <c r="G14" s="34" t="inlineStr">
        <is>
          <t>100</t>
        </is>
      </c>
      <c r="H14" s="34" t="inlineStr">
        <is>
          <t>TRUE</t>
        </is>
      </c>
      <c r="I14" s="34" t="n"/>
      <c r="J14" s="34" t="n"/>
      <c r="K14" s="34" t="n"/>
      <c r="L14" s="34" t="inlineStr">
        <is>
          <t>dll_usd(unstated);max_contracts</t>
        </is>
      </c>
      <c r="M14" s="34" t="inlineStr">
        <is>
          <t>https://support.lucidtrading.com/en/articles/12945815-lucidflex-drawdown</t>
        </is>
      </c>
      <c r="N14" s="34" t="inlineStr">
        <is>
          <t>2026-10-14</t>
        </is>
      </c>
      <c r="O14" s="34" t="inlineStr">
        <is>
          <t>2026-08-26</t>
        </is>
      </c>
      <c r="P14" s="34" t="inlineStr">
        <is>
          <t>P018</t>
        </is>
      </c>
    </row>
    <row r="15">
      <c r="A15" s="34" t="inlineStr">
        <is>
          <t>Lucid Trading | LucidFlex (eval + funded) | 50000 [P019]</t>
        </is>
      </c>
      <c r="B15" s="36" t="inlineStr">
        <is>
          <t>partial</t>
        </is>
      </c>
      <c r="C15" s="34" t="inlineStr">
        <is>
          <t>eod_trailing</t>
        </is>
      </c>
      <c r="D15" s="34" t="inlineStr">
        <is>
          <t>50000</t>
        </is>
      </c>
      <c r="E15" s="34" t="inlineStr">
        <is>
          <t>2000</t>
        </is>
      </c>
      <c r="F15" s="34" t="n"/>
      <c r="G15" s="34" t="inlineStr">
        <is>
          <t>100</t>
        </is>
      </c>
      <c r="H15" s="34" t="inlineStr">
        <is>
          <t>TRUE</t>
        </is>
      </c>
      <c r="I15" s="34" t="n"/>
      <c r="J15" s="34" t="n"/>
      <c r="K15" s="34" t="n"/>
      <c r="L15" s="34" t="inlineStr">
        <is>
          <t>dll_usd(unstated);max_contracts</t>
        </is>
      </c>
      <c r="M15" s="34" t="inlineStr">
        <is>
          <t>https://support.lucidtrading.com/en/articles/12945815-lucidflex-drawdown</t>
        </is>
      </c>
      <c r="N15" s="34" t="inlineStr">
        <is>
          <t>2026-10-14</t>
        </is>
      </c>
      <c r="O15" s="34" t="inlineStr">
        <is>
          <t>2026-08-26</t>
        </is>
      </c>
      <c r="P15" s="34" t="inlineStr">
        <is>
          <t>P019</t>
        </is>
      </c>
    </row>
    <row r="16">
      <c r="A16" s="34" t="inlineStr">
        <is>
          <t>Lucid Trading | LucidFlex (eval + funded) | 100000 [P020]</t>
        </is>
      </c>
      <c r="B16" s="36" t="inlineStr">
        <is>
          <t>partial</t>
        </is>
      </c>
      <c r="C16" s="34" t="inlineStr">
        <is>
          <t>eod_trailing</t>
        </is>
      </c>
      <c r="D16" s="34" t="inlineStr">
        <is>
          <t>100000</t>
        </is>
      </c>
      <c r="E16" s="34" t="inlineStr">
        <is>
          <t>3000</t>
        </is>
      </c>
      <c r="F16" s="34" t="n"/>
      <c r="G16" s="34" t="inlineStr">
        <is>
          <t>100</t>
        </is>
      </c>
      <c r="H16" s="34" t="inlineStr">
        <is>
          <t>TRUE</t>
        </is>
      </c>
      <c r="I16" s="34" t="n"/>
      <c r="J16" s="34" t="n"/>
      <c r="K16" s="34" t="n"/>
      <c r="L16" s="34" t="inlineStr">
        <is>
          <t>dll_usd(unstated);max_contracts</t>
        </is>
      </c>
      <c r="M16" s="34" t="inlineStr">
        <is>
          <t>https://support.lucidtrading.com/en/articles/12945815-lucidflex-drawdown</t>
        </is>
      </c>
      <c r="N16" s="34" t="inlineStr">
        <is>
          <t>2026-10-14</t>
        </is>
      </c>
      <c r="O16" s="34" t="inlineStr">
        <is>
          <t>2026-08-26</t>
        </is>
      </c>
      <c r="P16" s="34" t="inlineStr">
        <is>
          <t>P020</t>
        </is>
      </c>
    </row>
    <row r="17">
      <c r="A17" s="34" t="inlineStr">
        <is>
          <t>Lucid Trading | LucidFlex (eval + funded) | 150000 [P021]</t>
        </is>
      </c>
      <c r="B17" s="36" t="inlineStr">
        <is>
          <t>partial</t>
        </is>
      </c>
      <c r="C17" s="34" t="inlineStr">
        <is>
          <t>eod_trailing</t>
        </is>
      </c>
      <c r="D17" s="34" t="inlineStr">
        <is>
          <t>150000</t>
        </is>
      </c>
      <c r="E17" s="34" t="inlineStr">
        <is>
          <t>4500</t>
        </is>
      </c>
      <c r="F17" s="34" t="n"/>
      <c r="G17" s="34" t="inlineStr">
        <is>
          <t>100</t>
        </is>
      </c>
      <c r="H17" s="34" t="inlineStr">
        <is>
          <t>TRUE</t>
        </is>
      </c>
      <c r="I17" s="34" t="n"/>
      <c r="J17" s="34" t="n"/>
      <c r="K17" s="34" t="n"/>
      <c r="L17" s="34" t="inlineStr">
        <is>
          <t>dll_usd(unstated);max_contracts</t>
        </is>
      </c>
      <c r="M17" s="34" t="inlineStr">
        <is>
          <t>https://support.lucidtrading.com/en/articles/12945815-lucidflex-drawdown</t>
        </is>
      </c>
      <c r="N17" s="34" t="inlineStr">
        <is>
          <t>2026-10-14</t>
        </is>
      </c>
      <c r="O17" s="34" t="inlineStr">
        <is>
          <t>2026-08-26</t>
        </is>
      </c>
      <c r="P17" s="34" t="inlineStr">
        <is>
          <t>P021</t>
        </is>
      </c>
    </row>
    <row r="18">
      <c r="A18" s="34" t="inlineStr">
        <is>
          <t>Take Profit Trader | Test account (futures) | 25000 [P022]</t>
        </is>
      </c>
      <c r="B18" s="36" t="inlineStr">
        <is>
          <t>partial</t>
        </is>
      </c>
      <c r="C18" s="34" t="inlineStr">
        <is>
          <t>eod_trailing</t>
        </is>
      </c>
      <c r="D18" s="34" t="inlineStr">
        <is>
          <t>25000</t>
        </is>
      </c>
      <c r="E18" s="34" t="inlineStr">
        <is>
          <t>1500</t>
        </is>
      </c>
      <c r="F18" s="34" t="n"/>
      <c r="G18" s="34" t="inlineStr">
        <is>
          <t>0</t>
        </is>
      </c>
      <c r="H18" s="34" t="inlineStr">
        <is>
          <t>TRUE</t>
        </is>
      </c>
      <c r="I18" s="34" t="n"/>
      <c r="J18" s="34" t="inlineStr">
        <is>
          <t>3</t>
        </is>
      </c>
      <c r="K18" s="34" t="n"/>
      <c r="L18" s="34" t="inlineStr">
        <is>
          <t>dll_usd(unstated)</t>
        </is>
      </c>
      <c r="M18" s="34" t="inlineStr">
        <is>
          <t>https://takeprofittraderhelp.zendesk.com/hc/en-us/articles/15170265979165-Rule-3-Do-Not-Hit-End-Of-Day-EOD-Maximum-Trailing-Drawdown</t>
        </is>
      </c>
      <c r="N18" s="34" t="inlineStr">
        <is>
          <t>2026-10-14</t>
        </is>
      </c>
      <c r="O18" s="34" t="inlineStr">
        <is>
          <t>2025-11-13</t>
        </is>
      </c>
      <c r="P18" s="34" t="inlineStr">
        <is>
          <t>P022</t>
        </is>
      </c>
    </row>
    <row r="19">
      <c r="A19" s="34" t="inlineStr">
        <is>
          <t>Take Profit Trader | Test account (futures) | 50000 [P023]</t>
        </is>
      </c>
      <c r="B19" s="36" t="inlineStr">
        <is>
          <t>partial</t>
        </is>
      </c>
      <c r="C19" s="34" t="inlineStr">
        <is>
          <t>eod_trailing</t>
        </is>
      </c>
      <c r="D19" s="34" t="inlineStr">
        <is>
          <t>50000</t>
        </is>
      </c>
      <c r="E19" s="34" t="inlineStr">
        <is>
          <t>2000</t>
        </is>
      </c>
      <c r="F19" s="34" t="n"/>
      <c r="G19" s="34" t="inlineStr">
        <is>
          <t>0</t>
        </is>
      </c>
      <c r="H19" s="34" t="inlineStr">
        <is>
          <t>TRUE</t>
        </is>
      </c>
      <c r="I19" s="34" t="n"/>
      <c r="J19" s="34" t="inlineStr">
        <is>
          <t>6</t>
        </is>
      </c>
      <c r="K19" s="34" t="n"/>
      <c r="L19" s="34" t="inlineStr">
        <is>
          <t>dll_usd(unstated)</t>
        </is>
      </c>
      <c r="M19" s="34" t="inlineStr">
        <is>
          <t>https://takeprofittraderhelp.zendesk.com/hc/en-us/articles/15170265979165-Rule-3-Do-Not-Hit-End-Of-Day-EOD-Maximum-Trailing-Drawdown</t>
        </is>
      </c>
      <c r="N19" s="34" t="inlineStr">
        <is>
          <t>2026-10-14</t>
        </is>
      </c>
      <c r="O19" s="34" t="inlineStr">
        <is>
          <t>2025-11-13</t>
        </is>
      </c>
      <c r="P19" s="34" t="inlineStr">
        <is>
          <t>P023</t>
        </is>
      </c>
    </row>
    <row r="20">
      <c r="A20" s="34" t="inlineStr">
        <is>
          <t>Take Profit Trader | Test account (futures) | 75000 [P024]</t>
        </is>
      </c>
      <c r="B20" s="36" t="inlineStr">
        <is>
          <t>partial</t>
        </is>
      </c>
      <c r="C20" s="34" t="inlineStr">
        <is>
          <t>eod_trailing</t>
        </is>
      </c>
      <c r="D20" s="34" t="inlineStr">
        <is>
          <t>75000</t>
        </is>
      </c>
      <c r="E20" s="34" t="inlineStr">
        <is>
          <t>2500</t>
        </is>
      </c>
      <c r="F20" s="34" t="n"/>
      <c r="G20" s="34" t="inlineStr">
        <is>
          <t>0</t>
        </is>
      </c>
      <c r="H20" s="34" t="inlineStr">
        <is>
          <t>TRUE</t>
        </is>
      </c>
      <c r="I20" s="34" t="n"/>
      <c r="J20" s="34" t="inlineStr">
        <is>
          <t>9</t>
        </is>
      </c>
      <c r="K20" s="34" t="n"/>
      <c r="L20" s="34" t="inlineStr">
        <is>
          <t>dll_usd(unstated)</t>
        </is>
      </c>
      <c r="M20" s="34" t="inlineStr">
        <is>
          <t>https://takeprofittraderhelp.zendesk.com/hc/en-us/articles/15170265979165-Rule-3-Do-Not-Hit-End-Of-Day-EOD-Maximum-Trailing-Drawdown</t>
        </is>
      </c>
      <c r="N20" s="34" t="inlineStr">
        <is>
          <t>2026-10-14</t>
        </is>
      </c>
      <c r="O20" s="34" t="inlineStr">
        <is>
          <t>2025-11-13</t>
        </is>
      </c>
      <c r="P20" s="34" t="inlineStr">
        <is>
          <t>P024</t>
        </is>
      </c>
    </row>
    <row r="21">
      <c r="A21" s="34" t="inlineStr">
        <is>
          <t>Take Profit Trader | Test account (futures) | 100000 [P025]</t>
        </is>
      </c>
      <c r="B21" s="36" t="inlineStr">
        <is>
          <t>partial</t>
        </is>
      </c>
      <c r="C21" s="34" t="inlineStr">
        <is>
          <t>eod_trailing</t>
        </is>
      </c>
      <c r="D21" s="34" t="inlineStr">
        <is>
          <t>100000</t>
        </is>
      </c>
      <c r="E21" s="34" t="inlineStr">
        <is>
          <t>3000</t>
        </is>
      </c>
      <c r="F21" s="34" t="n"/>
      <c r="G21" s="34" t="inlineStr">
        <is>
          <t>0</t>
        </is>
      </c>
      <c r="H21" s="34" t="inlineStr">
        <is>
          <t>TRUE</t>
        </is>
      </c>
      <c r="I21" s="34" t="n"/>
      <c r="J21" s="34" t="inlineStr">
        <is>
          <t>12</t>
        </is>
      </c>
      <c r="K21" s="34" t="n"/>
      <c r="L21" s="34" t="inlineStr">
        <is>
          <t>dll_usd(unstated)</t>
        </is>
      </c>
      <c r="M21" s="34" t="inlineStr">
        <is>
          <t>https://takeprofittraderhelp.zendesk.com/hc/en-us/articles/15170265979165-Rule-3-Do-Not-Hit-End-Of-Day-EOD-Maximum-Trailing-Drawdown</t>
        </is>
      </c>
      <c r="N21" s="34" t="inlineStr">
        <is>
          <t>2026-10-14</t>
        </is>
      </c>
      <c r="O21" s="34" t="inlineStr">
        <is>
          <t>2025-11-13</t>
        </is>
      </c>
      <c r="P21" s="34" t="inlineStr">
        <is>
          <t>P025</t>
        </is>
      </c>
    </row>
    <row r="22">
      <c r="A22" s="34" t="inlineStr">
        <is>
          <t>Take Profit Trader | Test account (futures) | 150000 [P026]</t>
        </is>
      </c>
      <c r="B22" s="36" t="inlineStr">
        <is>
          <t>partial</t>
        </is>
      </c>
      <c r="C22" s="34" t="inlineStr">
        <is>
          <t>eod_trailing</t>
        </is>
      </c>
      <c r="D22" s="34" t="inlineStr">
        <is>
          <t>150000</t>
        </is>
      </c>
      <c r="E22" s="34" t="inlineStr">
        <is>
          <t>4500</t>
        </is>
      </c>
      <c r="F22" s="34" t="n"/>
      <c r="G22" s="34" t="inlineStr">
        <is>
          <t>0</t>
        </is>
      </c>
      <c r="H22" s="34" t="inlineStr">
        <is>
          <t>TRUE</t>
        </is>
      </c>
      <c r="I22" s="34" t="n"/>
      <c r="J22" s="34" t="inlineStr">
        <is>
          <t>15</t>
        </is>
      </c>
      <c r="K22" s="34" t="n"/>
      <c r="L22" s="34" t="inlineStr">
        <is>
          <t>dll_usd(unstated)</t>
        </is>
      </c>
      <c r="M22" s="34" t="inlineStr">
        <is>
          <t>https://takeprofittraderhelp.zendesk.com/hc/en-us/articles/15170265979165-Rule-3-Do-Not-Hit-End-Of-Day-EOD-Maximum-Trailing-Drawdown</t>
        </is>
      </c>
      <c r="N22" s="34" t="inlineStr">
        <is>
          <t>2026-10-14</t>
        </is>
      </c>
      <c r="O22" s="34" t="inlineStr">
        <is>
          <t>2025-11-13</t>
        </is>
      </c>
      <c r="P22" s="34" t="inlineStr">
        <is>
          <t>P026</t>
        </is>
      </c>
    </row>
    <row r="23">
      <c r="A23" s="34" t="inlineStr">
        <is>
          <t>Vest (Vest Capital) | Instant | 500 [P027]</t>
        </is>
      </c>
      <c r="B23" s="35" t="inlineStr">
        <is>
          <t>verified</t>
        </is>
      </c>
      <c r="C23" s="34" t="inlineStr">
        <is>
          <t>static</t>
        </is>
      </c>
      <c r="D23" s="34" t="inlineStr">
        <is>
          <t>500</t>
        </is>
      </c>
      <c r="E23" s="34" t="inlineStr">
        <is>
          <t>10</t>
        </is>
      </c>
      <c r="F23" s="34" t="n"/>
      <c r="G23" s="34" t="inlineStr">
        <is>
          <t>NONE</t>
        </is>
      </c>
      <c r="H23" s="34" t="inlineStr">
        <is>
          <t>FALSE</t>
        </is>
      </c>
      <c r="I23" s="34" t="inlineStr">
        <is>
          <t>NONE</t>
        </is>
      </c>
      <c r="J23" s="34" t="n"/>
      <c r="K23" s="34" t="n"/>
      <c r="L23" s="34" t="inlineStr">
        <is>
          <t>max_contracts</t>
        </is>
      </c>
      <c r="M23" s="34" t="inlineStr">
        <is>
          <t>https://docs.vestmarkets.com/vest-capital/loss-limits</t>
        </is>
      </c>
      <c r="N23" s="34" t="inlineStr">
        <is>
          <t>2026-10-14</t>
        </is>
      </c>
      <c r="O23" s="34" t="n"/>
      <c r="P23" s="34" t="inlineStr">
        <is>
          <t>P027</t>
        </is>
      </c>
    </row>
    <row r="24">
      <c r="A24" s="34" t="inlineStr">
        <is>
          <t>Vest (Vest Capital) | Instant | 5000 [P028]</t>
        </is>
      </c>
      <c r="B24" s="35" t="inlineStr">
        <is>
          <t>verified</t>
        </is>
      </c>
      <c r="C24" s="34" t="inlineStr">
        <is>
          <t>static</t>
        </is>
      </c>
      <c r="D24" s="34" t="inlineStr">
        <is>
          <t>5000</t>
        </is>
      </c>
      <c r="E24" s="34" t="inlineStr">
        <is>
          <t>200</t>
        </is>
      </c>
      <c r="F24" s="34" t="n"/>
      <c r="G24" s="34" t="inlineStr">
        <is>
          <t>NONE</t>
        </is>
      </c>
      <c r="H24" s="34" t="inlineStr">
        <is>
          <t>FALSE</t>
        </is>
      </c>
      <c r="I24" s="34" t="inlineStr">
        <is>
          <t>NONE</t>
        </is>
      </c>
      <c r="J24" s="34" t="n"/>
      <c r="K24" s="34" t="n"/>
      <c r="L24" s="34" t="inlineStr">
        <is>
          <t>max_contracts</t>
        </is>
      </c>
      <c r="M24" s="34" t="inlineStr">
        <is>
          <t>https://docs.vestmarkets.com/vest-capital/loss-limits</t>
        </is>
      </c>
      <c r="N24" s="34" t="inlineStr">
        <is>
          <t>2026-10-14</t>
        </is>
      </c>
      <c r="O24" s="34" t="n"/>
      <c r="P24" s="34" t="inlineStr">
        <is>
          <t>P028</t>
        </is>
      </c>
    </row>
    <row r="25">
      <c r="A25" s="34" t="inlineStr">
        <is>
          <t>Vest (Vest Capital) | Instant | 10000 [P029]</t>
        </is>
      </c>
      <c r="B25" s="35" t="inlineStr">
        <is>
          <t>verified</t>
        </is>
      </c>
      <c r="C25" s="34" t="inlineStr">
        <is>
          <t>static</t>
        </is>
      </c>
      <c r="D25" s="34" t="inlineStr">
        <is>
          <t>10000</t>
        </is>
      </c>
      <c r="E25" s="34" t="inlineStr">
        <is>
          <t>400</t>
        </is>
      </c>
      <c r="F25" s="34" t="n"/>
      <c r="G25" s="34" t="inlineStr">
        <is>
          <t>NONE</t>
        </is>
      </c>
      <c r="H25" s="34" t="inlineStr">
        <is>
          <t>FALSE</t>
        </is>
      </c>
      <c r="I25" s="34" t="inlineStr">
        <is>
          <t>NONE</t>
        </is>
      </c>
      <c r="J25" s="34" t="n"/>
      <c r="K25" s="34" t="n"/>
      <c r="L25" s="34" t="inlineStr">
        <is>
          <t>max_contracts</t>
        </is>
      </c>
      <c r="M25" s="34" t="inlineStr">
        <is>
          <t>https://docs.vestmarkets.com/vest-capital/loss-limits</t>
        </is>
      </c>
      <c r="N25" s="34" t="inlineStr">
        <is>
          <t>2026-10-14</t>
        </is>
      </c>
      <c r="O25" s="34" t="n"/>
      <c r="P25" s="34" t="inlineStr">
        <is>
          <t>P029</t>
        </is>
      </c>
    </row>
    <row r="26">
      <c r="A26" s="34" t="inlineStr">
        <is>
          <t>Vest (Vest Capital) | Instant | 25000 [P030]</t>
        </is>
      </c>
      <c r="B26" s="35" t="inlineStr">
        <is>
          <t>verified</t>
        </is>
      </c>
      <c r="C26" s="34" t="inlineStr">
        <is>
          <t>static</t>
        </is>
      </c>
      <c r="D26" s="34" t="inlineStr">
        <is>
          <t>25000</t>
        </is>
      </c>
      <c r="E26" s="34" t="inlineStr">
        <is>
          <t>1000</t>
        </is>
      </c>
      <c r="F26" s="34" t="n"/>
      <c r="G26" s="34" t="inlineStr">
        <is>
          <t>NONE</t>
        </is>
      </c>
      <c r="H26" s="34" t="inlineStr">
        <is>
          <t>FALSE</t>
        </is>
      </c>
      <c r="I26" s="34" t="inlineStr">
        <is>
          <t>NONE</t>
        </is>
      </c>
      <c r="J26" s="34" t="n"/>
      <c r="K26" s="34" t="n"/>
      <c r="L26" s="34" t="inlineStr">
        <is>
          <t>max_contracts</t>
        </is>
      </c>
      <c r="M26" s="34" t="inlineStr">
        <is>
          <t>https://docs.vestmarkets.com/vest-capital/loss-limits</t>
        </is>
      </c>
      <c r="N26" s="34" t="inlineStr">
        <is>
          <t>2026-10-14</t>
        </is>
      </c>
      <c r="O26" s="34" t="n"/>
      <c r="P26" s="34" t="inlineStr">
        <is>
          <t>P030</t>
        </is>
      </c>
    </row>
    <row r="27">
      <c r="A27" s="34" t="inlineStr">
        <is>
          <t>Vest (Vest Capital) | Evaluation | 5000 [P031]</t>
        </is>
      </c>
      <c r="B27" s="35" t="inlineStr">
        <is>
          <t>verified</t>
        </is>
      </c>
      <c r="C27" s="34" t="inlineStr">
        <is>
          <t>static</t>
        </is>
      </c>
      <c r="D27" s="34" t="inlineStr">
        <is>
          <t>5000</t>
        </is>
      </c>
      <c r="E27" s="34" t="inlineStr">
        <is>
          <t>300</t>
        </is>
      </c>
      <c r="F27" s="34" t="inlineStr">
        <is>
          <t>6</t>
        </is>
      </c>
      <c r="G27" s="34" t="inlineStr">
        <is>
          <t>NONE</t>
        </is>
      </c>
      <c r="H27" s="34" t="inlineStr">
        <is>
          <t>FALSE</t>
        </is>
      </c>
      <c r="I27" s="34" t="n"/>
      <c r="J27" s="34" t="n"/>
      <c r="K27" s="34" t="n"/>
      <c r="L27" s="34" t="inlineStr">
        <is>
          <t>dll_usd(pct_choice,optional);max_contracts</t>
        </is>
      </c>
      <c r="M27" s="34" t="inlineStr">
        <is>
          <t>https://docs.vestmarkets.com/vest-capital/loss-limits</t>
        </is>
      </c>
      <c r="N27" s="34" t="inlineStr">
        <is>
          <t>2026-10-14</t>
        </is>
      </c>
      <c r="O27" s="34" t="n"/>
      <c r="P27" s="34" t="inlineStr">
        <is>
          <t>P031</t>
        </is>
      </c>
    </row>
    <row r="28">
      <c r="A28" s="34" t="inlineStr">
        <is>
          <t>Vest (Vest Capital) | Evaluation | 10000 [P032]</t>
        </is>
      </c>
      <c r="B28" s="35" t="inlineStr">
        <is>
          <t>verified</t>
        </is>
      </c>
      <c r="C28" s="34" t="inlineStr">
        <is>
          <t>static</t>
        </is>
      </c>
      <c r="D28" s="34" t="inlineStr">
        <is>
          <t>10000</t>
        </is>
      </c>
      <c r="E28" s="34" t="inlineStr">
        <is>
          <t>600</t>
        </is>
      </c>
      <c r="F28" s="34" t="inlineStr">
        <is>
          <t>6</t>
        </is>
      </c>
      <c r="G28" s="34" t="inlineStr">
        <is>
          <t>NONE</t>
        </is>
      </c>
      <c r="H28" s="34" t="inlineStr">
        <is>
          <t>FALSE</t>
        </is>
      </c>
      <c r="I28" s="34" t="n"/>
      <c r="J28" s="34" t="n"/>
      <c r="K28" s="34" t="n"/>
      <c r="L28" s="34" t="inlineStr">
        <is>
          <t>dll_usd(pct_choice,optional);max_contracts</t>
        </is>
      </c>
      <c r="M28" s="34" t="inlineStr">
        <is>
          <t>https://docs.vestmarkets.com/vest-capital/loss-limits</t>
        </is>
      </c>
      <c r="N28" s="34" t="inlineStr">
        <is>
          <t>2026-10-14</t>
        </is>
      </c>
      <c r="O28" s="34" t="n"/>
      <c r="P28" s="34" t="inlineStr">
        <is>
          <t>P032</t>
        </is>
      </c>
    </row>
    <row r="29">
      <c r="A29" s="34" t="inlineStr">
        <is>
          <t>Vest (Vest Capital) | Evaluation | 25000 [P033]</t>
        </is>
      </c>
      <c r="B29" s="35" t="inlineStr">
        <is>
          <t>verified</t>
        </is>
      </c>
      <c r="C29" s="34" t="inlineStr">
        <is>
          <t>static</t>
        </is>
      </c>
      <c r="D29" s="34" t="inlineStr">
        <is>
          <t>25000</t>
        </is>
      </c>
      <c r="E29" s="34" t="inlineStr">
        <is>
          <t>1500</t>
        </is>
      </c>
      <c r="F29" s="34" t="inlineStr">
        <is>
          <t>6</t>
        </is>
      </c>
      <c r="G29" s="34" t="inlineStr">
        <is>
          <t>NONE</t>
        </is>
      </c>
      <c r="H29" s="34" t="inlineStr">
        <is>
          <t>FALSE</t>
        </is>
      </c>
      <c r="I29" s="34" t="n"/>
      <c r="J29" s="34" t="n"/>
      <c r="K29" s="34" t="n"/>
      <c r="L29" s="34" t="inlineStr">
        <is>
          <t>dll_usd(pct_choice,optional);max_contracts</t>
        </is>
      </c>
      <c r="M29" s="34" t="inlineStr">
        <is>
          <t>https://docs.vestmarkets.com/vest-capital/loss-limits</t>
        </is>
      </c>
      <c r="N29" s="34" t="inlineStr">
        <is>
          <t>2026-10-14</t>
        </is>
      </c>
      <c r="O29" s="34" t="n"/>
      <c r="P29" s="34" t="inlineStr">
        <is>
          <t>P033</t>
        </is>
      </c>
    </row>
    <row r="30">
      <c r="A30" s="34" t="inlineStr">
        <is>
          <t>Breakout | Evaluation 1-Step Classic | 5000 [P034]</t>
        </is>
      </c>
      <c r="B30" s="35" t="inlineStr">
        <is>
          <t>verified</t>
        </is>
      </c>
      <c r="C30" s="34" t="inlineStr">
        <is>
          <t>static</t>
        </is>
      </c>
      <c r="D30" s="34" t="inlineStr">
        <is>
          <t>5000</t>
        </is>
      </c>
      <c r="E30" s="34" t="inlineStr">
        <is>
          <t>300</t>
        </is>
      </c>
      <c r="F30" s="34" t="n"/>
      <c r="G30" s="34" t="inlineStr">
        <is>
          <t>NONE</t>
        </is>
      </c>
      <c r="H30" s="34" t="inlineStr">
        <is>
          <t>TRUE</t>
        </is>
      </c>
      <c r="I30" s="34" t="n"/>
      <c r="J30" s="34" t="n"/>
      <c r="K30" s="34" t="n"/>
      <c r="L30" s="34" t="inlineStr">
        <is>
          <t>dll_usd(pct);max_contracts</t>
        </is>
      </c>
      <c r="M30" s="34" t="inlineStr">
        <is>
          <t>https://www.breakoutprop.com/program-rules/</t>
        </is>
      </c>
      <c r="N30" s="34" t="inlineStr">
        <is>
          <t>2026-10-14</t>
        </is>
      </c>
      <c r="O30" s="34" t="inlineStr">
        <is>
          <t>2026-07-29</t>
        </is>
      </c>
      <c r="P30" s="34" t="inlineStr">
        <is>
          <t>P034</t>
        </is>
      </c>
    </row>
    <row r="31">
      <c r="A31" s="34" t="inlineStr">
        <is>
          <t>Breakout | Evaluation 1-Step Classic | 10000 [P035]</t>
        </is>
      </c>
      <c r="B31" s="35" t="inlineStr">
        <is>
          <t>verified</t>
        </is>
      </c>
      <c r="C31" s="34" t="inlineStr">
        <is>
          <t>static</t>
        </is>
      </c>
      <c r="D31" s="34" t="inlineStr">
        <is>
          <t>10000</t>
        </is>
      </c>
      <c r="E31" s="34" t="inlineStr">
        <is>
          <t>600</t>
        </is>
      </c>
      <c r="F31" s="34" t="n"/>
      <c r="G31" s="34" t="inlineStr">
        <is>
          <t>NONE</t>
        </is>
      </c>
      <c r="H31" s="34" t="inlineStr">
        <is>
          <t>TRUE</t>
        </is>
      </c>
      <c r="I31" s="34" t="n"/>
      <c r="J31" s="34" t="n"/>
      <c r="K31" s="34" t="n"/>
      <c r="L31" s="34" t="inlineStr">
        <is>
          <t>dll_usd(pct);max_contracts</t>
        </is>
      </c>
      <c r="M31" s="34" t="inlineStr">
        <is>
          <t>https://www.breakoutprop.com/program-rules/</t>
        </is>
      </c>
      <c r="N31" s="34" t="inlineStr">
        <is>
          <t>2026-10-14</t>
        </is>
      </c>
      <c r="O31" s="34" t="inlineStr">
        <is>
          <t>2026-07-29</t>
        </is>
      </c>
      <c r="P31" s="34" t="inlineStr">
        <is>
          <t>P035</t>
        </is>
      </c>
    </row>
    <row r="32">
      <c r="A32" s="34" t="inlineStr">
        <is>
          <t>Breakout | Evaluation 1-Step Classic | 25000 [P036]</t>
        </is>
      </c>
      <c r="B32" s="35" t="inlineStr">
        <is>
          <t>verified</t>
        </is>
      </c>
      <c r="C32" s="34" t="inlineStr">
        <is>
          <t>static</t>
        </is>
      </c>
      <c r="D32" s="34" t="inlineStr">
        <is>
          <t>25000</t>
        </is>
      </c>
      <c r="E32" s="34" t="inlineStr">
        <is>
          <t>1500</t>
        </is>
      </c>
      <c r="F32" s="34" t="n"/>
      <c r="G32" s="34" t="inlineStr">
        <is>
          <t>NONE</t>
        </is>
      </c>
      <c r="H32" s="34" t="inlineStr">
        <is>
          <t>TRUE</t>
        </is>
      </c>
      <c r="I32" s="34" t="n"/>
      <c r="J32" s="34" t="n"/>
      <c r="K32" s="34" t="n"/>
      <c r="L32" s="34" t="inlineStr">
        <is>
          <t>dll_usd(pct);max_contracts</t>
        </is>
      </c>
      <c r="M32" s="34" t="inlineStr">
        <is>
          <t>https://www.breakoutprop.com/program-rules/</t>
        </is>
      </c>
      <c r="N32" s="34" t="inlineStr">
        <is>
          <t>2026-10-14</t>
        </is>
      </c>
      <c r="O32" s="34" t="inlineStr">
        <is>
          <t>2026-07-29</t>
        </is>
      </c>
      <c r="P32" s="34" t="inlineStr">
        <is>
          <t>P036</t>
        </is>
      </c>
    </row>
    <row r="33">
      <c r="A33" s="34" t="inlineStr">
        <is>
          <t>Breakout | Evaluation 1-Step Classic | 50000 [P037]</t>
        </is>
      </c>
      <c r="B33" s="35" t="inlineStr">
        <is>
          <t>verified</t>
        </is>
      </c>
      <c r="C33" s="34" t="inlineStr">
        <is>
          <t>static</t>
        </is>
      </c>
      <c r="D33" s="34" t="inlineStr">
        <is>
          <t>50000</t>
        </is>
      </c>
      <c r="E33" s="34" t="inlineStr">
        <is>
          <t>3000</t>
        </is>
      </c>
      <c r="F33" s="34" t="n"/>
      <c r="G33" s="34" t="inlineStr">
        <is>
          <t>NONE</t>
        </is>
      </c>
      <c r="H33" s="34" t="inlineStr">
        <is>
          <t>TRUE</t>
        </is>
      </c>
      <c r="I33" s="34" t="n"/>
      <c r="J33" s="34" t="n"/>
      <c r="K33" s="34" t="n"/>
      <c r="L33" s="34" t="inlineStr">
        <is>
          <t>dll_usd(pct);max_contracts</t>
        </is>
      </c>
      <c r="M33" s="34" t="inlineStr">
        <is>
          <t>https://www.breakoutprop.com/program-rules/</t>
        </is>
      </c>
      <c r="N33" s="34" t="inlineStr">
        <is>
          <t>2026-10-14</t>
        </is>
      </c>
      <c r="O33" s="34" t="inlineStr">
        <is>
          <t>2026-07-29</t>
        </is>
      </c>
      <c r="P33" s="34" t="inlineStr">
        <is>
          <t>P037</t>
        </is>
      </c>
    </row>
    <row r="34">
      <c r="A34" s="34" t="inlineStr">
        <is>
          <t>Breakout | Evaluation 1-Step Classic | 100000 [P038]</t>
        </is>
      </c>
      <c r="B34" s="35" t="inlineStr">
        <is>
          <t>verified</t>
        </is>
      </c>
      <c r="C34" s="34" t="inlineStr">
        <is>
          <t>static</t>
        </is>
      </c>
      <c r="D34" s="34" t="inlineStr">
        <is>
          <t>100000</t>
        </is>
      </c>
      <c r="E34" s="34" t="inlineStr">
        <is>
          <t>6000</t>
        </is>
      </c>
      <c r="F34" s="34" t="n"/>
      <c r="G34" s="34" t="inlineStr">
        <is>
          <t>NONE</t>
        </is>
      </c>
      <c r="H34" s="34" t="inlineStr">
        <is>
          <t>TRUE</t>
        </is>
      </c>
      <c r="I34" s="34" t="n"/>
      <c r="J34" s="34" t="n"/>
      <c r="K34" s="34" t="n"/>
      <c r="L34" s="34" t="inlineStr">
        <is>
          <t>dll_usd(pct);max_contracts</t>
        </is>
      </c>
      <c r="M34" s="34" t="inlineStr">
        <is>
          <t>https://www.breakoutprop.com/program-rules/</t>
        </is>
      </c>
      <c r="N34" s="34" t="inlineStr">
        <is>
          <t>2026-10-14</t>
        </is>
      </c>
      <c r="O34" s="34" t="inlineStr">
        <is>
          <t>2026-07-29</t>
        </is>
      </c>
      <c r="P34" s="34" t="inlineStr">
        <is>
          <t>P038</t>
        </is>
      </c>
    </row>
    <row r="35">
      <c r="A35" s="34" t="inlineStr">
        <is>
          <t>Breakout | Evaluation 1-Step Pro | 5000 [P039]</t>
        </is>
      </c>
      <c r="B35" s="35" t="inlineStr">
        <is>
          <t>verified</t>
        </is>
      </c>
      <c r="C35" s="34" t="inlineStr">
        <is>
          <t>static</t>
        </is>
      </c>
      <c r="D35" s="34" t="inlineStr">
        <is>
          <t>5000</t>
        </is>
      </c>
      <c r="E35" s="34" t="inlineStr">
        <is>
          <t>250</t>
        </is>
      </c>
      <c r="F35" s="34" t="n"/>
      <c r="G35" s="34" t="inlineStr">
        <is>
          <t>NONE</t>
        </is>
      </c>
      <c r="H35" s="34" t="inlineStr">
        <is>
          <t>TRUE</t>
        </is>
      </c>
      <c r="I35" s="34" t="n"/>
      <c r="J35" s="34" t="n"/>
      <c r="K35" s="34" t="n"/>
      <c r="L35" s="34" t="inlineStr">
        <is>
          <t>dll_usd(pct);max_contracts</t>
        </is>
      </c>
      <c r="M35" s="34" t="inlineStr">
        <is>
          <t>https://www.breakoutprop.com/program-rules/</t>
        </is>
      </c>
      <c r="N35" s="34" t="inlineStr">
        <is>
          <t>2026-10-14</t>
        </is>
      </c>
      <c r="O35" s="34" t="inlineStr">
        <is>
          <t>2026-07-29</t>
        </is>
      </c>
      <c r="P35" s="34" t="inlineStr">
        <is>
          <t>P039</t>
        </is>
      </c>
    </row>
    <row r="36">
      <c r="A36" s="34" t="inlineStr">
        <is>
          <t>Breakout | Evaluation 1-Step Pro | 10000 [P040]</t>
        </is>
      </c>
      <c r="B36" s="35" t="inlineStr">
        <is>
          <t>verified</t>
        </is>
      </c>
      <c r="C36" s="34" t="inlineStr">
        <is>
          <t>static</t>
        </is>
      </c>
      <c r="D36" s="34" t="inlineStr">
        <is>
          <t>10000</t>
        </is>
      </c>
      <c r="E36" s="34" t="inlineStr">
        <is>
          <t>500</t>
        </is>
      </c>
      <c r="F36" s="34" t="n"/>
      <c r="G36" s="34" t="inlineStr">
        <is>
          <t>NONE</t>
        </is>
      </c>
      <c r="H36" s="34" t="inlineStr">
        <is>
          <t>TRUE</t>
        </is>
      </c>
      <c r="I36" s="34" t="n"/>
      <c r="J36" s="34" t="n"/>
      <c r="K36" s="34" t="n"/>
      <c r="L36" s="34" t="inlineStr">
        <is>
          <t>dll_usd(pct);max_contracts</t>
        </is>
      </c>
      <c r="M36" s="34" t="inlineStr">
        <is>
          <t>https://www.breakoutprop.com/program-rules/</t>
        </is>
      </c>
      <c r="N36" s="34" t="inlineStr">
        <is>
          <t>2026-10-14</t>
        </is>
      </c>
      <c r="O36" s="34" t="inlineStr">
        <is>
          <t>2026-07-29</t>
        </is>
      </c>
      <c r="P36" s="34" t="inlineStr">
        <is>
          <t>P040</t>
        </is>
      </c>
    </row>
    <row r="37">
      <c r="A37" s="34" t="inlineStr">
        <is>
          <t>Breakout | Evaluation 1-Step Pro | 25000 [P041]</t>
        </is>
      </c>
      <c r="B37" s="35" t="inlineStr">
        <is>
          <t>verified</t>
        </is>
      </c>
      <c r="C37" s="34" t="inlineStr">
        <is>
          <t>static</t>
        </is>
      </c>
      <c r="D37" s="34" t="inlineStr">
        <is>
          <t>25000</t>
        </is>
      </c>
      <c r="E37" s="34" t="inlineStr">
        <is>
          <t>1250</t>
        </is>
      </c>
      <c r="F37" s="34" t="n"/>
      <c r="G37" s="34" t="inlineStr">
        <is>
          <t>NONE</t>
        </is>
      </c>
      <c r="H37" s="34" t="inlineStr">
        <is>
          <t>TRUE</t>
        </is>
      </c>
      <c r="I37" s="34" t="n"/>
      <c r="J37" s="34" t="n"/>
      <c r="K37" s="34" t="n"/>
      <c r="L37" s="34" t="inlineStr">
        <is>
          <t>dll_usd(pct);max_contracts</t>
        </is>
      </c>
      <c r="M37" s="34" t="inlineStr">
        <is>
          <t>https://www.breakoutprop.com/program-rules/</t>
        </is>
      </c>
      <c r="N37" s="34" t="inlineStr">
        <is>
          <t>2026-10-14</t>
        </is>
      </c>
      <c r="O37" s="34" t="inlineStr">
        <is>
          <t>2026-07-29</t>
        </is>
      </c>
      <c r="P37" s="34" t="inlineStr">
        <is>
          <t>P041</t>
        </is>
      </c>
    </row>
    <row r="38">
      <c r="A38" s="34" t="inlineStr">
        <is>
          <t>Breakout | Evaluation 1-Step Pro | 50000 [P042]</t>
        </is>
      </c>
      <c r="B38" s="35" t="inlineStr">
        <is>
          <t>verified</t>
        </is>
      </c>
      <c r="C38" s="34" t="inlineStr">
        <is>
          <t>static</t>
        </is>
      </c>
      <c r="D38" s="34" t="inlineStr">
        <is>
          <t>50000</t>
        </is>
      </c>
      <c r="E38" s="34" t="inlineStr">
        <is>
          <t>2500</t>
        </is>
      </c>
      <c r="F38" s="34" t="n"/>
      <c r="G38" s="34" t="inlineStr">
        <is>
          <t>NONE</t>
        </is>
      </c>
      <c r="H38" s="34" t="inlineStr">
        <is>
          <t>TRUE</t>
        </is>
      </c>
      <c r="I38" s="34" t="n"/>
      <c r="J38" s="34" t="n"/>
      <c r="K38" s="34" t="n"/>
      <c r="L38" s="34" t="inlineStr">
        <is>
          <t>dll_usd(pct);max_contracts</t>
        </is>
      </c>
      <c r="M38" s="34" t="inlineStr">
        <is>
          <t>https://www.breakoutprop.com/program-rules/</t>
        </is>
      </c>
      <c r="N38" s="34" t="inlineStr">
        <is>
          <t>2026-10-14</t>
        </is>
      </c>
      <c r="O38" s="34" t="inlineStr">
        <is>
          <t>2026-07-29</t>
        </is>
      </c>
      <c r="P38" s="34" t="inlineStr">
        <is>
          <t>P042</t>
        </is>
      </c>
    </row>
    <row r="39">
      <c r="A39" s="34" t="inlineStr">
        <is>
          <t>Breakout | Evaluation 1-Step Pro | 100000 [P043]</t>
        </is>
      </c>
      <c r="B39" s="35" t="inlineStr">
        <is>
          <t>verified</t>
        </is>
      </c>
      <c r="C39" s="34" t="inlineStr">
        <is>
          <t>static</t>
        </is>
      </c>
      <c r="D39" s="34" t="inlineStr">
        <is>
          <t>100000</t>
        </is>
      </c>
      <c r="E39" s="34" t="inlineStr">
        <is>
          <t>5000</t>
        </is>
      </c>
      <c r="F39" s="34" t="n"/>
      <c r="G39" s="34" t="inlineStr">
        <is>
          <t>NONE</t>
        </is>
      </c>
      <c r="H39" s="34" t="inlineStr">
        <is>
          <t>TRUE</t>
        </is>
      </c>
      <c r="I39" s="34" t="n"/>
      <c r="J39" s="34" t="n"/>
      <c r="K39" s="34" t="n"/>
      <c r="L39" s="34" t="inlineStr">
        <is>
          <t>dll_usd(pct);max_contracts</t>
        </is>
      </c>
      <c r="M39" s="34" t="inlineStr">
        <is>
          <t>https://www.breakoutprop.com/program-rules/</t>
        </is>
      </c>
      <c r="N39" s="34" t="inlineStr">
        <is>
          <t>2026-10-14</t>
        </is>
      </c>
      <c r="O39" s="34" t="inlineStr">
        <is>
          <t>2026-07-29</t>
        </is>
      </c>
      <c r="P39" s="34" t="inlineStr">
        <is>
          <t>P043</t>
        </is>
      </c>
    </row>
    <row r="40">
      <c r="A40" s="34" t="inlineStr">
        <is>
          <t>Breakout | Evaluation 1-Step Pro | 200000 [P044]</t>
        </is>
      </c>
      <c r="B40" s="35" t="inlineStr">
        <is>
          <t>verified</t>
        </is>
      </c>
      <c r="C40" s="34" t="inlineStr">
        <is>
          <t>static</t>
        </is>
      </c>
      <c r="D40" s="34" t="inlineStr">
        <is>
          <t>200000</t>
        </is>
      </c>
      <c r="E40" s="34" t="inlineStr">
        <is>
          <t>10000</t>
        </is>
      </c>
      <c r="F40" s="34" t="n"/>
      <c r="G40" s="34" t="inlineStr">
        <is>
          <t>NONE</t>
        </is>
      </c>
      <c r="H40" s="34" t="inlineStr">
        <is>
          <t>TRUE</t>
        </is>
      </c>
      <c r="I40" s="34" t="n"/>
      <c r="J40" s="34" t="n"/>
      <c r="K40" s="34" t="n"/>
      <c r="L40" s="34" t="inlineStr">
        <is>
          <t>dll_usd(pct);max_contracts</t>
        </is>
      </c>
      <c r="M40" s="34" t="inlineStr">
        <is>
          <t>https://www.breakoutprop.com/program-rules/</t>
        </is>
      </c>
      <c r="N40" s="34" t="inlineStr">
        <is>
          <t>2026-10-14</t>
        </is>
      </c>
      <c r="O40" s="34" t="inlineStr">
        <is>
          <t>2026-07-29</t>
        </is>
      </c>
      <c r="P40" s="34" t="inlineStr">
        <is>
          <t>P044</t>
        </is>
      </c>
    </row>
    <row r="41">
      <c r="A41" s="34" t="inlineStr">
        <is>
          <t>Breakout | Evaluation 1-Step Turbo | 5000 [P045]</t>
        </is>
      </c>
      <c r="B41" s="35" t="inlineStr">
        <is>
          <t>verified</t>
        </is>
      </c>
      <c r="C41" s="34" t="inlineStr">
        <is>
          <t>static</t>
        </is>
      </c>
      <c r="D41" s="34" t="inlineStr">
        <is>
          <t>5000</t>
        </is>
      </c>
      <c r="E41" s="34" t="inlineStr">
        <is>
          <t>150</t>
        </is>
      </c>
      <c r="F41" s="34" t="n"/>
      <c r="G41" s="34" t="inlineStr">
        <is>
          <t>NONE</t>
        </is>
      </c>
      <c r="H41" s="34" t="inlineStr">
        <is>
          <t>TRUE</t>
        </is>
      </c>
      <c r="I41" s="34" t="n"/>
      <c r="J41" s="34" t="n"/>
      <c r="K41" s="34" t="n"/>
      <c r="L41" s="34" t="inlineStr">
        <is>
          <t>dll_usd(pct);max_contracts</t>
        </is>
      </c>
      <c r="M41" s="34" t="inlineStr">
        <is>
          <t>https://www.breakoutprop.com/program-rules/</t>
        </is>
      </c>
      <c r="N41" s="34" t="inlineStr">
        <is>
          <t>2026-10-14</t>
        </is>
      </c>
      <c r="O41" s="34" t="inlineStr">
        <is>
          <t>2026-07-29</t>
        </is>
      </c>
      <c r="P41" s="34" t="inlineStr">
        <is>
          <t>P045</t>
        </is>
      </c>
    </row>
    <row r="42">
      <c r="A42" s="34" t="inlineStr">
        <is>
          <t>Breakout | Evaluation 1-Step Turbo | 10000 [P046]</t>
        </is>
      </c>
      <c r="B42" s="35" t="inlineStr">
        <is>
          <t>verified</t>
        </is>
      </c>
      <c r="C42" s="34" t="inlineStr">
        <is>
          <t>static</t>
        </is>
      </c>
      <c r="D42" s="34" t="inlineStr">
        <is>
          <t>10000</t>
        </is>
      </c>
      <c r="E42" s="34" t="inlineStr">
        <is>
          <t>300</t>
        </is>
      </c>
      <c r="F42" s="34" t="n"/>
      <c r="G42" s="34" t="inlineStr">
        <is>
          <t>NONE</t>
        </is>
      </c>
      <c r="H42" s="34" t="inlineStr">
        <is>
          <t>TRUE</t>
        </is>
      </c>
      <c r="I42" s="34" t="n"/>
      <c r="J42" s="34" t="n"/>
      <c r="K42" s="34" t="n"/>
      <c r="L42" s="34" t="inlineStr">
        <is>
          <t>dll_usd(pct);max_contracts</t>
        </is>
      </c>
      <c r="M42" s="34" t="inlineStr">
        <is>
          <t>https://www.breakoutprop.com/program-rules/</t>
        </is>
      </c>
      <c r="N42" s="34" t="inlineStr">
        <is>
          <t>2026-10-14</t>
        </is>
      </c>
      <c r="O42" s="34" t="inlineStr">
        <is>
          <t>2026-07-29</t>
        </is>
      </c>
      <c r="P42" s="34" t="inlineStr">
        <is>
          <t>P046</t>
        </is>
      </c>
    </row>
    <row r="43">
      <c r="A43" s="34" t="inlineStr">
        <is>
          <t>Breakout | Evaluation 1-Step Turbo | 25000 [P047]</t>
        </is>
      </c>
      <c r="B43" s="35" t="inlineStr">
        <is>
          <t>verified</t>
        </is>
      </c>
      <c r="C43" s="34" t="inlineStr">
        <is>
          <t>static</t>
        </is>
      </c>
      <c r="D43" s="34" t="inlineStr">
        <is>
          <t>25000</t>
        </is>
      </c>
      <c r="E43" s="34" t="inlineStr">
        <is>
          <t>750</t>
        </is>
      </c>
      <c r="F43" s="34" t="n"/>
      <c r="G43" s="34" t="inlineStr">
        <is>
          <t>NONE</t>
        </is>
      </c>
      <c r="H43" s="34" t="inlineStr">
        <is>
          <t>TRUE</t>
        </is>
      </c>
      <c r="I43" s="34" t="n"/>
      <c r="J43" s="34" t="n"/>
      <c r="K43" s="34" t="n"/>
      <c r="L43" s="34" t="inlineStr">
        <is>
          <t>dll_usd(pct);max_contracts</t>
        </is>
      </c>
      <c r="M43" s="34" t="inlineStr">
        <is>
          <t>https://www.breakoutprop.com/program-rules/</t>
        </is>
      </c>
      <c r="N43" s="34" t="inlineStr">
        <is>
          <t>2026-10-14</t>
        </is>
      </c>
      <c r="O43" s="34" t="inlineStr">
        <is>
          <t>2026-07-29</t>
        </is>
      </c>
      <c r="P43" s="34" t="inlineStr">
        <is>
          <t>P047</t>
        </is>
      </c>
    </row>
    <row r="44">
      <c r="A44" s="34" t="inlineStr">
        <is>
          <t>Breakout | Evaluation 1-Step Turbo | 50000 [P048]</t>
        </is>
      </c>
      <c r="B44" s="35" t="inlineStr">
        <is>
          <t>verified</t>
        </is>
      </c>
      <c r="C44" s="34" t="inlineStr">
        <is>
          <t>static</t>
        </is>
      </c>
      <c r="D44" s="34" t="inlineStr">
        <is>
          <t>50000</t>
        </is>
      </c>
      <c r="E44" s="34" t="inlineStr">
        <is>
          <t>1500</t>
        </is>
      </c>
      <c r="F44" s="34" t="n"/>
      <c r="G44" s="34" t="inlineStr">
        <is>
          <t>NONE</t>
        </is>
      </c>
      <c r="H44" s="34" t="inlineStr">
        <is>
          <t>TRUE</t>
        </is>
      </c>
      <c r="I44" s="34" t="n"/>
      <c r="J44" s="34" t="n"/>
      <c r="K44" s="34" t="n"/>
      <c r="L44" s="34" t="inlineStr">
        <is>
          <t>dll_usd(pct);max_contracts</t>
        </is>
      </c>
      <c r="M44" s="34" t="inlineStr">
        <is>
          <t>https://www.breakoutprop.com/program-rules/</t>
        </is>
      </c>
      <c r="N44" s="34" t="inlineStr">
        <is>
          <t>2026-10-14</t>
        </is>
      </c>
      <c r="O44" s="34" t="inlineStr">
        <is>
          <t>2026-07-29</t>
        </is>
      </c>
      <c r="P44" s="34" t="inlineStr">
        <is>
          <t>P048</t>
        </is>
      </c>
    </row>
    <row r="45">
      <c r="A45" s="34" t="inlineStr">
        <is>
          <t>Breakout | Evaluation 1-Step Turbo | 100000 [P049]</t>
        </is>
      </c>
      <c r="B45" s="35" t="inlineStr">
        <is>
          <t>verified</t>
        </is>
      </c>
      <c r="C45" s="34" t="inlineStr">
        <is>
          <t>static</t>
        </is>
      </c>
      <c r="D45" s="34" t="inlineStr">
        <is>
          <t>100000</t>
        </is>
      </c>
      <c r="E45" s="34" t="inlineStr">
        <is>
          <t>3000</t>
        </is>
      </c>
      <c r="F45" s="34" t="n"/>
      <c r="G45" s="34" t="inlineStr">
        <is>
          <t>NONE</t>
        </is>
      </c>
      <c r="H45" s="34" t="inlineStr">
        <is>
          <t>TRUE</t>
        </is>
      </c>
      <c r="I45" s="34" t="n"/>
      <c r="J45" s="34" t="n"/>
      <c r="K45" s="34" t="n"/>
      <c r="L45" s="34" t="inlineStr">
        <is>
          <t>dll_usd(pct);max_contracts</t>
        </is>
      </c>
      <c r="M45" s="34" t="inlineStr">
        <is>
          <t>https://www.breakoutprop.com/program-rules/</t>
        </is>
      </c>
      <c r="N45" s="34" t="inlineStr">
        <is>
          <t>2026-10-14</t>
        </is>
      </c>
      <c r="O45" s="34" t="inlineStr">
        <is>
          <t>2026-07-29</t>
        </is>
      </c>
      <c r="P45" s="34" t="inlineStr">
        <is>
          <t>P049</t>
        </is>
      </c>
    </row>
    <row r="46">
      <c r="A46" s="34" t="inlineStr">
        <is>
          <t>Breakout | Evaluation 1-Step Turbo | 200000 [P050]</t>
        </is>
      </c>
      <c r="B46" s="35" t="inlineStr">
        <is>
          <t>verified</t>
        </is>
      </c>
      <c r="C46" s="34" t="inlineStr">
        <is>
          <t>static</t>
        </is>
      </c>
      <c r="D46" s="34" t="inlineStr">
        <is>
          <t>200000</t>
        </is>
      </c>
      <c r="E46" s="34" t="inlineStr">
        <is>
          <t>6000</t>
        </is>
      </c>
      <c r="F46" s="34" t="n"/>
      <c r="G46" s="34" t="inlineStr">
        <is>
          <t>NONE</t>
        </is>
      </c>
      <c r="H46" s="34" t="inlineStr">
        <is>
          <t>TRUE</t>
        </is>
      </c>
      <c r="I46" s="34" t="n"/>
      <c r="J46" s="34" t="n"/>
      <c r="K46" s="34" t="n"/>
      <c r="L46" s="34" t="inlineStr">
        <is>
          <t>dll_usd(pct);max_contracts</t>
        </is>
      </c>
      <c r="M46" s="34" t="inlineStr">
        <is>
          <t>https://www.breakoutprop.com/program-rules/</t>
        </is>
      </c>
      <c r="N46" s="34" t="inlineStr">
        <is>
          <t>2026-10-14</t>
        </is>
      </c>
      <c r="O46" s="34" t="inlineStr">
        <is>
          <t>2026-07-29</t>
        </is>
      </c>
      <c r="P46" s="34" t="inlineStr">
        <is>
          <t>P050</t>
        </is>
      </c>
    </row>
    <row r="47">
      <c r="A47" s="34" t="inlineStr">
        <is>
          <t>MyFundedPerps | Evaluation 1-Step Select | size? [P051]</t>
        </is>
      </c>
      <c r="B47" s="35" t="inlineStr">
        <is>
          <t>verified</t>
        </is>
      </c>
      <c r="C47" s="34" t="inlineStr">
        <is>
          <t>static</t>
        </is>
      </c>
      <c r="D47" s="34" t="n"/>
      <c r="E47" s="34" t="n"/>
      <c r="F47" s="34" t="inlineStr">
        <is>
          <t>3</t>
        </is>
      </c>
      <c r="G47" s="34" t="inlineStr">
        <is>
          <t>NONE</t>
        </is>
      </c>
      <c r="H47" s="34" t="inlineStr">
        <is>
          <t>TRUE</t>
        </is>
      </c>
      <c r="I47" s="34" t="n"/>
      <c r="J47" s="34" t="n"/>
      <c r="K47" s="34" t="n"/>
      <c r="L47" s="34" t="inlineStr">
        <is>
          <t>dll_usd(pct_of_start);max_contracts;start_balance;touch_after_lock_not_modeled</t>
        </is>
      </c>
      <c r="M47" s="34" t="inlineStr">
        <is>
          <t>https://docs.myfundedperpetuals.com/guides/challenges-and-rules</t>
        </is>
      </c>
      <c r="N47" s="34" t="inlineStr">
        <is>
          <t>2026-10-14</t>
        </is>
      </c>
      <c r="O47" s="34" t="n"/>
      <c r="P47" s="34" t="inlineStr">
        <is>
          <t>P051</t>
        </is>
      </c>
    </row>
    <row r="48">
      <c r="A48" s="34" t="inlineStr">
        <is>
          <t>MyFundedPerps | Evaluation 1-Step Prime | size? [P052]</t>
        </is>
      </c>
      <c r="B48" s="35" t="inlineStr">
        <is>
          <t>verified</t>
        </is>
      </c>
      <c r="C48" s="34" t="inlineStr">
        <is>
          <t>static</t>
        </is>
      </c>
      <c r="D48" s="34" t="n"/>
      <c r="E48" s="34" t="n"/>
      <c r="F48" s="34" t="inlineStr">
        <is>
          <t>5</t>
        </is>
      </c>
      <c r="G48" s="34" t="inlineStr">
        <is>
          <t>NONE</t>
        </is>
      </c>
      <c r="H48" s="34" t="inlineStr">
        <is>
          <t>TRUE</t>
        </is>
      </c>
      <c r="I48" s="34" t="n"/>
      <c r="J48" s="34" t="n"/>
      <c r="K48" s="34" t="n"/>
      <c r="L48" s="34" t="inlineStr">
        <is>
          <t>dll_usd(pct_of_start);max_contracts;start_balance;touch_after_lock_not_modeled</t>
        </is>
      </c>
      <c r="M48" s="34" t="inlineStr">
        <is>
          <t>https://docs.myfundedperpetuals.com/guides/challenges-and-rules</t>
        </is>
      </c>
      <c r="N48" s="34" t="inlineStr">
        <is>
          <t>2026-10-14</t>
        </is>
      </c>
      <c r="O48" s="34" t="n"/>
      <c r="P48" s="34" t="inlineStr">
        <is>
          <t>P052</t>
        </is>
      </c>
    </row>
    <row r="49">
      <c r="A49" s="34" t="inlineStr">
        <is>
          <t>MyFundedPerps | Evaluation 1-Step Signature | size? [P053]</t>
        </is>
      </c>
      <c r="B49" s="35" t="inlineStr">
        <is>
          <t>verified</t>
        </is>
      </c>
      <c r="C49" s="34" t="inlineStr">
        <is>
          <t>static</t>
        </is>
      </c>
      <c r="D49" s="34" t="n"/>
      <c r="E49" s="34" t="n"/>
      <c r="F49" s="34" t="inlineStr">
        <is>
          <t>6</t>
        </is>
      </c>
      <c r="G49" s="34" t="inlineStr">
        <is>
          <t>NONE</t>
        </is>
      </c>
      <c r="H49" s="34" t="inlineStr">
        <is>
          <t>TRUE</t>
        </is>
      </c>
      <c r="I49" s="34" t="n"/>
      <c r="J49" s="34" t="n"/>
      <c r="K49" s="34" t="n"/>
      <c r="L49" s="34" t="inlineStr">
        <is>
          <t>dll_usd(pct_of_start);max_contracts;start_balance;touch_after_lock_not_modeled</t>
        </is>
      </c>
      <c r="M49" s="34" t="inlineStr">
        <is>
          <t>https://docs.myfundedperpetuals.com/guides/challenges-and-rules</t>
        </is>
      </c>
      <c r="N49" s="34" t="inlineStr">
        <is>
          <t>2026-10-14</t>
        </is>
      </c>
      <c r="O49" s="34" t="n"/>
      <c r="P49" s="34" t="inlineStr">
        <is>
          <t>P053</t>
        </is>
      </c>
    </row>
    <row r="50">
      <c r="A50" s="34" t="inlineStr">
        <is>
          <t>MyFundedPerps | Evaluation Elite 3% DLL | size? [P054]</t>
        </is>
      </c>
      <c r="B50" s="35" t="inlineStr">
        <is>
          <t>verified</t>
        </is>
      </c>
      <c r="C50" s="34" t="inlineStr">
        <is>
          <t>static</t>
        </is>
      </c>
      <c r="D50" s="34" t="n"/>
      <c r="E50" s="34" t="n"/>
      <c r="F50" s="34" t="inlineStr">
        <is>
          <t>5</t>
        </is>
      </c>
      <c r="G50" s="34" t="inlineStr">
        <is>
          <t>NONE</t>
        </is>
      </c>
      <c r="H50" s="34" t="inlineStr">
        <is>
          <t>TRUE</t>
        </is>
      </c>
      <c r="I50" s="34" t="n"/>
      <c r="J50" s="34" t="n"/>
      <c r="K50" s="34" t="n"/>
      <c r="L50" s="34" t="inlineStr">
        <is>
          <t>dll_usd(pct_of_start,optional);max_contracts;start_balance</t>
        </is>
      </c>
      <c r="M50" s="34" t="inlineStr">
        <is>
          <t>https://docs.myfundedperpetuals.com/guides/challenges-and-rules</t>
        </is>
      </c>
      <c r="N50" s="34" t="inlineStr">
        <is>
          <t>2026-10-14</t>
        </is>
      </c>
      <c r="O50" s="34" t="n"/>
      <c r="P50" s="34" t="inlineStr">
        <is>
          <t>P054</t>
        </is>
      </c>
    </row>
    <row r="51">
      <c r="A51" s="34" t="inlineStr">
        <is>
          <t>MyFundedPerps | Evaluation Elite No DLL | size? [P055]</t>
        </is>
      </c>
      <c r="B51" s="35" t="inlineStr">
        <is>
          <t>verified</t>
        </is>
      </c>
      <c r="C51" s="34" t="inlineStr">
        <is>
          <t>static</t>
        </is>
      </c>
      <c r="D51" s="34" t="n"/>
      <c r="E51" s="34" t="n"/>
      <c r="F51" s="34" t="inlineStr">
        <is>
          <t>5</t>
        </is>
      </c>
      <c r="G51" s="34" t="inlineStr">
        <is>
          <t>NONE</t>
        </is>
      </c>
      <c r="H51" s="34" t="inlineStr">
        <is>
          <t>TRUE</t>
        </is>
      </c>
      <c r="I51" s="34" t="inlineStr">
        <is>
          <t>NONE</t>
        </is>
      </c>
      <c r="J51" s="34" t="n"/>
      <c r="K51" s="34" t="n"/>
      <c r="L51" s="34" t="inlineStr">
        <is>
          <t>max_contracts;start_balance</t>
        </is>
      </c>
      <c r="M51" s="34" t="inlineStr">
        <is>
          <t>https://docs.myfundedperpetuals.com/guides/challenges-and-rules</t>
        </is>
      </c>
      <c r="N51" s="34" t="inlineStr">
        <is>
          <t>2026-10-14</t>
        </is>
      </c>
      <c r="O51" s="34" t="n"/>
      <c r="P51" s="34" t="inlineStr">
        <is>
          <t>P055</t>
        </is>
      </c>
    </row>
    <row r="52">
      <c r="A52" s="34" t="inlineStr">
        <is>
          <t>Manual</t>
        </is>
      </c>
      <c r="B52" s="37" t="inlineStr">
        <is>
          <t>manual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inlineStr">
        <is>
          <t>all</t>
        </is>
      </c>
      <c r="M52" s="34" t="n"/>
      <c r="N52" s="34" t="n"/>
      <c r="O52" s="34" t="n"/>
      <c r="P52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D939B"/>
    <outlinePr summaryBelow="1" summaryRight="1"/>
    <pageSetUpPr/>
  </sheetPr>
  <dimension ref="A1:H13"/>
  <sheetViews>
    <sheetView showGridLines="0"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3" customWidth="1" min="4" max="4"/>
    <col width="17" customWidth="1" min="5" max="5"/>
    <col width="12" customWidth="1" min="6" max="6"/>
    <col width="50" customWidth="1" min="7" max="7"/>
    <col width="80" customWidth="1" min="8" max="8"/>
  </cols>
  <sheetData>
    <row r="1">
      <c r="A1" s="26" t="inlineStr">
        <is>
          <t>symbol</t>
        </is>
      </c>
      <c r="B1" s="26" t="inlineStr">
        <is>
          <t>name</t>
        </is>
      </c>
      <c r="C1" s="26" t="inlineStr">
        <is>
          <t>tick_size</t>
        </is>
      </c>
      <c r="D1" s="26" t="inlineStr">
        <is>
          <t>tick_value_usd</t>
        </is>
      </c>
      <c r="E1" s="26" t="inlineStr">
        <is>
          <t>status</t>
        </is>
      </c>
      <c r="F1" s="26" t="inlineStr">
        <is>
          <t>checked_date</t>
        </is>
      </c>
      <c r="G1" s="26" t="inlineStr">
        <is>
          <t>source_url</t>
        </is>
      </c>
      <c r="H1" s="26" t="inlineStr">
        <is>
          <t>note</t>
        </is>
      </c>
    </row>
    <row r="2">
      <c r="A2" s="38" t="inlineStr">
        <is>
          <t>MES</t>
        </is>
      </c>
      <c r="B2" s="34" t="inlineStr">
        <is>
          <t>Micro E-mini S&amp;P 500</t>
        </is>
      </c>
      <c r="C2" s="34" t="inlineStr">
        <is>
          <t>0.25</t>
        </is>
      </c>
      <c r="D2" s="34" t="inlineStr">
        <is>
          <t>1.25</t>
        </is>
      </c>
      <c r="E2" s="36" t="inlineStr">
        <is>
          <t>verified_indirect</t>
        </is>
      </c>
      <c r="F2" s="34" t="inlineStr">
        <is>
          <t>2026-10-14</t>
        </is>
      </c>
      <c r="G2" s="34" t="inlineStr">
        <is>
          <t>https://www.cmegroup.com/articles/faqs/micro-e-mini-equity-index-futures-frequently-asked-questions.html</t>
        </is>
      </c>
      <c r="H2" s="34" t="inlineStr">
        <is>
          <t>Direct fetch of the cmegroup.com page returned HTTP 403/500 (bot-blocked); values read from the search-index copy of the cited CME Group page. Re-verify in a browser before release. CME FAQ table: 0.25 index points = $1.25; contract page: $5 x index, 0.25 tick.</t>
        </is>
      </c>
    </row>
    <row r="3">
      <c r="A3" s="38" t="inlineStr">
        <is>
          <t>MNQ</t>
        </is>
      </c>
      <c r="B3" s="34" t="inlineStr">
        <is>
          <t>Micro E-mini Nasdaq-100</t>
        </is>
      </c>
      <c r="C3" s="34" t="inlineStr">
        <is>
          <t>0.25</t>
        </is>
      </c>
      <c r="D3" s="34" t="inlineStr">
        <is>
          <t>0.50</t>
        </is>
      </c>
      <c r="E3" s="36" t="inlineStr">
        <is>
          <t>verified_indirect</t>
        </is>
      </c>
      <c r="F3" s="34" t="inlineStr">
        <is>
          <t>2026-10-14</t>
        </is>
      </c>
      <c r="G3" s="34" t="inlineStr">
        <is>
          <t>https://www.cmegroup.com/articles/faqs/micro-e-mini-equity-index-futures-frequently-asked-questions.html</t>
        </is>
      </c>
      <c r="H3" s="34" t="inlineStr">
        <is>
          <t>Direct fetch of the cmegroup.com page returned HTTP 403/500 (bot-blocked); values read from the search-index copy of the cited CME Group page. Re-verify in a browser before release. CME FAQ table: 0.25 index points = $0.50.</t>
        </is>
      </c>
    </row>
    <row r="4">
      <c r="A4" s="38" t="inlineStr">
        <is>
          <t>ES</t>
        </is>
      </c>
      <c r="B4" s="34" t="inlineStr">
        <is>
          <t>E-mini S&amp;P 500</t>
        </is>
      </c>
      <c r="C4" s="34" t="inlineStr">
        <is>
          <t>0.25</t>
        </is>
      </c>
      <c r="D4" s="34" t="inlineStr">
        <is>
          <t>12.50</t>
        </is>
      </c>
      <c r="E4" s="36" t="inlineStr">
        <is>
          <t>flagged</t>
        </is>
      </c>
      <c r="F4" s="34" t="inlineStr">
        <is>
          <t>2026-10-14</t>
        </is>
      </c>
      <c r="G4" s="34" t="inlineStr">
        <is>
          <t>https://www.cmegroup.com/markets/equities/sp/e-mini-sandp500.contractSpecs.html</t>
        </is>
      </c>
      <c r="H4" s="34" t="inlineStr">
        <is>
          <t>Direct fetch of the cmegroup.com page returned HTTP 403/500 (bot-blocked); values read from the search-index copy of the cited CME Group page. Re-verify in a browser before release. CME excerpt seen did not show the tick/multiplier text; 0.25 x $50 = $12.50 confirmed only by third-party (barchart). FLAG: needs direct check of CME page.</t>
        </is>
      </c>
    </row>
    <row r="5">
      <c r="A5" s="38" t="inlineStr">
        <is>
          <t>NQ</t>
        </is>
      </c>
      <c r="B5" s="34" t="inlineStr">
        <is>
          <t>E-mini Nasdaq-100</t>
        </is>
      </c>
      <c r="C5" s="34" t="inlineStr">
        <is>
          <t>0.25</t>
        </is>
      </c>
      <c r="D5" s="34" t="inlineStr">
        <is>
          <t>5.00</t>
        </is>
      </c>
      <c r="E5" s="36" t="inlineStr">
        <is>
          <t>verified_indirect</t>
        </is>
      </c>
      <c r="F5" s="34" t="inlineStr">
        <is>
          <t>2026-10-14</t>
        </is>
      </c>
      <c r="G5" s="34" t="inlineStr">
        <is>
          <t>https://www.cmegroup.com/trading/equity-index/files/emini-nasdaq-100-futures-options.pdf</t>
        </is>
      </c>
      <c r="H5" s="34" t="inlineStr">
        <is>
          <t>Direct fetch of the cmegroup.com page returned HTTP 403/500 (bot-blocked); values read from the search-index copy of the cited CME Group page. Re-verify in a browser before release. CME fact sheet: outrights 0.25 index points = $5.00; contract page: $20 x index.</t>
        </is>
      </c>
    </row>
    <row r="6">
      <c r="A6" s="38" t="inlineStr">
        <is>
          <t>GC</t>
        </is>
      </c>
      <c r="B6" s="34" t="inlineStr">
        <is>
          <t>Gold (COMEX)</t>
        </is>
      </c>
      <c r="C6" s="34" t="inlineStr">
        <is>
          <t>0.10</t>
        </is>
      </c>
      <c r="D6" s="34" t="inlineStr">
        <is>
          <t>10.00</t>
        </is>
      </c>
      <c r="E6" s="36" t="inlineStr">
        <is>
          <t>verified_indirect</t>
        </is>
      </c>
      <c r="F6" s="34" t="inlineStr">
        <is>
          <t>2026-10-14</t>
        </is>
      </c>
      <c r="G6" s="34" t="inlineStr">
        <is>
          <t>https://www.cmegroup.com/market-regulation/files/gold-futures-and-options-fact-card.pdf</t>
        </is>
      </c>
      <c r="H6" s="34" t="inlineStr">
        <is>
          <t>Direct fetch of the cmegroup.com page returned HTTP 403/500 (bot-blocked); values read from the search-index copy of the cited CME Group page. Re-verify in a browser before release. CME fact card: 100 troy oz, $0.10/oz; tick value derived 100 x 0.10 = $10.00 (CME education page states $10.00 tick).</t>
        </is>
      </c>
    </row>
    <row r="7">
      <c r="A7" s="38" t="inlineStr">
        <is>
          <t>MGC</t>
        </is>
      </c>
      <c r="B7" s="34" t="inlineStr">
        <is>
          <t>Micro Gold (COMEX)</t>
        </is>
      </c>
      <c r="C7" s="34" t="inlineStr">
        <is>
          <t>0.10</t>
        </is>
      </c>
      <c r="D7" s="34" t="inlineStr">
        <is>
          <t>1.00</t>
        </is>
      </c>
      <c r="E7" s="36" t="inlineStr">
        <is>
          <t>verified_indirect</t>
        </is>
      </c>
      <c r="F7" s="34" t="inlineStr">
        <is>
          <t>2026-10-14</t>
        </is>
      </c>
      <c r="G7" s="34" t="inlineStr">
        <is>
          <t>https://www.cmegroup.com/rulebook/COMEX/1a/120.pdf</t>
        </is>
      </c>
      <c r="H7" s="34" t="inlineStr">
        <is>
          <t>Direct fetch of the cmegroup.com page returned HTTP 403/500 (bot-blocked); values read from the search-index copy of the cited CME Group page. Re-verify in a browser before release. Rulebook ch.120: 10 troy oz, $0.10/oz; derived 10 x 0.10 = $1.00 (CME education page states $1.00).</t>
        </is>
      </c>
    </row>
    <row r="8">
      <c r="A8" s="38" t="inlineStr">
        <is>
          <t>CL</t>
        </is>
      </c>
      <c r="B8" s="34" t="inlineStr">
        <is>
          <t>Light Sweet Crude Oil (NYMEX)</t>
        </is>
      </c>
      <c r="C8" s="34" t="inlineStr">
        <is>
          <t>0.01</t>
        </is>
      </c>
      <c r="D8" s="34" t="inlineStr">
        <is>
          <t>10.00</t>
        </is>
      </c>
      <c r="E8" s="36" t="inlineStr">
        <is>
          <t>verified_indirect</t>
        </is>
      </c>
      <c r="F8" s="34" t="inlineStr">
        <is>
          <t>2026-10-14</t>
        </is>
      </c>
      <c r="G8" s="34" t="inlineStr">
        <is>
          <t>https://www.cmegroup.com/rulebook/NYMEX/2/200.pdf</t>
        </is>
      </c>
      <c r="H8" s="34" t="inlineStr">
        <is>
          <t>Direct fetch of the cmegroup.com page returned HTTP 403/500 (bot-blocked); values read from the search-index copy of the cited CME Group page. Re-verify in a browser before release. Rulebook ch.200: 1,000 bbl, $0.01/bbl; derived 1000 x 0.01 = $10.00.</t>
        </is>
      </c>
    </row>
    <row r="9">
      <c r="A9" s="38" t="inlineStr">
        <is>
          <t>MCL</t>
        </is>
      </c>
      <c r="B9" s="34" t="inlineStr">
        <is>
          <t>Micro WTI Crude Oil (NYMEX)</t>
        </is>
      </c>
      <c r="C9" s="34" t="inlineStr">
        <is>
          <t>0.01</t>
        </is>
      </c>
      <c r="D9" s="34" t="inlineStr">
        <is>
          <t>1.00</t>
        </is>
      </c>
      <c r="E9" s="36" t="inlineStr">
        <is>
          <t>flagged</t>
        </is>
      </c>
      <c r="F9" s="34" t="inlineStr">
        <is>
          <t>2026-10-14</t>
        </is>
      </c>
      <c r="G9" s="34" t="inlineStr">
        <is>
          <t>https://www.cmegroup.com/markets/energy/files/getting-started-with-micro-wti-crude-oil-options.pdf</t>
        </is>
      </c>
      <c r="H9" s="34" t="inlineStr">
        <is>
          <t>Direct fetch of the cmegroup.com page returned HTTP 403/500 (bot-blocked); values read from the search-index copy of the cited CME Group page. Re-verify in a browser before release. CME doc shows 100 bbl and $0.01/bbl but is the OPTIONS guide; futures contract-spec page not read. Derived 100 x 0.01 = $1.00. FLAG.</t>
        </is>
      </c>
    </row>
    <row r="10">
      <c r="A10" s="38" t="inlineStr">
        <is>
          <t>6E</t>
        </is>
      </c>
      <c r="B10" s="34" t="inlineStr">
        <is>
          <t>Euro FX</t>
        </is>
      </c>
      <c r="C10" s="34" t="inlineStr">
        <is>
          <t>0.00005</t>
        </is>
      </c>
      <c r="D10" s="34" t="inlineStr">
        <is>
          <t>6.25</t>
        </is>
      </c>
      <c r="E10" s="36" t="inlineStr">
        <is>
          <t>verified_indirect</t>
        </is>
      </c>
      <c r="F10" s="34" t="inlineStr">
        <is>
          <t>2026-10-14</t>
        </is>
      </c>
      <c r="G10" s="34" t="inlineStr">
        <is>
          <t>https://www.cmegroup.com/markets/fx/fx-product-guide.html</t>
        </is>
      </c>
      <c r="H10" s="34" t="inlineStr">
        <is>
          <t>Direct fetch of the cmegroup.com page returned HTTP 403/500 (bot-blocked); values read from the search-index copy of the cited CME Group page. Re-verify in a browser before release. CME FX product guide: 125,000 EUR, outright tick 0.00005; derived 125000 x 0.00005 = $6.25.</t>
        </is>
      </c>
    </row>
    <row r="11">
      <c r="A11" s="38" t="inlineStr">
        <is>
          <t>M6E</t>
        </is>
      </c>
      <c r="B11" s="34" t="inlineStr">
        <is>
          <t>Micro EUR/USD</t>
        </is>
      </c>
      <c r="C11" s="34" t="inlineStr">
        <is>
          <t>0.0001</t>
        </is>
      </c>
      <c r="D11" s="34" t="inlineStr">
        <is>
          <t>1.25</t>
        </is>
      </c>
      <c r="E11" s="36" t="inlineStr">
        <is>
          <t>verified_indirect</t>
        </is>
      </c>
      <c r="F11" s="34" t="inlineStr">
        <is>
          <t>2026-10-14</t>
        </is>
      </c>
      <c r="G11" s="34" t="inlineStr">
        <is>
          <t>https://www.cmegroup.com/markets/microsuite/fx.html</t>
        </is>
      </c>
      <c r="H11" s="34" t="inlineStr">
        <is>
          <t>Direct fetch of the cmegroup.com page returned HTTP 403/500 (bot-blocked); values read from the search-index copy of the cited CME Group page. Re-verify in a browser before release. CME Micro FX page: 12,500 EUR, 0.0001, value of one tick $1.25.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39" t="inlineStr">
        <is>
          <t>All tick values verified indirectly (CME pages bot-blocked); confirm on cmegroup.com. 'flagged' rows need a direct check.</t>
        </is>
      </c>
      <c r="B13" s="1" t="n"/>
      <c r="C13" s="1" t="n"/>
      <c r="D13" s="1" t="n"/>
      <c r="E13" s="1" t="n"/>
      <c r="F13" s="1" t="n"/>
      <c r="G13" s="1" t="n"/>
      <c r="H13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2026-10-14T06:36:06Z</dcterms:created>
  <dcterms:modified xmlns:dcterms="http://purl.org/dc/terms/" xmlns:xsi="http://www.w3.org/2001/XMLSchema-instance" xsi:type="dcterms:W3CDTF">2026-10-14T06:36:06Z</dcterms:modified>
</cp:coreProperties>
</file>